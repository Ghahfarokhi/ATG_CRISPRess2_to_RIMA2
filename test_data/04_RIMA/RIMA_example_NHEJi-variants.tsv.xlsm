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amir/Documents/GitHub/ATG_CRISPRess2_to_RIMA2/test_data/04_RIMA/"/>
    </mc:Choice>
  </mc:AlternateContent>
  <xr:revisionPtr revIDLastSave="0" documentId="8_{40485670-D8D5-A049-9C17-6959B03C7A03}" xr6:coauthVersionLast="47" xr6:coauthVersionMax="47" xr10:uidLastSave="{00000000-0000-0000-0000-000000000000}"/>
  <bookViews>
    <workbookView xWindow="1180" yWindow="1000" windowWidth="27240" windowHeight="16440" xr2:uid="{1434F65F-3146-F540-A38F-28BF0EE179F0}"/>
  </bookViews>
  <sheets>
    <sheet name="Single" sheetId="1" r:id="rId1"/>
  </sheets>
  <externalReferences>
    <externalReference r:id="rId2"/>
    <externalReference r:id="rId3"/>
  </externalReferences>
  <definedNames>
    <definedName name="_xlnm._FilterDatabase" localSheetId="0" hidden="1">Single!$B$22:$K$22</definedName>
    <definedName name="Allele">Single!$G$22</definedName>
    <definedName name="Barcode_Fwd_Reads">Single!$X$5</definedName>
    <definedName name="Barcode_Rev_Reads">Single!$Z$5</definedName>
    <definedName name="Barcode_Shape">Single!$AC$5</definedName>
    <definedName name="Barcodes_Name">Single!$V$5</definedName>
    <definedName name="Barcodes_Sequence">Single!$W$5</definedName>
    <definedName name="BarHeight">Single!$AI$9</definedName>
    <definedName name="BarRGB">Single!$AF$7</definedName>
    <definedName name="Batch_Number">Single!$AH$15</definedName>
    <definedName name="Batch_Scratch">Single!$AH$14</definedName>
    <definedName name="cMMEJ_Reads">Single!$X$3</definedName>
    <definedName name="Comment">Single!$D$9</definedName>
    <definedName name="CutLineRGB">Single!$AJ$8</definedName>
    <definedName name="CutSite">Single!$D$15</definedName>
    <definedName name="CutSite_Nucleotides">Single!$D$17</definedName>
    <definedName name="DataExportPoint1">Single!$A$1</definedName>
    <definedName name="DelBarRGB">Single!$AG$7</definedName>
    <definedName name="DelLengthReads">Single!$AQ$3</definedName>
    <definedName name="Delpercent">Single!$O$7</definedName>
    <definedName name="Delreads">Single!$N$7</definedName>
    <definedName name="Duplication">Single!$J$22</definedName>
    <definedName name="Duplication_Length_Reads">Single!$AV$3</definedName>
    <definedName name="DuplicationColor">Single!$AK$7</definedName>
    <definedName name="Efficiency">Single!$M$2</definedName>
    <definedName name="Exclinitial">Single!$D$12</definedName>
    <definedName name="ExclLast">Single!$D$13</definedName>
    <definedName name="Factor">Single!$AG$9</definedName>
    <definedName name="FigStart">Single!$M$23</definedName>
    <definedName name="File1">[2]Info!#REF!</definedName>
    <definedName name="Frequency">Single!$H$22</definedName>
    <definedName name="Gene">Single!$D$7</definedName>
    <definedName name="gRNA">Single!$D$6</definedName>
    <definedName name="GuideLineRGB">Single!$AH$8</definedName>
    <definedName name="GuideRGB">Single!$AF$8</definedName>
    <definedName name="HDR_BC">Single!$G$4</definedName>
    <definedName name="indel">Single!$D$22</definedName>
    <definedName name="Indel_Class_Reads">Single!$N$11</definedName>
    <definedName name="indelLengthReads">Single!$AP$3</definedName>
    <definedName name="inFrameReads">Single!$N$4</definedName>
    <definedName name="insBarRGB">Single!$AH$7</definedName>
    <definedName name="insLengthReads">Single!$AR$3</definedName>
    <definedName name="InsPercent">Single!$O$8</definedName>
    <definedName name="insreads">Single!$N$8</definedName>
    <definedName name="KI_Classification">Single!$K$17</definedName>
    <definedName name="KI_Undetermined_Reads">Single!$X$18</definedName>
    <definedName name="KI_Undetermined_RGB">Single!$V$18</definedName>
    <definedName name="Length">Single!$E$22</definedName>
    <definedName name="Limitedregion">Single!$D$11</definedName>
    <definedName name="MappedReads">Single!$D$10</definedName>
    <definedName name="Min_Allele_Freq">Single!$K$11</definedName>
    <definedName name="Min_Ins_Len_for_KI">Single!$K$18</definedName>
    <definedName name="Min_Read_Count">Single!$K$12</definedName>
    <definedName name="MMEJ_Length_Reads">Single!$AU$3</definedName>
    <definedName name="mmejColor">Single!$AJ$7</definedName>
    <definedName name="MMEJpercent">Single!$Y$3</definedName>
    <definedName name="MNVLengthReads">Single!$AS$3</definedName>
    <definedName name="MNVPercent">Single!$O$9</definedName>
    <definedName name="MNVreads">Single!$N$9</definedName>
    <definedName name="mnvRGB">Single!$AI$7</definedName>
    <definedName name="NHEJ_BC">Single!$I$4</definedName>
    <definedName name="NHEJpercent">Single!$Y$4</definedName>
    <definedName name="Number_of_Var_to_Visualize">Single!$K$14</definedName>
    <definedName name="Other_Indel_Length_Reads">Single!$AT$3</definedName>
    <definedName name="OtherEJ_Reads">Single!$X$4</definedName>
    <definedName name="OtherIndelPercent">Single!$O$10</definedName>
    <definedName name="Otherreads">Single!$N$10</definedName>
    <definedName name="OutFrameReads">Single!$N$5</definedName>
    <definedName name="PAM">Single!$D$16</definedName>
    <definedName name="pamLineRGB">Single!$AI$8</definedName>
    <definedName name="pamRGB">Single!$AG$8</definedName>
    <definedName name="Position">Single!$C$22</definedName>
    <definedName name="_xlnm.Print_Area" localSheetId="0">Single!$Q$3:$AN$37</definedName>
    <definedName name="Reference">Single!$F$22</definedName>
    <definedName name="RefSeq">Single!$D$5</definedName>
    <definedName name="RelativeFreq">Single!$K$22</definedName>
    <definedName name="Repair">Single!$I$22</definedName>
    <definedName name="Save_a_Copy">Single!$K$15</definedName>
    <definedName name="Save_To_BatchShape">Single!$K$16</definedName>
    <definedName name="ShapeStart">#REF!</definedName>
    <definedName name="SinglegRNAwindowL">Single!$AH$10</definedName>
    <definedName name="SinglegRNAwindowR">Single!$AI$10</definedName>
    <definedName name="Sum_Other_Indel_Reads">Single!$AT$103</definedName>
    <definedName name="Sumdelreads">Single!$AQ$103</definedName>
    <definedName name="SumDuplicationreads">Single!$AV$103</definedName>
    <definedName name="Sumindelreads">Single!$AP$103</definedName>
    <definedName name="Suminsreads">Single!$AR$103</definedName>
    <definedName name="SumMMEJreads">Single!$AU$103</definedName>
    <definedName name="SumMNVreads">Single!$AS$103</definedName>
    <definedName name="TotalReads">Single!$N$3</definedName>
    <definedName name="Totalvariants">Single!$D$18</definedName>
    <definedName name="Treatment">Single!$D$8</definedName>
    <definedName name="VariantNo">Single!$B$22</definedName>
    <definedName name="Visual_Alignment">Single!$K$13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V103" i="1" l="1"/>
  <c r="AU103" i="1"/>
  <c r="AT103" i="1"/>
  <c r="AS103" i="1"/>
  <c r="AR103" i="1"/>
  <c r="N8" i="1" s="1"/>
  <c r="O8" i="1" s="1"/>
  <c r="AQ103" i="1"/>
  <c r="S15" i="1" s="1"/>
  <c r="AP103" i="1"/>
  <c r="O18" i="1" s="1"/>
  <c r="Y18" i="1"/>
  <c r="R18" i="1"/>
  <c r="S18" i="1" s="1"/>
  <c r="N18" i="1"/>
  <c r="AA17" i="1"/>
  <c r="Y17" i="1"/>
  <c r="R17" i="1"/>
  <c r="N17" i="1"/>
  <c r="O17" i="1" s="1"/>
  <c r="AA16" i="1"/>
  <c r="Y16" i="1"/>
  <c r="R16" i="1"/>
  <c r="S16" i="1" s="1"/>
  <c r="O16" i="1"/>
  <c r="N16" i="1"/>
  <c r="AA15" i="1"/>
  <c r="Y15" i="1"/>
  <c r="R15" i="1"/>
  <c r="N15" i="1"/>
  <c r="O15" i="1" s="1"/>
  <c r="AA14" i="1"/>
  <c r="Y14" i="1"/>
  <c r="R14" i="1"/>
  <c r="S14" i="1" s="1"/>
  <c r="O14" i="1"/>
  <c r="N14" i="1"/>
  <c r="AA13" i="1"/>
  <c r="Y13" i="1"/>
  <c r="R13" i="1"/>
  <c r="S13" i="1" s="1"/>
  <c r="N13" i="1"/>
  <c r="O13" i="1" s="1"/>
  <c r="AA12" i="1"/>
  <c r="Y12" i="1"/>
  <c r="R12" i="1"/>
  <c r="S12" i="1" s="1"/>
  <c r="N12" i="1"/>
  <c r="O12" i="1" s="1"/>
  <c r="AA11" i="1"/>
  <c r="Y11" i="1"/>
  <c r="R11" i="1"/>
  <c r="AA10" i="1"/>
  <c r="Y10" i="1"/>
  <c r="N10" i="1"/>
  <c r="O10" i="1" s="1"/>
  <c r="AA9" i="1"/>
  <c r="Y9" i="1"/>
  <c r="O9" i="1"/>
  <c r="N9" i="1"/>
  <c r="AA8" i="1"/>
  <c r="Y8" i="1"/>
  <c r="R8" i="1"/>
  <c r="S8" i="1" s="1"/>
  <c r="AA7" i="1"/>
  <c r="Y7" i="1"/>
  <c r="R7" i="1"/>
  <c r="S7" i="1" s="1"/>
  <c r="AA6" i="1"/>
  <c r="Y6" i="1"/>
  <c r="R6" i="1"/>
  <c r="R5" i="1"/>
  <c r="S5" i="1" s="1"/>
  <c r="O5" i="1"/>
  <c r="Y4" i="1"/>
  <c r="R4" i="1"/>
  <c r="S4" i="1" s="1"/>
  <c r="O4" i="1"/>
  <c r="Y3" i="1"/>
  <c r="R3" i="1"/>
  <c r="S3" i="1" s="1"/>
  <c r="O3" i="1"/>
  <c r="N7" i="1" l="1"/>
  <c r="O7" i="1" s="1"/>
  <c r="S17" i="1"/>
  <c r="S6" i="1"/>
  <c r="S11" i="1"/>
</calcChain>
</file>

<file path=xl/sharedStrings.xml><?xml version="1.0" encoding="utf-8"?>
<sst xmlns="http://schemas.openxmlformats.org/spreadsheetml/2006/main" count="11315" uniqueCount="1758">
  <si>
    <t xml:space="preserve"> </t>
  </si>
  <si>
    <t>Efficiency</t>
  </si>
  <si>
    <t>No. Reads</t>
  </si>
  <si>
    <t>%</t>
  </si>
  <si>
    <t>Insertions</t>
  </si>
  <si>
    <t>Repair</t>
  </si>
  <si>
    <t>Mutated %</t>
  </si>
  <si>
    <t>1 b ins %</t>
  </si>
  <si>
    <t>c-MMEJ %</t>
  </si>
  <si>
    <t>Length</t>
  </si>
  <si>
    <t>indel</t>
  </si>
  <si>
    <t>Deletion</t>
  </si>
  <si>
    <t>Insertion</t>
  </si>
  <si>
    <t>MNV</t>
  </si>
  <si>
    <t>Other</t>
  </si>
  <si>
    <t>MMEJ</t>
  </si>
  <si>
    <t>Duplications</t>
  </si>
  <si>
    <t>User input:</t>
  </si>
  <si>
    <t>In-Frame %</t>
  </si>
  <si>
    <t>2 b ins %</t>
  </si>
  <si>
    <t>Other-EJ %</t>
  </si>
  <si>
    <t>RefSeq:</t>
  </si>
  <si>
    <t>CGAGTCTAGAGGGCCCGTTTAAACCCGCTGGGCCATGGGCTATGAGTACAGGTCATGTACGGCCTCATAGTGGTACAGTAGTGACTCAAGACGATAGTTACCGGATAAGGCGCAGCGGTCGGGCTGAACGGGGGGTTCGTGCACACAGCCCAGCTTGGAGCGAACGACCTACACCGAACTGAGATACCTACAGCGTGAGCTA</t>
  </si>
  <si>
    <t>Out-of-frame %</t>
  </si>
  <si>
    <t>3 b ins %</t>
  </si>
  <si>
    <t>Name</t>
  </si>
  <si>
    <t>Fwd. Color</t>
  </si>
  <si>
    <t>Sequence</t>
  </si>
  <si>
    <t>Fwd Reads</t>
  </si>
  <si>
    <t>Rev Reads</t>
  </si>
  <si>
    <t>Rev. Color</t>
  </si>
  <si>
    <t>Shape</t>
  </si>
  <si>
    <t>sgRNA:</t>
  </si>
  <si>
    <t>CTATGAGTACAGGTCATGTA</t>
  </si>
  <si>
    <t>Type</t>
  </si>
  <si>
    <t>4 b ins %</t>
  </si>
  <si>
    <t>NHEJ</t>
  </si>
  <si>
    <t>Barcode01</t>
  </si>
  <si>
    <t>GTTTAATTGAGTTGTCTAGAGTTAATAACGGTAT</t>
  </si>
  <si>
    <t>Shape 1</t>
  </si>
  <si>
    <t>Graphical settings for the visualized alignment (Change the cell background for setting the color):</t>
  </si>
  <si>
    <t>Gene/Name:</t>
  </si>
  <si>
    <t>RIMA_example_NHEJi-variants.tsv</t>
  </si>
  <si>
    <t>Del %</t>
  </si>
  <si>
    <t>5 b ins %</t>
  </si>
  <si>
    <t>HDR</t>
  </si>
  <si>
    <t>Barcode02</t>
  </si>
  <si>
    <t>GTTTAATTGAGTTGCAATTGGTTAATAACGGTAT</t>
  </si>
  <si>
    <t>Shape 2</t>
  </si>
  <si>
    <t xml:space="preserve">Match </t>
  </si>
  <si>
    <t>MNV, etc.</t>
  </si>
  <si>
    <t>Duplication</t>
  </si>
  <si>
    <t>Treatment:</t>
  </si>
  <si>
    <t>Ins %</t>
  </si>
  <si>
    <t>&gt;5 b ins %</t>
  </si>
  <si>
    <t>Barcode03</t>
  </si>
  <si>
    <t>GTTTAATTGAGTTGTTCGAAGTTAATAACGGTAT</t>
  </si>
  <si>
    <t>Shape 3</t>
  </si>
  <si>
    <t>Spacer</t>
  </si>
  <si>
    <t>PAM</t>
  </si>
  <si>
    <t>Spacer line</t>
  </si>
  <si>
    <t>PAM Line</t>
  </si>
  <si>
    <t>Cut Line</t>
  </si>
  <si>
    <t>Comment:</t>
  </si>
  <si>
    <t>MNV %</t>
  </si>
  <si>
    <t>Barcode04</t>
  </si>
  <si>
    <t>Shape 4</t>
  </si>
  <si>
    <t>1 base Len.</t>
  </si>
  <si>
    <t>Bar Height:</t>
  </si>
  <si>
    <t>#Mapped Reads:</t>
  </si>
  <si>
    <t>Other %</t>
  </si>
  <si>
    <t>Deletions</t>
  </si>
  <si>
    <t>Barcode05</t>
  </si>
  <si>
    <t xml:space="preserve">gRNA Alignment window </t>
  </si>
  <si>
    <t>Window:</t>
  </si>
  <si>
    <t xml:space="preserve">Min. allele frequency (%): </t>
  </si>
  <si>
    <t>Indel size</t>
  </si>
  <si>
    <t>1 b Del %</t>
  </si>
  <si>
    <t>Barcode06</t>
  </si>
  <si>
    <t>Exclude initial bases</t>
  </si>
  <si>
    <t xml:space="preserve">Min. No. of reads per allele: </t>
  </si>
  <si>
    <t>+/-1 b %</t>
  </si>
  <si>
    <t>2 b Del %</t>
  </si>
  <si>
    <t>Barcode07</t>
  </si>
  <si>
    <t>Exclude last bases</t>
  </si>
  <si>
    <t xml:space="preserve">Generate graphical alignment: </t>
  </si>
  <si>
    <t>+/-2 b %</t>
  </si>
  <si>
    <t>3 b Del %</t>
  </si>
  <si>
    <t>Barcode08</t>
  </si>
  <si>
    <t>Batch settings (will be set automatically):</t>
  </si>
  <si>
    <t xml:space="preserve">Number of variants to visualize: </t>
  </si>
  <si>
    <t>+/-3-5 b %</t>
  </si>
  <si>
    <t>4 b Del %</t>
  </si>
  <si>
    <t>Barcode09</t>
  </si>
  <si>
    <t>Batch starts from begining:</t>
  </si>
  <si>
    <t>CutSite:</t>
  </si>
  <si>
    <t xml:space="preserve">Save a copy of this sheet for each file: </t>
  </si>
  <si>
    <t>+/-6-10 b %</t>
  </si>
  <si>
    <t>5 b Del %</t>
  </si>
  <si>
    <t>Barcode10</t>
  </si>
  <si>
    <t>Batch No.:</t>
  </si>
  <si>
    <t xml:space="preserve">PAM </t>
  </si>
  <si>
    <t>FWD</t>
  </si>
  <si>
    <t xml:space="preserve">Save top 10 variants into the BatchShape sheet: </t>
  </si>
  <si>
    <t>+/-11-20 b %</t>
  </si>
  <si>
    <t>6-10 b Del %</t>
  </si>
  <si>
    <t>Barcode11</t>
  </si>
  <si>
    <t>CutSite nucleotides:</t>
  </si>
  <si>
    <t>ATGT</t>
  </si>
  <si>
    <t xml:space="preserve">Knock-in classification (No need; Exat match; Needleman): </t>
  </si>
  <si>
    <t>No need</t>
  </si>
  <si>
    <t>+/-21-30 b %</t>
  </si>
  <si>
    <t>11-20 b Del %</t>
  </si>
  <si>
    <t>Barcode12</t>
  </si>
  <si>
    <t>#Variants:</t>
  </si>
  <si>
    <t xml:space="preserve">Minimum length of an insertion to be classified as a knock-in event: </t>
  </si>
  <si>
    <t>+/-31-99 b %</t>
  </si>
  <si>
    <t>&gt;20 b Del %</t>
  </si>
  <si>
    <t>Undetermined knock-ins:</t>
  </si>
  <si>
    <t>VariantNo</t>
  </si>
  <si>
    <t>Position</t>
  </si>
  <si>
    <t>Ref</t>
  </si>
  <si>
    <t>Alt</t>
  </si>
  <si>
    <t>Count</t>
  </si>
  <si>
    <t>Freq. (Rel.)</t>
  </si>
  <si>
    <t>AGGTCATGTAC</t>
  </si>
  <si>
    <t>-</t>
  </si>
  <si>
    <t>cMMEJ_4_Simple_Primary</t>
  </si>
  <si>
    <t>22.22 (38.83)</t>
  </si>
  <si>
    <t>GTACGGCCTCAT</t>
  </si>
  <si>
    <t>10.56 (18.45)</t>
  </si>
  <si>
    <t>CATGT</t>
  </si>
  <si>
    <t>cMMEJ_2_Simple_Primary</t>
  </si>
  <si>
    <t>08.89 (15.53)</t>
  </si>
  <si>
    <t>TCATGTACGG</t>
  </si>
  <si>
    <t>08.33 (14.56)</t>
  </si>
  <si>
    <t>AT</t>
  </si>
  <si>
    <t>otherEJ_0_Simple_Primary</t>
  </si>
  <si>
    <t>04.44 (07.77)</t>
  </si>
  <si>
    <t>T</t>
  </si>
  <si>
    <t>otherEJ__Simple_Primary</t>
  </si>
  <si>
    <t>Detected</t>
  </si>
  <si>
    <t>02.78 (04.85)</t>
  </si>
  <si>
    <r>
      <t>CGAGTCTAGAGGGCCCGTTTAAACCCGCTGGGCCATGGGCTATGA</t>
    </r>
    <r>
      <rPr>
        <b/>
        <sz val="12"/>
        <color rgb="FF00FFFE"/>
        <rFont val="Courier New"/>
        <family val="1"/>
      </rPr>
      <t>----</t>
    </r>
    <r>
      <rPr>
        <sz val="12"/>
        <rFont val="Courier New"/>
        <family val="1"/>
      </rPr>
      <t>-------</t>
    </r>
    <r>
      <rPr>
        <b/>
        <sz val="12"/>
        <color rgb="FF00FFFE"/>
        <rFont val="Courier New"/>
        <family val="1"/>
      </rPr>
      <t>GTAC</t>
    </r>
    <r>
      <rPr>
        <sz val="12"/>
        <rFont val="Courier New"/>
        <family val="1"/>
      </rPr>
      <t>GGCCTCATAGTGGTACAGTAGTGACTCAAGACGATAGTTACCGGATAAGGCGCAGCGGTCGGGCTGAACGGGGGGTTCGTGCACACAGCCCAGCTTGGAGCGAACGACCTACACCGAACTGAGATACCTACAGCGTGAGCTA</t>
    </r>
  </si>
  <si>
    <r>
      <t>CGAGTCTAGAGGGCCCGTTTAAACCCGCTGGGCCATGGGCTATGAGTACAGG</t>
    </r>
    <r>
      <rPr>
        <b/>
        <sz val="12"/>
        <color rgb="FF00FFFE"/>
        <rFont val="Courier New"/>
        <family val="1"/>
      </rPr>
      <t>----</t>
    </r>
    <r>
      <rPr>
        <sz val="12"/>
        <rFont val="Courier New"/>
        <family val="1"/>
      </rPr>
      <t>--------</t>
    </r>
    <r>
      <rPr>
        <b/>
        <sz val="12"/>
        <color rgb="FF00FFFE"/>
        <rFont val="Courier New"/>
        <family val="1"/>
      </rPr>
      <t>TCAT</t>
    </r>
    <r>
      <rPr>
        <sz val="12"/>
        <rFont val="Courier New"/>
        <family val="1"/>
      </rPr>
      <t>AGTGGTACAGTAGTGACTCAAGACGATAGTTACCGGATAAGGCGCAGCGGTCGGGCTGAACGGGGGGTTCGTGCACACAGCCCAGCTTGGAGCGAACGACCTACACCGAACTGAGATACCTACAGCGTGAGCTA</t>
    </r>
  </si>
  <si>
    <r>
      <t>CGAGTCTAGAGGGCCCGTTTAAACCCGCTGGGCCATGGGCTATGAGTACAG</t>
    </r>
    <r>
      <rPr>
        <b/>
        <sz val="12"/>
        <color rgb="FF00FFFE"/>
        <rFont val="Courier New"/>
        <family val="1"/>
      </rPr>
      <t>--</t>
    </r>
    <r>
      <rPr>
        <sz val="12"/>
        <rFont val="Courier New"/>
        <family val="1"/>
      </rPr>
      <t>---</t>
    </r>
    <r>
      <rPr>
        <b/>
        <sz val="12"/>
        <color rgb="FF00FFFE"/>
        <rFont val="Courier New"/>
        <family val="1"/>
      </rPr>
      <t>GT</t>
    </r>
    <r>
      <rPr>
        <sz val="12"/>
        <rFont val="Courier New"/>
        <family val="1"/>
      </rPr>
      <t>ACGGCCTCATAGTGGTACAGTAGTGACTCAAGACGATAGTTACCGGATAAGGCGCAGCGGTCGGGCTGAACGGGGGGTTCGTGCACACAGCCCAGCTTGGAGCGAACGACCTACACCGAACTGAGATACCTACAGCGTGAGCTA</t>
    </r>
  </si>
  <si>
    <r>
      <t>CGAGTCTAGAGGGCCCGTTTAAACCCGCTGGGCCATGGGCTATGAGTACA</t>
    </r>
    <r>
      <rPr>
        <b/>
        <sz val="12"/>
        <color rgb="FF00FFFE"/>
        <rFont val="Courier New"/>
        <family val="1"/>
      </rPr>
      <t>--</t>
    </r>
    <r>
      <rPr>
        <sz val="12"/>
        <rFont val="Courier New"/>
        <family val="1"/>
      </rPr>
      <t>--------</t>
    </r>
    <r>
      <rPr>
        <b/>
        <sz val="12"/>
        <color rgb="FF00FFFE"/>
        <rFont val="Courier New"/>
        <family val="1"/>
      </rPr>
      <t>GG</t>
    </r>
    <r>
      <rPr>
        <sz val="12"/>
        <rFont val="Courier New"/>
        <family val="1"/>
      </rPr>
      <t>CCTCATAGTGGTACAGTAGTGACTCAAGACGATAGTTACCGGATAAGGCGCAGCGGTCGGGCTGAACGGGGGGTTCGTGCACACAGCCCAGCTTGGAGCGAACGACCTACACCGAACTGAGATACCTACAGCGTGAGCTA</t>
    </r>
  </si>
  <si>
    <t>CGAGTCTAGAGGGCCCGTTTAAACCCGCTGGGCCATGGGCTATGAGTACAGGTC--GTACGGCCTCATAGTGGTACAGTAGTGACTCAAGACGATAGTTACCGGATAAGGCGCAGCGGTCGGGCTGAACGGGGGGTTCGTGCACACAGCCCAGCTTGGAGCGAACGACCTACACCGAACTGAGATACCTACAGCGTGAGCTA</t>
  </si>
  <si>
    <r>
      <t>CGAGTCTAGAGGGCCCGTTTAAACCCGCTGGGCCATGGGCTATGAGTACAGGTCAT</t>
    </r>
    <r>
      <rPr>
        <b/>
        <sz val="12"/>
        <color rgb="FFFFC000"/>
        <rFont val="Cooper Black"/>
        <family val="5"/>
      </rPr>
      <t>T</t>
    </r>
    <r>
      <rPr>
        <sz val="12"/>
        <rFont val="Courier New"/>
        <family val="1"/>
      </rPr>
      <t>GTACGGCCTCATAGTGGTACAGTAGTGACTCAAGACGATAGTTACCGGATAAGGCGCAGCGGTCGGGCTGAACGGGGGGTTCGTGCACACAGCCCAGCTTGGAGCGAACGACCTACACCGAACTGAGATACCTACAGCGTGAGCTA</t>
    </r>
  </si>
  <si>
    <t>*****************************************************************************************************</t>
  </si>
  <si>
    <t>GGGCCATGGGCTATGA-----------GTACGGCCTCATA</t>
  </si>
  <si>
    <t>GGGCCATGGGCTATGAGTACAGG------------TCATA</t>
  </si>
  <si>
    <t>GGGCCATGGGCTATGAGTACAG-----GTACGGCCTCATA</t>
  </si>
  <si>
    <t>GGGCCATGGGCTATGAGTACA----------GGCCTCATA</t>
  </si>
  <si>
    <t>GGGCCATGGGCTATGAGTACAGGTC--GTACGGCCTCATA</t>
  </si>
  <si>
    <t>GGGCCATGGGCTATGAGTACAGGTCATTGTACGGCCTCAT</t>
  </si>
  <si>
    <t>TAACCGCAGACTTCTCTACAGGAGTCAGGTGGACCATGGTGTCTGTTTTAGGTTGCTCACACCTTGCCCCACAGGGCAG</t>
  </si>
  <si>
    <t>TAACCGCAGACTTCTCTACAGGAGTCAGGTGGGGCATCGCCTCCATTTTCAGTCGCGCACACCTTGCCCCACAGGGCAG</t>
  </si>
  <si>
    <t>TAACCGCAGACTTCTCTACAGGAGTCAGGTGTACAATGGAGCCTGCCCGAGGTTGCTAGTGCACCCTGTTCTGCGAGAAGCAAATGTAAGAAGGAGA</t>
  </si>
  <si>
    <t>TAACCGCAGACTTCTCTACAGGAGTCAGGTGTACCAAGGGGTCTATCTGAAGTTTCTACCAAACACACCTGTGTCAGAAGCACAG</t>
  </si>
  <si>
    <t>TAACCGCAGACTTCTCTACAGGAGTCAGGTGTACCACGCTGTCTGTTTGAGGTTGATAGTGA</t>
  </si>
  <si>
    <t>TAACCGCAGACTTCTCTACAGGAGTCAGGTGTACCATGGCCTCCGTTTGGCCTCACCACCAACTTCATCCACGTTCACCTTGCCCCACAGGGCAG</t>
  </si>
  <si>
    <t>TAACCGCAGACTTCTCTACAGGAGTCAGGTGTTCCATGGTGTCTGTTTGAGGTTGCAAGTGAACACTGTTGCGCGAGAAGCAAATGTAAGAAAGAGA</t>
  </si>
  <si>
    <t>TAACCGCAGACTTCTCTACAGGAGTCGGTGCACCATGGTGTCTGTTTGAGGTTGCTAGTACTAGCATCCTC</t>
  </si>
  <si>
    <t>TAACCGCAGACTTCTCTACAGGAGTCG</t>
  </si>
  <si>
    <t>TAACCGCAGACTTCTCTACAGGCGTCAGGTGCACCATGGTGTCTGTTTGACGTTGCTA</t>
  </si>
  <si>
    <t>TAACCGCAGACTTCTCTACAGGGCCTCACCACCAACTTCATCCACGGGCACCTTGCCCCACAGGGCAG</t>
  </si>
  <si>
    <t>TAACCGCAGACTTCTCTACAGTAGTCAGGTGCACC</t>
  </si>
  <si>
    <t>TAACCGCAGACTTCTCTACAGTAGTCAGGTGCACCATGGTGTCTGTTTAG</t>
  </si>
  <si>
    <t>TAACCGCAGACTTCTCTACAGTAGTCAGGTGCACCATGGTGTCTGTTTGAG</t>
  </si>
  <si>
    <t>TAACCGCAGACTTCTCTACG</t>
  </si>
  <si>
    <t>TAACCGCAGACTTCTCTACTGCCCTGAGGTGCACCATGGTGTCTGTTTGAGGTTGCTAGTGAACAG</t>
  </si>
  <si>
    <t>TAACCGCAGACTTCTCTAG</t>
  </si>
  <si>
    <t>CGCAGACTTCTTACA</t>
  </si>
  <si>
    <t>TAACCGCAGACTT</t>
  </si>
  <si>
    <t>TAACCGCAGACTTTAAGTCTGCGGTTACTGCCCTGTGGGGCAAGGTGAACGTGGATGAAGTTGGTGGTGAGGCCCTGGGC</t>
  </si>
  <si>
    <t>TAACCGCAGACTTTCTCTACAGGAGTCAGGTGCACCATGGTGTCTGTTTGAGGTGCTAGTGAACACAGC</t>
  </si>
  <si>
    <t>TAACCGCAGACTTTTCTACAGGAGTCAGGTGCACCATGGTTTCTGTTTGAGGTTGCTAGTGAACACAGTTGTGTCAGAAGCAAATGTAAGCAATAGATG</t>
  </si>
  <si>
    <t>TAACCGCAGAT</t>
  </si>
  <si>
    <t>CGCAGATAC</t>
  </si>
  <si>
    <t>TAACCGCAGATACTCACCACCAACTTCATCCACGTTCACCTTGCCCCACAGGGCAG</t>
  </si>
  <si>
    <t>TAACCGCAGATTCTATCACCTTGCCCCACAGGGCAG</t>
  </si>
  <si>
    <t>TAACCGCAGATTTCTCAACAGGAGTCAGGTGCACCATGGTGTCT</t>
  </si>
  <si>
    <t>TAACCGCAGATTTCTCTACAGGAGTCAGGTGCACCATGGTGTCTGGGTGAGGTTGCTAGTGAACACAG</t>
  </si>
  <si>
    <t>TAACCGCAGATTTCTCTACAGGAGTCAGGTGCACCATGGTGTCTGTTTGAGGTTGCTAGTGAGCACAG</t>
  </si>
  <si>
    <t>TAACCGCAGATTTCTCTACAGGAGTCAGGTGCCCCATGGCCTCACCACCAACTTCATCCACGTTCACCTTGCCCC</t>
  </si>
  <si>
    <t>TAACCGCAGATTTCTCTACAGGAGTCAGGTGCCCCATGGTGTCTGTTTGAGGTTGCTAGTGAACACAG</t>
  </si>
  <si>
    <t>TAACCGCAGATTTCTCTACAGGAGTCAGGTGCCCCATGGTGTCTGTTTGAGGTTGCTAGTGAACGCAG</t>
  </si>
  <si>
    <t>TAACCGCAGGGCAG</t>
  </si>
  <si>
    <t>TAACCGCCGCCATCTCTACAGGAGTCCGGTGCACCATGGTGTGCGTT</t>
  </si>
  <si>
    <t>TAACCGCTAACGGTTACTGCCCTGTGGGGCAAGGTGAACGTGGATGAAGTTGGTGGTGAGGC</t>
  </si>
  <si>
    <t>CGTACC</t>
  </si>
  <si>
    <t>TAACCTCAGACTTCTCTACAGGAGTCAGGTGCACCATGGTGTCTGTTTGAGGTTGCTAGTGAACACAGTTGTGTCAGAAGCAAAT</t>
  </si>
  <si>
    <t>TAACGGCAGACTTCTCCTCAGGAGTCAGGTGCAACAAGGTGGCTGATTGAGGCTGCTACTGAATACAGTTGTGTCAGAAGCAAATGTAAGCAAT</t>
  </si>
  <si>
    <t>TAACGGCAGACTTCTCCTCAGGAGTCAGGTGCACCACCGTGTCTGTTTGAGGTTGCTAGTGAACACAGTTGTG</t>
  </si>
  <si>
    <t>TAACGGCAGACTTCTCCTCAGGAGTCAGGTGCACCACGGGGTCTGCAAGGGCC</t>
  </si>
  <si>
    <t>TAACGGCAGACTTCTCCTCAGGAGTCAGGTGCACCATGGTGTCTGATTGAGGTTGCTAGTGAACACAGTTGTGTCAGAAGCAAATGTAAGCAAT</t>
  </si>
  <si>
    <t>TAACGGCAGACTTCTCCTCAGGAGTCAGGTGCACCATGGTGTCTGTGTGAGGTTGCTAGTGAACACAGTTGTGTCAGAAGCAAATGTAAGCAAT</t>
  </si>
  <si>
    <t>TAACGGCAGACTTCTCCTCAGGAGTCAGGTGCACCATGGTGTCTGTGTGAGGTTGCTAGTGAACACAGTTGTGTCAGAAGCAAATGTAAGGAAG</t>
  </si>
  <si>
    <t>TAACGGCAGACTTCTCCTCAGGAGTCAGGTGCACCATGGTGTCTGTTTGAGGTTGCTAGTGAACACAGTGGTGTCAGAGGCAA</t>
  </si>
  <si>
    <t>TAACGGCAGACTTCTCCTCAGGAGTCAGGTGCACCATGGTGTCTGTTTGAGGTTGCTAGTGAACACAGTTG</t>
  </si>
  <si>
    <t>TAACGGCAGACTTCTCCTCAGGAGTCAGGTGCACCATGGTGTCTGTTTGAGGTTGCTAGTGAACACAGTTGTGGCAGAAG</t>
  </si>
  <si>
    <t>TAACGGCAGACTTCTCCTCAGGAGTCAGGTGCACCATGGTGTCTGTTTGAGGTTGCTAGTGAACACAGTTGTGTCAAGCAAAAGCAATGCG</t>
  </si>
  <si>
    <t>TAACGGCAGACTTCTCCTCAGGAGTCAGGTGCACCATGGTGTCTGTTTGAGGTTGCTAGTGAACACAGTTGTGTCAGAAAGCCATC</t>
  </si>
  <si>
    <t>TAACGGCAGACTTCTCCTCAGGAGTCAGGTGCACCATGGTGTCTGTTTGAGGTTGCTAGTGAACACAGTTGTGTCAGAAGCAAAT</t>
  </si>
  <si>
    <t>TAACGGCAGACTTCTCCTCAGGAGTCAGGTGCACGATGGTGTCTGTTTGAGGTTGCTAGTGAACACAGTTGTGTCAGAAGCAAATGTAAGCAATAGAT</t>
  </si>
  <si>
    <t>TAACGGCAGACTTCTCCTCAGGAGTCAGGTGCCCCATGGTGTCTGTTTGAGGTGGCTAGTGAACACCGTTGTCCCAGAAGCACATGTCCGCAATGGATG</t>
  </si>
  <si>
    <t>TAACGGCAGACTTCTCCTCAGGAGTCAGGTGCCCCATGGTGTCTGTTTGAGGTTGCTAGTGAACGCAG</t>
  </si>
  <si>
    <t>TAACGGCAGACTTCTCCTCAGGAGTCAGGTGCCCCATGGTGTGTGTTTGAGGCAGCTAGTGACCCCAGTTGCGTGAGCAGCAAATGTG</t>
  </si>
  <si>
    <t>TAACGGCAGACTTCTCCTCAGGAGTCAGGTGCGCCATGGTGTCTGTTTGAGGTTG</t>
  </si>
  <si>
    <t>TAACGGCAGACTTCTCCTCAGGAGTCAGGTGCTCCATGGTGTCTGTCTGAGGTTGCTACTGAACACAGTTGCGTCAGAAGCAAATGTAAGCAGGAGA</t>
  </si>
  <si>
    <t>TTTACTGCCCTTCCT</t>
  </si>
  <si>
    <t>TAAGAAGTCTGCGGTTACTGCCCAGGGCCTCACCACCAACTT</t>
  </si>
  <si>
    <t>CAGACTTCTCCTCAGGAGTCAGGTGCACCATGGT</t>
  </si>
  <si>
    <t>CA</t>
  </si>
  <si>
    <t>TACAGGAGTCAGGTGCACCATGGTGTCTGTCCGAGGTTGCTAGCGAACCCAGGTGTGTCCGCAGCCAATATAAGCAATAGAC</t>
  </si>
  <si>
    <t>TACAGGAGTCAGGTGCACCATGGTGTCTGTTTGAGGTTGCAAGTGAAAAAAGTTGTGTCAAAGCAAATGTAAGCAATAGATGGCTCTGCCCTGA</t>
  </si>
  <si>
    <t>TACAGGAGTCAGGTGCACCATGGTGTCTGTTTGAGGTTGCTAGTGAACACAGTTGTGTCAAAGGGAATGTAAGCAATAGACGGCTCTGCCCTGA</t>
  </si>
  <si>
    <t>TACAGGAGTCAGGTGCACCATGGTGTCTGTTTGAGGTTGCTAGTGAACACAGTTGTGTCAGAAGCAAACGTAAGCAATAGAT</t>
  </si>
  <si>
    <t>TACAGGAGTCAGGTGCACCATGGTGTCTGTTTGAGGTTGCTAGTGAACTCAGTTGTGTCAAAGCAAATGTACGCAATAGATGGCTCTGCCCTGA</t>
  </si>
  <si>
    <t>TACAGGAGTCAGGTGTACCATGGTGTCTGTTTGAGGTTGCTAGTGAACACAGTTGTGTCAGAAGCAAATGTAAGCAATAGAT</t>
  </si>
  <si>
    <t>TACCCAGGGCCTCACCACCAACTTCATCCACGTTCCCCTTGCCCCACAGGGCAGTAACCGCAGACTTCTCTACAGGAGTCAGGTGCACCATGGTGTCTGT</t>
  </si>
  <si>
    <t>TACTGCCCTGGGCCTCACCACCAACTTCATCCACGTTCACCTTGCCCCACAGGGCAGTAACCGCAGACTTCTCTACAGGAGTCAGGTGCACCACAG</t>
  </si>
  <si>
    <t>TAGAGAAGTCTGCGGTTACCTGCCCAGGGCCTCACCACCAACTTCATCCACGTTCACCTTGCCCCACAGGGCAGG</t>
  </si>
  <si>
    <t>TAGAGAAGTCTGCGGTTACTGCCCTGTGGGGCAAGGTGAACGTGGATGAAGTTGGTGGTGAACACAGTTGTGTCAGAAGCAAATGT</t>
  </si>
  <si>
    <t>TAGAGAAGTCTGCGGTTACTGCCCTGTGGGGCAAGGTGAACGTGGATGAAGTTGGTGGTGAGGCCCTGGGC</t>
  </si>
  <si>
    <t>TAGCAACCTCAAACAGACACCATGGTGCACCTGACTCCTGTAGAGAAGTCTGCGGTTACTGCCCTGTGGGGCAAGGT</t>
  </si>
  <si>
    <t>TG</t>
  </si>
  <si>
    <t>TAGCAACCTCAAACAGACACCATGGTGTCTGTTTGAGGTTGCTAGTGAACACAGTTGTGTCAGAAGCAAATGTAAGCAATAGATGGCTCTGCCCTGAAG</t>
  </si>
  <si>
    <t>TAGGGCCTCACCACCAACTTCATCCACGTTCACCTTGCCCCACAGGGCAG</t>
  </si>
  <si>
    <t>TAGGGCCTCACCCCCAACTTCATCCACGTTCACCTTGCCCCACAGGGCAGTAACCGCAGACTTCTCTACAGGAGTCAGGTGCACCATGGTGTCTTG</t>
  </si>
  <si>
    <t>TATAACGGCAGACTTCTCCTCAGGAGTCAGGTGCACCATGGTGTCTGTTTGAGGTTGCTAGTGAACACAGTTGTGTCAGAAGCAAATGTAACG</t>
  </si>
  <si>
    <t>TATAACGGCAGACTTCTCTACAGGAGTCAGGTGCACCATGGTGTCTGTTTCAGGTTGCTAGTGAACACAGTTGTGTCAGAAGCAAATGTAAG</t>
  </si>
  <si>
    <t>TT</t>
  </si>
  <si>
    <t>TCAAACAGCCACCATGGTGCACCTGACTCCTGTAGAGAAGTCTGCGGTTACTGCCCTGTGGGGCAAGGTGAACGTGGATGAAGTTGGTGGTGAG</t>
  </si>
  <si>
    <t>C</t>
  </si>
  <si>
    <t>TCACCACCAACTTCATCCACGTTAACCTTGCCCCACAGGGCAG</t>
  </si>
  <si>
    <t>TCACCACCAACTTCATCCACGTTCACCTTGACCCACAGGGCAG</t>
  </si>
  <si>
    <t>TCACCACCAACTTCATCCATGTTCACCTTCCCCCACAGCGCGG</t>
  </si>
  <si>
    <t>TCACCGCACACTCCTCTACAGCAGTCAGGTTCACCA</t>
  </si>
  <si>
    <t>TCAGAAGCAAATGTAAGCAATAGATGGCTCTGCCCTGCACCAACTTCATCCACGTTCACCTTGACCCACAGGGCAG</t>
  </si>
  <si>
    <t>TCAGGTGCACCATGGTGTCTGTTTGAGGTTGCTAGTGAACACAGTTGTGTCAGAAGCAAATGTAAGCAATAGATGGCTC</t>
  </si>
  <si>
    <t>TCAGGTGCACCATGGTGTCTGTTTGAGGTTGCTAGTGAACACAGTTGTGTCAGAAGCAAATGTAAGCAATAGATTGCTCTGCCCCTTGCCCCACAGGTCAG</t>
  </si>
  <si>
    <t>TCAGGTGCACCATGGTGTCTGTTTGAGGTTGCTAGTGAACTCAGTTGTGTCAGAAGCAAATGTAAGCAATAGATGGCTCTGCCCCTTGCCCCACAGGGCAG</t>
  </si>
  <si>
    <t>TCCCAGGGCCTCACCACCAACTTCATCCACGTTCACCTTGCCCCACAGGGCAGTAACCGCAGACTT</t>
  </si>
  <si>
    <t>TCCTGTAGAGAAGGCTGCGGTTACTGCCCTGTGGGGCAAGGTGAACGTGGATGAAGTTGGTGGTGAGGCCCTGGGCAGGT</t>
  </si>
  <si>
    <t>TCGGTAGCTGGGAGGAGGAACGGTGATGTCATGCCTTCCGGGCTCCTC</t>
  </si>
  <si>
    <t>TCTACAGGAGTCAGGTGCACCATGGTGTCTGTTTGAGGTTGCTAGTGACCGCAGTTGTGTCAGAAGCAAATGTAAGCAATAGAT</t>
  </si>
  <si>
    <t>TCTCAG</t>
  </si>
  <si>
    <t>TCTCTACAGGAGTCAGGTGCACCATGGTGACTCTTTGAGGTTGCTAGTGAACACAGTTGTGTCAGAAGCCAATGTAAGCAATAGATAGCTCTGCCCTGA</t>
  </si>
  <si>
    <t>TCTCTACAGGAGTCAGGTGCACCATGGTGTCTGTTTGAGGTTGCTAGTGAACACAGTTGTGTCAGAAGCAAATGTAAGCAATAGATGGCTCTGCCCTA</t>
  </si>
  <si>
    <t>TCTCTACAGGAGTCAGGTGCACCATGGTGTCTGTTTGAGGTTGCTAGTGAACACAGTTGTGTCAGAAGCAAATGTAAGCAATAGATGGCTCTGCCCTGA</t>
  </si>
  <si>
    <t>TCTCTACAGGAGTCAGGTGCACCATGGTGTCTGTTTGAGGTTGCTAGTGAACACAGTTGTGTCAGAAGCAAATGTAAGCAATAGATGGCTCTGCC</t>
  </si>
  <si>
    <t>CGC</t>
  </si>
  <si>
    <t>TCTCTACAGGAGTCAGGTGCACCATGGTGTCTGTTTGAGGTTGCTAGTGAACACAGTTGTGTCAGAAGCAAATGTAAGCAATAGTCCACAGGGCGG</t>
  </si>
  <si>
    <t>TCTCTACAGGAGTCAGGTGCACCATGGTGTCTGTTTGAGGTTGCTAGTGAACCCAGTTGTGTCAGAAGCAAATGTAAGCAATAGATGGCTCTGCCCTGA</t>
  </si>
  <si>
    <t>TCTCTACAGGAGTCAGGTGCACCATGGTGTCTGTTTGAGGTTGCTAGTGAACCCAGTTGTGTCAGAAGCAACTGTAAGCAATAGATGGCTCTGCCCTGA</t>
  </si>
  <si>
    <t>TCTGTTTGAGGTTGCTAGTGAACACAGTTGCGTCAGAAGCAAATGTAAGCAATAGATGGCTCTGCCCTGAA</t>
  </si>
  <si>
    <t>TCTGTTTGAGGTTGCTAGTGAACACAGTTGTGTCAGAAGCAAATGTAAGCAATAGATGGCTCTGCCCTGAA</t>
  </si>
  <si>
    <t>TGACTCCTGTAGAGAAGTCTGCGGTTACTGCCCTGTGGGGCAAGGTGAACGTGGATGAAGTTGGTGGTGAGGCCCTG</t>
  </si>
  <si>
    <t>TGCCCCACAGGGCAGTAACCGCAGACTTCCCTACAGGAGTCAGGTGCGCGATGGTGTCTGTTT</t>
  </si>
  <si>
    <t>TGCCCCACAGGGCAGTAACCGCAGACTTCTCTACAGGAGTCAGGTGCACCATGGTGTGTGTTT</t>
  </si>
  <si>
    <t>TGCGGTTACTGCCCTGTGGGGCAAGGTGAACGTGGATGAAGTTGGTGGGGAGGC</t>
  </si>
  <si>
    <t>TGCGGTTACTGCCCTGTGGGGCAAGGTGAACGTGGATGAAGTTGGTGGTGAGGCCCTGGGCAGGT</t>
  </si>
  <si>
    <t>TGCTTCTGACACAACTGTGTTCACTAGCAACCACCAACTTCATCCACGTTCACCTTCCCCACAGGGCAG</t>
  </si>
  <si>
    <t>TGCTTCTGACACAACTGTGTTCACTAGCAACCACCAACTTCATCCACGTTCACCTTGCCCCACAGGGCAG</t>
  </si>
  <si>
    <t>TGGAAGTCTGCGGTTACTGCCCTGTGGGGCAAGGTGAACGTGGATGAAGTTGGTGG</t>
  </si>
  <si>
    <t>GGCAGACT</t>
  </si>
  <si>
    <t>TGGGGCAAGATGAACGTGGATGAAGTTGGTGGTGAGGCCCTGAG</t>
  </si>
  <si>
    <t>TGG</t>
  </si>
  <si>
    <t>TGGTGCACCTGACTCCTGTAGAGAAGTCTGCGGTTACTGCCCTGTGGCCAGGGCCTCACCACCAACTTCATCCACGTTCACCTTGCCCCACAGGGCAG</t>
  </si>
  <si>
    <t>TGGTGCACCTGACTCCTGTAGAGAAGTCTGCGGTTACTGCCCTGTGGGGCAAGGTGAACGTGGATGAAGTTGGTGGTGAGG</t>
  </si>
  <si>
    <t>TGGTGCTCCTGACTCCTGTAGAGAAGTCTGCGGTTGCTGCCCTGTGGGGCAAGGTGAACGTGGATGAAGTTGGTGGTGAGG</t>
  </si>
  <si>
    <t>TGGTGTCTGTCTGAGGTTGCTAGTGAACACAGTTGTGTCAGAAGCACATGTAAGCAATAGATGGCTCTAG</t>
  </si>
  <si>
    <t>TGGTGTCTGTCTGAGGTTGCTAGTGAACACTGTTGTGTCAGAAGCACATGTAAGCAATAGAAGGATCTAG</t>
  </si>
  <si>
    <t>TGTAG</t>
  </si>
  <si>
    <t>TGTGCGGTTACTGCCCTGTGGGGCAG</t>
  </si>
  <si>
    <t>TGTTCACTAGCAACCTCAAACAGACACCATGGTGTCTGTTTGAGGTTGCTAGTGAACACAGTTGTGTCAGAAGCAAATGTAAGCAATAG</t>
  </si>
  <si>
    <t>TGTTTGAGGTTGCTAGTGAACACAGTTGTGTCAGAAGCAAATGTAAGCAATAGAGGGCTCTGCCCTGAA</t>
  </si>
  <si>
    <t>TGTTTGAGGTTGCTAGTGAACACAGTTGTGTCAGAAGCAAATGT</t>
  </si>
  <si>
    <t>TGTTTGAGGTTGCTAGTGAACACAGTTGTGTCAGAAGCAAATGTAAGCAATAGATGGCTCTGCCCTGCA</t>
  </si>
  <si>
    <t>TTAACGGCAGACTTCTCCTCAGGAGTCAGGTGCACCATGGTGGCTGAGTGAGGTTGCTAGTGAACCCAGTTGGGTCAGAAGCAAATGTAGGCAATA</t>
  </si>
  <si>
    <t>TTAACGGCAGACTTCTCTACAGGAGTCAGGTGCACCATGGTGTCTGTTTGAGGTTGCTAGTGAACACAGTTGTGTCACAAGCAAATGT</t>
  </si>
  <si>
    <t>TTAACGGCAGACTTCTCTACAGGAGTCAGTTGCCCCGTGGTGCGCCTGCCCAGGGCCTCACCACCAACTTCATCCACGTTCACCTTGCCCCACAGGGCAG</t>
  </si>
  <si>
    <t>TTAGT</t>
  </si>
  <si>
    <t>TC</t>
  </si>
  <si>
    <t>TTCAGGGCAGAGCCATCTATTGCTTACATTTGC</t>
  </si>
  <si>
    <t>TTCTCTACAGGAGTCAGGTGCACCATGGTGTCTGTTTGAGGTTGCTAGTGAACACAGTTGTGTCAGAAGCAAATGTAAGCAATAGATGGCTCTG</t>
  </si>
  <si>
    <t>TTCTCTACAGGAGTCAGGTGCACCATGGTGTTTGTATGAGGTTGCTAGTGAACCCAGTTGTGTCAGAAGCAAAAGTAAGCAAGAGATGGCTCTG</t>
  </si>
  <si>
    <t>TTGCCCTGTGGGGCAAGGTGAACGTGGATGAAGTTGGTGGTGAGGCCAG</t>
  </si>
  <si>
    <t>TTTGGACAGAAAGGCTACAGGGTGTGGTCCTGGCTCTTGTGTAAGAATTCTGACCACACTAACCATGCCTAAG</t>
  </si>
  <si>
    <t>TTTTGCCCCACAGGGCAGTAACCGCAGACTTCTCTACAGGAGTCAGGTGCACCATGGTGTCTGTTTGAGGTTGCTAGTGAACACAGTT</t>
  </si>
  <si>
    <t>TTTT</t>
  </si>
  <si>
    <t>TAACCGCAGACTTCTCTACAGGAGTCAGGTACACCATGGTGTCTGTTTGA</t>
  </si>
  <si>
    <t>TCTCTTCAATTACATTCCTTTCCATTCCTTTCCATTCCACTCAGATTGATTCCAATCCACTCCATTTCATTCTATTCCA</t>
  </si>
  <si>
    <t>TGACAGCAGTCTTCTCCTCAGGAGTCAGATGCACCATGGTGTCTGTTTGAGGGTGCTAGTGAACACAGTTGTGTCAGAAGCAAATGTAAGCAATAGATGG</t>
  </si>
  <si>
    <t>AGC</t>
  </si>
  <si>
    <t>GTAACGGCAGACTT</t>
  </si>
  <si>
    <t>TGGTGCACCTGACTCCTGTAGAGAAGTCTGCGGTTACTGCCCTGTGGGGCAAGGTGAACGCG</t>
  </si>
  <si>
    <t>CCACAGGGC</t>
  </si>
  <si>
    <t>CTGTGTGGGGCAAGGTGAACGTGGATGAAGTTGGTGCTGTGTCCCTG</t>
  </si>
  <si>
    <t>TAGGT</t>
  </si>
  <si>
    <t>CAGACATCTCTACAGGAGTCAGGTGCACCATGGTGTCTGTTTGAGGTTGCTAGTGAACACAGGTGTGTCAGAAGCAAAAG</t>
  </si>
  <si>
    <t>CAGACATCTCTACAGGAGTCAGGTGCACCATGGTGTCTGTTTGAGGTTGCTAGTGAACACAGTTGTGTCAGAAGCAAATG</t>
  </si>
  <si>
    <t>CCACGTTCACCTTGCCCCACAGGGCAGTAACCGCAGAATTCTCTGCAGGAGTCAGGTGCACCATGGTGTCTGTTTGAGGTTGCTG</t>
  </si>
  <si>
    <t>CACCACAACTTCATCCACGTTCACCTTGCCCCACAGGGCAATAACCGCAGACATCTCTACAGGAGGCAGGTGCACCATGGTGTCTGTTTGAGGTTGCTAG</t>
  </si>
  <si>
    <t>CACCACCAACTTCATCCACGTTCACCTTGCCCCACAGTGCAG</t>
  </si>
  <si>
    <t>CACCACCAACTTCATCCACGTTCACCTTGGTGTCTGGTTGAGGTTGCTAGTGAACGCAGTTGCGTCAGAAGCAAATGTAAGCAATAGATGGCTCAGCCCTG</t>
  </si>
  <si>
    <t>CACCACCAACTTCATCCACGTTCACCTTGGTGTCTGTTTGAGGTTGCTAGTGAACACAGTTGTGTCAGAAGCAAATGTAAGCAATAGATGGCTCTGCCCTG</t>
  </si>
  <si>
    <t>CACCACCAACTTCATCCACGTTCACTTTGCCCCACAGGGCAG</t>
  </si>
  <si>
    <t>GCACAGGGCCTCACCACCAACTTCATCCACTTTCACCTTGCCCCACAGGGCAG</t>
  </si>
  <si>
    <t>TAACCGCAGACTTCTCTACAGGAGTCAGGCGCCCCATTGTGTCTGGTTGAGGTTGCTCGTGAGCGCGG</t>
  </si>
  <si>
    <t>ACGGCAGACTTCTCTACAGGAGTCAGGTGCACCATGGAGTCTGTTTGAGGTTGCTAGTCAACACAGTTGTGTCACAAGCAAATGTAACCACTAGAGGG</t>
  </si>
  <si>
    <t>ACCACCAACTTCATCCACGTTCACCTTGCCCCACAGGGCAGTAACCGCAGACTTCTCTACAGGAGTCAGGTGCACCATGGTGTCTGTTTGAGGTTGCTAGTG</t>
  </si>
  <si>
    <t>CCATTCCACTCCATTCGATTGCACTCGGGTTGATTCCATTCCATTCCAACCCATACCATTCCACTCCATTCCG</t>
  </si>
  <si>
    <t>GGGC</t>
  </si>
  <si>
    <t>CTGACACAACTGTGTTCACTAGCAACCTCAAACAGACACCATGGTGTCTGTTTGAGGTTGCTAGTGAACACAGTTGTGTCAGACGCAAATGG</t>
  </si>
  <si>
    <t>TTGCCCCACAGGGC</t>
  </si>
  <si>
    <t>AAGTCTGCGGTTACTGCCCTGTGGGCAAGGTGAACGTGGATGAAGTTGGTGGTGAGGCCCTGG</t>
  </si>
  <si>
    <t>AAGTCTGCGGTTACTGCCCTGTGGGGCAAGGTGAACGTGGATGAAGTTGGTGGTGGGGCCCTGG</t>
  </si>
  <si>
    <t>AGGTGGACGTGGATGAAGT</t>
  </si>
  <si>
    <t>AGAAGTCTGCGGTTACTGCCCTGTGGGGCAAGGTGAACGTGGATGAAGTTGGTGGTGAGGCCCTGGG</t>
  </si>
  <si>
    <t>TAACCGCAGACTTCTCTACAGGAGTCAGGTGCACCCTGCTGTCTGTTTGTGGTTGCTAGTGAACACGGTTG</t>
  </si>
  <si>
    <t>GGCAGAGCCATCTATTGCTTACATTTGCTTCTGACACAACTGTGTTCACTAGCAACCTCAAACAGACACCATG</t>
  </si>
  <si>
    <t>CAGTAACGGCA</t>
  </si>
  <si>
    <t>AAGTGGCAGCCGCAGCCACAGACACCACCACCTCCCCCACCACAGCGGAAGCGGCCTTTGCACCTACCGCCACGGCTGCGCCGGCA</t>
  </si>
  <si>
    <t>TAACCGGCCTCACCACCAACTTCATCCACGTTCACCTTGCCCCACAGGGCAG</t>
  </si>
  <si>
    <t>GAGCCTCACCACCAACTTCATCCACGTTTACCTTGCCCCACAGGGCAGTAACCGCAGACTTCTCTACAGGAGTCAGGTGCACCATGGTGTCTGTTTGA</t>
  </si>
  <si>
    <t>CTGCCC</t>
  </si>
  <si>
    <t>CACCACCAACTTCATCCACGTTCACCTTGCCCCACAGGGCAGTAACCGCAGACTTCTCTACAGGAGTCAGGTGCACCATGGTG</t>
  </si>
  <si>
    <t>CACCACCAACTTCATCCACGTTCACCTTGCCCCACAGGGCAGTAACCGCAGATTTCTCTACAGGAGTCAGGTGCACCATGGTG</t>
  </si>
  <si>
    <t>ACAACTGTGTTCACTAGCAACCTCAAACAGACACCATGGTGCACC</t>
  </si>
  <si>
    <t>CTCAGGAGTCAGGAGCACCATGGTGTCTGTAGGAGGTTGCTAGTGAACTCAGTTCTGTCAGCAGCAAATGTAAGCAATAGATGGCTCTGCCTTGATG</t>
  </si>
  <si>
    <t>ACTTCTCCTCAGGA</t>
  </si>
  <si>
    <t>GTGCACCATGGTGTCGGTTTGAGGTTGCTAGTGAACACAGTTGTGTCAGAAGCAAATGTAAGCAATAGATGGC</t>
  </si>
  <si>
    <t>GTGCACCATGGTGTCTGATTGAGGTTGCTAGTGAACACAGTTGTGTCAGACGCAAATGTAAGCAATAGATGGC</t>
  </si>
  <si>
    <t>GTGCACCATGGTGTCTGTTTGAGGTTGCTAGTGAACACAGTTGTGTCAGAAGCAAATGAAAGCAATAGATGGC</t>
  </si>
  <si>
    <t>GTGCACCATGGTGTCTGTTTGAGGTTGCTAGTGAACACAGTTGTGTCAGAAGCAAATGTAAGCAATAGATGGC</t>
  </si>
  <si>
    <t>TAACCGCAGACTTCTCCTCAGGAGTCAGGTGCCCCATGGTGACCGTTTGAAGTTGCTAGTGAACACAGTTGTGCCAGAAGAAAATGTAAGATATGGATG</t>
  </si>
  <si>
    <t>TAACCGCAGACTTCTCTACAGGAGTCAGGTGCCCCATGGTTCATGTTTGAGGTTGCTAGTGCACAGAGTTG</t>
  </si>
  <si>
    <t>TAACCGCAGACTTCTCTACAGGAGTCAGGTGCCCCATGGTGTCTGTTTGAGGTGGCTA</t>
  </si>
  <si>
    <t>GT</t>
  </si>
  <si>
    <t>GTGCACCATGGTGTCTGTTTGAGGTTGCTAGTGAACACAGTTGTGTCAGAAGCAAATGTAAGCAATAGATGGCTCTGCCCTG</t>
  </si>
  <si>
    <t>GTGCACCATGGTGTCTGTTTGAGGTTGCTAGTGATCGCAGTTGTGTCAGAAGCAAATGTAAGGAATAGATGGCTCTGCCCTG</t>
  </si>
  <si>
    <t>CTTAAACCTGTCTTGAAACCTGGATACCAACCTGCCTCGGGCCCCACCACCAACCTCCTCAACGCTT</t>
  </si>
  <si>
    <t>TAACCGCAGACTTCTCTACAGGAGTCAGGTGAACCATGGTGTCTGTTTAAGGTTGCTAGTGAACACAGTTGTGTGAGAAGCAAATGTA</t>
  </si>
  <si>
    <t>TAACCGCAGACTTCTCTACAGGAGTCCGGTGCCCCATGGTGTCTGTTCGAGGTTGCTAGTGAACCCAGTTGCGTCAGAAGCAAATGTA</t>
  </si>
  <si>
    <t>TAACCGTAGGCTTCTCTACATGCGTCACGTGCGCCATGATGTCTGTTTGAGGTTGCTAGTCTACAGAGTTGTGTCAGAAGCAAATGAA</t>
  </si>
  <si>
    <t>GTGCACCATGGTGTCTGTTTGAAGTCGGTCGTGTACACGGGAGAGAAAGAAGCAAATGTAAGCAATAGAAGGCTCTGCCCTGATCG</t>
  </si>
  <si>
    <t>GTGCACCATGGTGTCTGTTTGAGGTTGCTAGTGAACACAGTTGTGTCACAAGCAAATGTAAGCAATAGATGGCTCTGCCCTGACCG</t>
  </si>
  <si>
    <t>GTGCACCATGGTGTCTGTTTGAGGTTGCTAGTGAACACAGTTGTGTCAGAAGCAAATGTAAGCAATAGATGGCTCTGCCCTGACAG</t>
  </si>
  <si>
    <t>TACCCGAAGACTTCTCTACAGGAGTCAGGT</t>
  </si>
  <si>
    <t>CCCACAGGGCAGTAACGGCAGACTTCTCCTCAGGA</t>
  </si>
  <si>
    <t>TAACCGCAGACTTCTCTACAGGAGTCAGGTGCACCATGGTGTCTGTTGGAGGTTGCCAGTAAACTCAGCTACGTCAGAAGCGAACGTAAGCGCAG</t>
  </si>
  <si>
    <t>TAACCGCAGACTTCTCTACAGGAGTCAGGTGCACCATGGTGTCTGTTTGAGGTTGCTAGTGAACACAGTTGTGTCAGAAGCAAATGTAAGCTCAG</t>
  </si>
  <si>
    <t>TAACCGCAGACTTCTCTACAGGAGTCAGGTGCACCATGGTGTCTGTTTGAGGTTGCTAGTGAACTCAGTTGTGTCAGAAGCAAATGTAAGCTCAG</t>
  </si>
  <si>
    <t>TAACCGCAGACTTCTCTACAGGAGTCAGGTGCGCCATGGTGCTTGTCTGAGGTTTCTAGTGAACACAGTTGTGTCAGAAGCACAG</t>
  </si>
  <si>
    <t>TAACCGCAGACTTCTCTACAGGAGTCAGGTGCGCCATGGTGTCTGTTTGAGGTTGCTAGTGAACACAGTTGTGTCAGAAGCAAAT</t>
  </si>
  <si>
    <t>TGACAGCAGTCTTCTCCTCAGGAGTCAGGTGCACCATGGTGTCTGTTTGAGGTTTCTAGTGAACACAGTTGTGTCAGAAGCAAAT</t>
  </si>
  <si>
    <t>AGGGCCTCACCACCAACTTCATCCACGGTTCACCTTGCCCC</t>
  </si>
  <si>
    <t>TAACCGCAGACTTCTCTACAGGAGTCAGGTGCACCATGGTGTCTGTTTGAGGTTGCTAGGGAA</t>
  </si>
  <si>
    <t>TAACCGCAGACTTCTCTACAGGAGTCAGGTGTACCATGATCTCTGACTGAGGTTGCTAGTCAACATAATTGTGTCAGAAGCAAATGTAAGCAATAG</t>
  </si>
  <si>
    <t>TAACCGCAGACTTCTCTACAGGATTCAGGTGCACCATGGTGTCTGTTTCAGGTTGCTAGTGAACCCACTTGTGTC</t>
  </si>
  <si>
    <t>TAACCGCAGACTTCTCTACAGGATTCAGGTGCACCATGGTGTCTTTTTGAGCTTGCTACTGAACACAGTTGTGTC</t>
  </si>
  <si>
    <t>TAACCGCAGACTTCTCTACAGGAGTCAGGTGCACCATGGTGTCTGTTTGAGGTTGCTAGAGAACACAGTTGTGTCAGAAGCAAATGTAAGCAATAGATGG</t>
  </si>
  <si>
    <t>TAACCGCAGACTACTCCACA</t>
  </si>
  <si>
    <t>CACAGGAGTCAGGTGCACCATGGTGTCTGCTTGAAATTGCGAGTGAACTCAGTCCTGTCAGAAGCAAATGTAAGCAATAGATGGCCCT</t>
  </si>
  <si>
    <t>TAACCGCAGACTTCTCTACAGGAGTCAGGTGCAACATGGTGTCTGTTTGAGGTTGCTAGTGAACACCGTCGTCTCAGAACCAAATGTAAGGAATAG</t>
  </si>
  <si>
    <t>AAGTCTGCGGTTACTGCCCTGTGGGGCAAGGTGAACGTGGATGAAGTTGGTGGTGAAGCCCTGGGG</t>
  </si>
  <si>
    <t>AGGGCCTCACCACCAACTTCATCCACGTTCACCTTGCCCCACAG</t>
  </si>
  <si>
    <t>CACCACCAACTTCATCCACGTTCCCTTTCCCCCCCCCGCCGAGGCCCCCACCCCCATTTTCATCAACTCTCACCCGCCCC</t>
  </si>
  <si>
    <t>CAGACTTCTCTACAGGAGTCAGGTGCACCCTGGTGTCTGTCTGAGGTTGCTTGTGAGAACAGTTGTGTCAGAA</t>
  </si>
  <si>
    <t>TTGTGTCA</t>
  </si>
  <si>
    <t>ACAGGAGTCAGGTGCACCATGGTGTCTGTTTGAGGTTGCTAGTGAACACAGGTGTATCAGAAGCAAATGTAAGCAATAGATGGCTCT</t>
  </si>
  <si>
    <t>TTGCCCCACAGGGCAGTAACG</t>
  </si>
  <si>
    <t>TAACCGCAGACTTCTCTACAGGAGTCAGGTGCAACATGGTGTCTGTTTGAGGTTGCTAGTGAACACAGTTGTGTCAGAAGCAAATGTAAGCAATAG</t>
  </si>
  <si>
    <t>TCACCACCAACTTCATCCACGTTCACCTTGCCCCAAAGGGCAG</t>
  </si>
  <si>
    <t>AGTAACCGCAGACTTCTCTACAGGAGTCAGGTGCGCCATGGTGTCTGTTTGAGGTTGCTAGTGAACACAGTTGTGTCAGAAGCAAATGTAAGCAATAGAT</t>
  </si>
  <si>
    <t>TAACCGCAGAATTCTCTACAGGAGTCAGGTGCA</t>
  </si>
  <si>
    <t>CACCTGCCCAGGGCCTCACCACCAACTTCATCCACGTTCACCTTGCCCCACAGGGCAG</t>
  </si>
  <si>
    <t>ATGTTCCCATTCCAGGCCTGAAAACCATCAATGGTCAAAGACAATGCTAGTCTTAGGAAGCCTTGACTCGCTTGTAAAACAGCATTTTACATGAGAAGAG</t>
  </si>
  <si>
    <t>CCAGGGCCTCACCACCAACTTCATCCACGTTCACCTGGACCCACAGGGCAG</t>
  </si>
  <si>
    <t>TAACCGCAGACTTCTCTACAGGAGTCAGGTGCACCATGGAGTATGTTCGAGGTTGCGAGTGACCACAGTTGTGTCAGAAGCCAATGTAACG</t>
  </si>
  <si>
    <t>TAACCGCAGACTTCTCTACAGGAGTCAGGTGCACCGTGGTGTCTGTCTGAGTTTGCTAGTGAACACAGGTGTGTCAGGGCAT</t>
  </si>
  <si>
    <t>GTGCACCATGGTGTCTGTTTGAAGTTGCTAGTGAACACAGTTGTGTCAGAAGCCAATGTAAGCAATAGAAGGCTCTGCCATGACAG</t>
  </si>
  <si>
    <t>TAACCGCAGACTTCTCTACAGGAGTCAGGTTCACCATCGTGTCTGTTTGATGGTGC</t>
  </si>
  <si>
    <t>TGCCCAGGGCCTCACCACCAACTTCATCCCCGTTCACCTTGCCGCACAGGGCAGTAACCTCAGACTTCTCTAAAGGAGTCAGGTGCACCATGTGGTCTGTT</t>
  </si>
  <si>
    <t>ACCTGCCCAGGGCCTCACCACCAACTTCATCCACGTTAACCTGGCACCTAAGGGCAG</t>
  </si>
  <si>
    <t>AAGAAGATAATAGTTTGTTAATCTTTTCAAAAAGCCCAACTTTTTGTTTCCTTGATCTTTTGTATTGTTGTTTTAATCTATTTCATTTATTTCTGCTTT</t>
  </si>
  <si>
    <t>TAACCGCAGACTTCTCTACAGGAGTCAGGTGCCCCATGGTGTCTGTTTTCAGGTTGTTATTGACCACAGTTGTGTCAGAAGCAAATG</t>
  </si>
  <si>
    <t>CAGGGCCTCACCACCAACTTCATCCACGTTCACCTTGCCCCACAGGGCAT</t>
  </si>
  <si>
    <t>GTAGAGAAGCCTGCGGTTACTGCCCTGTGGGGCAAGGTGAGCGTGGATGAAGGTGGTGGTGAGGCCCTGG</t>
  </si>
  <si>
    <t>TAACCGCAGACTTCTCTACAGGAGTCAGGTGAAACATGGTGTCTGT</t>
  </si>
  <si>
    <t>AACACAAAACAATCCAAAAAAAACTTTTGTAAGTGGTATTCTCTACCTAATTACTTTTTTTTAAAAAAAGGACACGAGCCACACACACAAGAAAAGTG</t>
  </si>
  <si>
    <t>TAACCGCAGACTTCTCTACAGGAGTCAGGTGCACCAAGGTGTCTGTTTGAGGTTGATAGTGAAGACAGTTGTGTCAGAAGGTATAG</t>
  </si>
  <si>
    <t>TAACCGCAGACTTCTCTACAGGAGTCAGGTGCACCATGGTGTCTGTTTGAGGTTGCTAGTGAACACTGTTGTGTCAGAAGCAAATGTAAGAAAGAGA</t>
  </si>
  <si>
    <t>TGTAGAGAAGTCTGCGGTTACTGCCCTGTGGGGCAAGGTGGGCCTCACCACCAACTTCACCCACGTTCACCTTGCCCCACAGGGCAG</t>
  </si>
  <si>
    <t>AGGGTTAGGGTTAGGGTTAGGGTTAGGGTTAGGGTTAGGGTTAGGGTTAGGGTTAGGGTTAGGGTTAGGG</t>
  </si>
  <si>
    <t>AACGG</t>
  </si>
  <si>
    <t>TAACCGCAGACTTCTCTACAGGAGTCAGGTACACTATGCCGCCTGTTTCAGGTGCCCAGGGGTCG</t>
  </si>
  <si>
    <t>ACAGGAGTCAGGTGCACCATGGTGTCTGTTTGATGTTGCTAGTGAACACCGTTGTGTCAGAAGCAAATGTAAGCAATAGATGGCTCT</t>
  </si>
  <si>
    <t>TAACCGCAGACTTCTCTACAGGAGTCAGGTGCACCATGGTGTCTGTCTGAGGTTGCACGTTCACATTGCCAC</t>
  </si>
  <si>
    <t>GGGCAAGGTGAACGTGGATGAAGTTGGTGGTGAGGCACTGGGCG</t>
  </si>
  <si>
    <t>AAACAGACACCATGGTGCACCATGGTGTCTGTTTGAGGTTGCTAGTGAACACAGTTGTGTCAGAAGCAAATG</t>
  </si>
  <si>
    <t>TAACCGCAGACTTCTCTACAGGAGTCAGGTGCACCATGGCGTCTGTCTCAGGTCCCTAGTGAACACAGTTGTGTCAGAAGCAAATGTAAG</t>
  </si>
  <si>
    <t>TAACCGCAGACTTCTCTACAGGAGTCAGGTGCACCATGGTGTA</t>
  </si>
  <si>
    <t>AGGGCCTCCCCACCAACTTCATCCACGTTCACCTTGCCCCACAGGGCAGAGGGCCTCACCACCAACTTCATCCACGTTCACCTTGCCCCACAGGGCAG</t>
  </si>
  <si>
    <t>TAACCGCAGACTTCTCTACAGGAGTCAGGTGCACCATGGTGTCTGTTTCAGGGTGCTAGTGAACACAGGGGTGTCAGAAGCAAATGTAAG</t>
  </si>
  <si>
    <t>AAAAG</t>
  </si>
  <si>
    <t>ACCTGCCCACGGCCTCACCACCAACTACATCCACGTTCACCGTACCCCACAGGACAG</t>
  </si>
  <si>
    <t>ACTGG</t>
  </si>
  <si>
    <t>TAACCGCAGACTTCTCTACAGGAGTCAGGTGCACCATGGAGACTTGTTGAGGTTGCTAGAGAACACTTTTGTGTCAGAGGCAAATGTCAGCAATAGAT</t>
  </si>
  <si>
    <t>TAACCGCAGACTTCTCTACAGGAGTCAGGTGCACCATGGTGGCTGTTTGACGTTGCTAGCGAACACAGTTGTGTGAGAAGCAAATGTAA</t>
  </si>
  <si>
    <t>ACTTCATCCACGTTCACCTTGCCCCACAGG</t>
  </si>
  <si>
    <t>AGACTTCTCCT</t>
  </si>
  <si>
    <t>TTGCAGGGCAG</t>
  </si>
  <si>
    <t>TTTGAGGTTGCTAGTGAACACAGTTGTGTCAGAAGCAAATGTAAGCAATAGATGGCTCTGCCC</t>
  </si>
  <si>
    <t>AA</t>
  </si>
  <si>
    <t>CCACGTTCACCTTGCCCCACAGGGCAG</t>
  </si>
  <si>
    <t>GTCTGTTTGAGGTTGCTAGTG</t>
  </si>
  <si>
    <t>TA</t>
  </si>
  <si>
    <t>TACAGGAGTCAGGTGCACCATCTC</t>
  </si>
  <si>
    <t>CCTCAG</t>
  </si>
  <si>
    <t>TCA</t>
  </si>
  <si>
    <t>TACAGGACTC</t>
  </si>
  <si>
    <t>GGGCCTCACCACCAACTTCATCCACGTTCACCTTGCCCCACAGGGCAG</t>
  </si>
  <si>
    <t>G</t>
  </si>
  <si>
    <t>CACCACCAACTTCATCCACGTTCACCTTGCCCCACAGGGCAG</t>
  </si>
  <si>
    <t>TACACTTCTC</t>
  </si>
  <si>
    <t>GCCCAGGGCCTCACCACCAACTTCATCCACGTTCACCTTGCCCCACAGGGCAG</t>
  </si>
  <si>
    <t>CCAGGGCCTCACCACCAACTTCATCCACGTTCACCTTGCCCCACAGGGCAG</t>
  </si>
  <si>
    <t>CC</t>
  </si>
  <si>
    <t>CCTCACCACCAACTTCATCCACGTTCACCTTGCCCCACAGGGCAG</t>
  </si>
  <si>
    <t>CG</t>
  </si>
  <si>
    <t>GCCTCACCACCAACTTCATCCACGTTCACCTTGCCCCACAGGGCAG</t>
  </si>
  <si>
    <t>TAACGGCAGACTT</t>
  </si>
  <si>
    <t>TAACGGCAG</t>
  </si>
  <si>
    <t>A</t>
  </si>
  <si>
    <t>GTA</t>
  </si>
  <si>
    <t>TAACCGCAGACTTCTCTACAGGAGTCAGGTGCACCATGGTGTCTGTTTGAGGTTGCTAGTGAACACAGTTGTGTCAGAAGCAAATGTAAGCAAT</t>
  </si>
  <si>
    <t>CGCAGACTTCTCTACA</t>
  </si>
  <si>
    <t>AG</t>
  </si>
  <si>
    <t>GTAACGGCAG</t>
  </si>
  <si>
    <t>GCAGTAACGGCAGA</t>
  </si>
  <si>
    <t>TAACCAA</t>
  </si>
  <si>
    <t>CACCAACTTCATCCACGTTCACCTTGCCCCAC</t>
  </si>
  <si>
    <t>ATA</t>
  </si>
  <si>
    <t>ACCAACTTCATCCACGTTCACCTTGCCCCACAGGGCAG</t>
  </si>
  <si>
    <t>ATCATCCTAAGAAACCAGCCCCATGAATGAAAGTCAGTATAAACAAGCAACGAGAATTTAACCCTAAC</t>
  </si>
  <si>
    <t>GCGGTTACTGC</t>
  </si>
  <si>
    <t>GGGCAGTAACGGCAGACTTCTCCTCAGG</t>
  </si>
  <si>
    <t>AGGGCAGTAACG</t>
  </si>
  <si>
    <t>CATGGTGTCTGTTTGAGGTTGCTAGTGAACACAGTTGTGTCAGAAGCAAATGTAAGCAATAGATGGCTCTGCCCTGAA</t>
  </si>
  <si>
    <t>GGCAG</t>
  </si>
  <si>
    <t>GG</t>
  </si>
  <si>
    <t>TGTTTGAGGTTGCTAGTGAACACAGTTGTGTCAGAAGCAAATGTAAGCAATAGATGGCTCTG</t>
  </si>
  <si>
    <t>AGGGCAGTAACGGCA</t>
  </si>
  <si>
    <t>AGGG</t>
  </si>
  <si>
    <t>GCAGTAACGGCAGACTTCTCCTCAGG</t>
  </si>
  <si>
    <t>GTAA</t>
  </si>
  <si>
    <t>TAACGGCAGAC</t>
  </si>
  <si>
    <t>GGGCCTCACCACCAACTTCATCCACGTTCACCTTGCCCC</t>
  </si>
  <si>
    <t>CAGG</t>
  </si>
  <si>
    <t>CAG</t>
  </si>
  <si>
    <t>TAACGG</t>
  </si>
  <si>
    <t>TGCCCAGGGCCTCACCACCAACTTCGTCCACGTTCACCTTGCCCC</t>
  </si>
  <si>
    <t>ACAGGGCA</t>
  </si>
  <si>
    <t>CAGGGCAGTAACGGCA</t>
  </si>
  <si>
    <t>CAGGGCA</t>
  </si>
  <si>
    <t>AGGGCAGTAACGGCAGAC</t>
  </si>
  <si>
    <t>TAACCG</t>
  </si>
  <si>
    <t>TTCT</t>
  </si>
  <si>
    <t>CTTAAACCTGTCTTGTAACCTTGATACCAACCTGCCCAGGGCCTCACCACCAACTTCATCCACGTTT</t>
  </si>
  <si>
    <t>AGGGCAGTAAC</t>
  </si>
  <si>
    <t>TACAGGAGTCAGGCTTCTC</t>
  </si>
  <si>
    <t>GTTCACCTTGC</t>
  </si>
  <si>
    <t>TAACGGCAGACTTC</t>
  </si>
  <si>
    <t>CCCACAGGGCA</t>
  </si>
  <si>
    <t>AGACTTCT</t>
  </si>
  <si>
    <t>ACAGGGCAG</t>
  </si>
  <si>
    <t>TAACCGCAGACTTCTCTACAGGAGTCAGGTGCACCATGGTGTCTGTTTGAGGTTGCTAGTGAACACAGTTGTGTCAGAAGCAAATGTAAGCAATAGATG</t>
  </si>
  <si>
    <t>GGCCTCACCACCACCTTCATCCACGTTCACCTTG</t>
  </si>
  <si>
    <t>GTGTCTGTTTGAGGTTGCTAGTGAACACAGTTGTGTCAGAAGCAAATGTAAGCAATAGATGGCTCTGCCACAGGGCAG</t>
  </si>
  <si>
    <t>CCCCACAGGGCAG</t>
  </si>
  <si>
    <t>CCCCACAGGGC</t>
  </si>
  <si>
    <t>ACCTGCCCAGGGCCTCACCACCAACTTCATCCACGTTCACCTTGCCCCACTAGTGAACACAGTTGTGTC</t>
  </si>
  <si>
    <t>TTCTATTGGTCTCCTTAAACCTGTCTTGTAACCTTGATACCAACCTGCCCAGGGCCTCACCACCAACTTCATCCACGTTCACC</t>
  </si>
  <si>
    <t>CCCACAGGGCAGTAACGGCAG</t>
  </si>
  <si>
    <t>GCCCCACAGGGCAGTAACGGCAGACTTCTCCT</t>
  </si>
  <si>
    <t>TAACCGCAGACTTCTCTACAGGAGTCAGGTGCACCATGGTGTCTGT</t>
  </si>
  <si>
    <t>TAACCGCAGACTTCTCTACAGGAGTCAGGTGCACCATGGTGTCTGTTTGAGGTTGCTAGTGAACACAGTTGTGTCAGAAGCAAAT</t>
  </si>
  <si>
    <t>TCCACGTTCACCTTGCCCCACAGGGCAGTAACCGCAGACTTCTCTACAGGAGTCAGGTGCACCATGGTGTCTGT</t>
  </si>
  <si>
    <t>ACAGGGCAGTAAC</t>
  </si>
  <si>
    <t>GCCCCACAGGGC</t>
  </si>
  <si>
    <t>CACAGGGCAGTAACGGCAGACTTCTCCTCA</t>
  </si>
  <si>
    <t>GGCAGTAACGG</t>
  </si>
  <si>
    <t>CACAGGGCAG</t>
  </si>
  <si>
    <t>GCCCCACAGGGCAGT</t>
  </si>
  <si>
    <t>GGGCAGTAACGGC</t>
  </si>
  <si>
    <t>AGT</t>
  </si>
  <si>
    <t>TCTGTTTGAGGTTGCTAGTGAA</t>
  </si>
  <si>
    <t>ATGGTGTCTGTTTGAGG</t>
  </si>
  <si>
    <t>TACATC</t>
  </si>
  <si>
    <t>TACAGGAGTCAGGTGCACCATGGTGTCGGTTTGACTTCTC</t>
  </si>
  <si>
    <t>CAAACAGACTTCTCTACAGGAGTCAGGTGC</t>
  </si>
  <si>
    <t>TAACG</t>
  </si>
  <si>
    <t>GGGCAG</t>
  </si>
  <si>
    <t>TAACCGCAGACTTCTCTACAGGAGTCAGGTGCACCATGGTGTCTGTTTGAGGTTGCTAGTGAACACAGTTGTG</t>
  </si>
  <si>
    <t>TAACCGCAGACTTCTCTACAGGAGTCAGGTGCCCCATGGTGTCTGTTTGAGGTTGCTAGTGAACACAGTTGTGTCA</t>
  </si>
  <si>
    <t>TAACCGCAGACTTCTCTACAGGAGTCAGGTGCAC</t>
  </si>
  <si>
    <t>ACCACCAACTTCATCCACGTTCACCTTGCCCCACAGGGCAG</t>
  </si>
  <si>
    <t>GC</t>
  </si>
  <si>
    <t>TCCACGTTCA</t>
  </si>
  <si>
    <t>TAACCGCAGACTTCTCTAAG</t>
  </si>
  <si>
    <t>TAACCGCATGCGGTTACTGCCCTGTGGGGCAAGGTGAACGTGGATGAAGTTGGTGGTGAGG</t>
  </si>
  <si>
    <t>GCAGT</t>
  </si>
  <si>
    <t>TGGTGCACCTGACTCCTGTAGAGAAGTCTGCGGTTACTGCCCTGTGGGGCAAGGTGAACGTG</t>
  </si>
  <si>
    <t>TAACGGCAGACTTCTCC</t>
  </si>
  <si>
    <t>ACTCCTGTAGAGAAGTCTGCGGTTACTGCCCTGTGGGGCAAGGTGAACGTGGATGAAGTTGGTGGTGAGGCCCTGGGC</t>
  </si>
  <si>
    <t>CATCCACGTTCACCTTGCCCCACAGGGCAG</t>
  </si>
  <si>
    <t>TACAGGAGTCAGGTG</t>
  </si>
  <si>
    <t>CGCAGACTTCTCTAC</t>
  </si>
  <si>
    <t>TTACTGCCCTGTGGGGAAGGTGAACGTGGATGAAGTTGGTGGTGAGGCCCTGCCCAGGGCCTCACCACCAACTTCATCCACGTTCACCT</t>
  </si>
  <si>
    <t>GGAGCAGAGTTCT</t>
  </si>
  <si>
    <t>GTAACGGCAGAC</t>
  </si>
  <si>
    <t>ACGGCAGACTTCTCCTCAGGAGTCAGGTGCCCCATGGTGTCTGTTTGAGGTTGCTAGTGAACAC</t>
  </si>
  <si>
    <t>ACCACCAACTTCATCCACGTTCACCTTGCCCCACAGGGCAGTAACCGCAGACTTCTCTACAGGAGTCAGGTGCACCATGGTGTCTGTTAG</t>
  </si>
  <si>
    <t>ACCACCAACTTCATCCACGTTCACCTTGCCCCACAGGGCTG</t>
  </si>
  <si>
    <t>TAA</t>
  </si>
  <si>
    <t>CCTGCCCAGGGCCTCACCACCAACTTCATCCACGTTCTACTTGCCCCACAGGGCAG</t>
  </si>
  <si>
    <t>ACTTCTCCTCAGGAGTCAG</t>
  </si>
  <si>
    <t>ACTTCTCTACAGGAGTCAGGTGCACCATGGTGTCTGTTTGAGGTTGCTAGTGAACACAGTCCCTG</t>
  </si>
  <si>
    <t>ACTTCTGCCCAGGGCCTCACCACCAACTTCATCCACGTTCACCTTGCCCCACAGGGCAG</t>
  </si>
  <si>
    <t>TAACCGCAGACTTCTCTACAGGAGTCAGGTGCACCATGGTGTCTGTTTGAGGTTGCTAGTGAACACAGTTGGTCAGAAGCAAATGTAGCATG</t>
  </si>
  <si>
    <t>GCCTCACCACCAACTT</t>
  </si>
  <si>
    <t>TCACCACCAACTTCATCCACGTTCACCTTGCCCCACAGGGCAG</t>
  </si>
  <si>
    <t>TCACCACCAACTTCATCCACGTTCACCTTGCCCCGCAGGGCAG</t>
  </si>
  <si>
    <t>TCACCACCAACTTCATCCACGTTCACCTTGCCCGCCAGGGGCCTCTCTACCGACTTCAGCCGCTTTCGCCCTGTCCCACAGGGCGG</t>
  </si>
  <si>
    <t>TCACCACCAACTTCATCCACGTTCACCTTGGGTCCCAGGGGCCTCAGCAGCAAAGTCAGCCACGTCCGCCTTGCGCCGCAGGGCGG</t>
  </si>
  <si>
    <t>GTTACTGCCCTGTGGGGCAAGGTGAACGTGGATGAAGTTGGTGGTGAGGCCC</t>
  </si>
  <si>
    <t>CTCACCACCAACTTCATCCACGTTCACCTTGCCCCACAGGGCAGTAACCGCAGACTTCTCTACAGGAGTCAGGTGCC</t>
  </si>
  <si>
    <t>ACGTGGATGAAGTTGG</t>
  </si>
  <si>
    <t>TGCC</t>
  </si>
  <si>
    <t>GGCCTCACCACCAACTTCATCCACGTTCACCTTGCCCCACAGGGCAG</t>
  </si>
  <si>
    <t>GACAAGGTGAACGTGAATGAAGTTGGGGGTGAGGCCCTGGAG</t>
  </si>
  <si>
    <t>GGCAAGGTGAACGTGAATGAAGTTGGTGGTGAGGACCTGGAG</t>
  </si>
  <si>
    <t>GGCAAGGTGAACGTGAATGAAGTTGGTGGTGAGGCCCTGGCG</t>
  </si>
  <si>
    <t>GGCAAGGTGCACGTGAATGAAGTTGGTGGTGAGGCCCGGGAG</t>
  </si>
  <si>
    <t>CAGTAACGGC</t>
  </si>
  <si>
    <t>ACCTGCCCAGGGCCTCACCACCAACTTCATCCACGTGCACCTTGCCCCACATGGCAG</t>
  </si>
  <si>
    <t>ACGGCAGA</t>
  </si>
  <si>
    <t>TGACTTCTCCTCA</t>
  </si>
  <si>
    <t>GCAC</t>
  </si>
  <si>
    <t>GTAACGGCAGACTTCTCCTC</t>
  </si>
  <si>
    <t>GTAACGGC</t>
  </si>
  <si>
    <t>CTGACTCCTGTAGAGAAGTCTGCGGTTACTGCCCTGTGGGGCCTCACCCCCAACTTCATCCACGTTCACCTTGCCCCACAGGGCAG</t>
  </si>
  <si>
    <t>CGGTTACTGCCCTGTGGGGCAAGGTGAACGTGGATGAAGTTGGTGGTGAGGCCCTTGCCCCACAGGGCAGTAACCGCG</t>
  </si>
  <si>
    <t>TGTTTGAGGTTGCTAGTGAACACAGTTGTGTAAGCAACCAGTGTCTCTCCACCAACTTCATCCACGTTCACCTTGCCCCACAGGGCAG</t>
  </si>
  <si>
    <t>TCACCACCAACTTCATCCACGTTCACCTTGCCCCACAG</t>
  </si>
  <si>
    <t>CTGACACCTGCCCAGGGCCTCACCACCAACTTCATCCACGTTCACCTTGCCCCACAGGGCAG</t>
  </si>
  <si>
    <t>GAGTCAGGTGCACCATGGTGTCTGTTTGAGGTTGCTAGTGAACACAGTTGTGTCAGAAGCAAATGTAAGCAATAGG</t>
  </si>
  <si>
    <t>CGCAGACTTCTCTACAC</t>
  </si>
  <si>
    <t>TTGT</t>
  </si>
  <si>
    <t>AAGCA</t>
  </si>
  <si>
    <t>ACCTGCCCAGGGCCTCACCACCAACTTCATCCACGTTCACCTTGCCCCACAGGGCAG</t>
  </si>
  <si>
    <t>TACAGGAGTCAGGTGCACCCTGGTGTCTGTTTGAGGTTGCTCGTGAC</t>
  </si>
  <si>
    <t>TACAGGAGTCAGGTGTACCATGGTGTCTGTTTGAGGGTGCTAGTGAC</t>
  </si>
  <si>
    <t>AGGGCCTCACCACCAACTTCATCCACGTTCACCTTGACCCACAGGGCACAGGGCCTCACCACCAAATTCATCCACGTGAACCTTGCCCCACAGGGCAG</t>
  </si>
  <si>
    <t>ACTTCTCTACAGGAGTCAGGTGCACCATGGTGTCTGTTTGAGGTTGCTAGTGAACACCGTTCTGTCGGAAGCAAATGTAAGCAATAGATGGCTCTGCCCTGC</t>
  </si>
  <si>
    <t>ACTTCTCTACAGGAGTCAGGTGCACCATGGTGTCTGTTTGAGGTTGCTAGTTAACACAGTTGTGTCAGAAGCACATGTAAGCAATAGATGGCTCTGACTTGA</t>
  </si>
  <si>
    <t>ACTTCTCTACAGGAGTCAGGTGCACCATGGTGTCTGTTTGAGTTTGCTAGTGAACAACGTTGTCTCAGCAGCACATGTAAGCAATAGATGGCTCTGCCCTGA</t>
  </si>
  <si>
    <t>CTCACCACCAACTTCATCCACGTTCACCTTTCCCCAC</t>
  </si>
  <si>
    <t>GCCTCACCACCAACTTCATCCACGTTCACCTTGCCCCAC</t>
  </si>
  <si>
    <t>CAGGGCCTCACCACCAACTTCATCCACGTTCACCTTGCCCCACAGGGCAG</t>
  </si>
  <si>
    <t>CTACAGGAGTCAGGTGCACCATGGTGTCTGTTTGAGGTTGCTAGTGAACACAGTTGTGTCAGAAGCAAA</t>
  </si>
  <si>
    <t>CAACCTCAAACAGACACCATGGTGTCTGTTTGAGGTTGCTAGTGAACACA</t>
  </si>
  <si>
    <t>GGCAGTAACGGCAG</t>
  </si>
  <si>
    <t>TTTC</t>
  </si>
  <si>
    <t>TACAGGAGTCAGGTGCACAATTGTGTTTGTTTGAGGTTGCTAGTGAACACAGTTGTGTCAGAAGCAAATGTATTA</t>
  </si>
  <si>
    <t>TACAGGAGTCAGGTGCACCATGGTGTCTGTTTGAGGTTGCTAGTGAACACAGTTGTGTCAGAAGCAAATGTATTA</t>
  </si>
  <si>
    <t>TACAGGAGTCAGGTGCACCATTGTGTTTGTTTGAGGTTGCTAGTGAACACAGTTGTGTCAGAAGCAAATGTATTA</t>
  </si>
  <si>
    <t>AGGGCAG</t>
  </si>
  <si>
    <t>GACTTCTCCTCAGGA</t>
  </si>
  <si>
    <t>TCCACGTTCACCTTGCCCCA</t>
  </si>
  <si>
    <t>CAGGGCAG</t>
  </si>
  <si>
    <t>GACTTCTCCTCAGGAGACTTCTCCTCAGGAGTA</t>
  </si>
  <si>
    <t>CTGCCCAGGGCCTCACCACCAACTTCATCCACGTTCACCTTGCCTC</t>
  </si>
  <si>
    <t>CT</t>
  </si>
  <si>
    <t>TTACTGCCCTGTGGGGCAAGGTGAACGTGGATGAAGTTGGTGGTGAGGCCCTGGG</t>
  </si>
  <si>
    <t>CAGTAACG</t>
  </si>
  <si>
    <t>GACTCCTGTAGAGAAGTCTGCGGTTACTGCCCTGTGGGGCAAGGTGAAGGTGGATGAAGTTGGTGGTGAGGCA</t>
  </si>
  <si>
    <t>GGG</t>
  </si>
  <si>
    <t>CAGGGCAGTAACG</t>
  </si>
  <si>
    <t>TTCTCCT</t>
  </si>
  <si>
    <t>TGC</t>
  </si>
  <si>
    <t>CCATG</t>
  </si>
  <si>
    <t>CTGACTCCTGTAGAGAAGTCTGCGGTTACTGCCCTGTGGGGCAGTAACCGCAGACTTCTCTACAGGAGTCAGGTGCACCATGGTGTC</t>
  </si>
  <si>
    <t>AGTCTGCGGTTACTGCCCTGTGGG</t>
  </si>
  <si>
    <t>GATGAAGTTGG</t>
  </si>
  <si>
    <t>CAGGGCAGTAACGGCAGACTTCTCCTCA</t>
  </si>
  <si>
    <t>GAAGT</t>
  </si>
  <si>
    <t>ACGTTCACCTTGCCCCACAGGGCAG</t>
  </si>
  <si>
    <t>ACTCCAGTAGAGAAGTCTGCGGTTACTGCCCTGGGGGGGGAGGTAAACGTGGGGGATTC</t>
  </si>
  <si>
    <t>GTGCACCATGTGTCTGTTTGAGGTTGCTAGTGAACACAGTTGTG</t>
  </si>
  <si>
    <t>TGCCCAGGGCCTCACCACCAACTTCATCCACGTTCACCTTGCC</t>
  </si>
  <si>
    <t>CTGTGTTCACTAGCAACCTCAAACAGACACCAGGTGCACCATGGTGTCTGTTTGAGGTTGCTAGTGAACACAGTT</t>
  </si>
  <si>
    <t>CCACAGGGCA</t>
  </si>
  <si>
    <t>CAGTAACGGCAGACTTCTCCTCAGGA</t>
  </si>
  <si>
    <t>GGGCAAGGTGAACGTGGATGAAGTTGGTGGTGAGGCCCTGGGC</t>
  </si>
  <si>
    <t>ACGGCA</t>
  </si>
  <si>
    <t>TAACCGCAGACTTCTCTACAGGAGTCAGGTGCCCCATGGTGGCTTTTTGAGGTTGCTCATCAACACAGTTGTGTCCCAAGCAAATGG</t>
  </si>
  <si>
    <t>TCTGCGGTTACTGCCCTGTGGGGCAAGGTGAACGTGGATGAAGGTGGTGGTGAGGCCCTG</t>
  </si>
  <si>
    <t>TCTGCGGTTACTGCCCTGTGGGGCAAGGTGAACGTGGATGAAGTTGGTGTTGAGGCCCTG</t>
  </si>
  <si>
    <t>GGTTACTGCCCTGTGGGGCAAGGT</t>
  </si>
  <si>
    <t>TGGGCCTCACCACCAACTTCATCCACGTTCACCTTGCCCCACAGGGCAGTGGGCCTCACCACCAACTTCATCCACGTTCACCTTGCCCCACAGGGCAG</t>
  </si>
  <si>
    <t>ACTCCTGTAGAGAAGTCTGCGGTTACTGCCCTGTGGGTCAAGGTGAACGTGGATGAAGTTAGTGGTGAGGCCCTGG</t>
  </si>
  <si>
    <t>TGCCCCACAGGGCAGTAACGGCA</t>
  </si>
  <si>
    <t>TTGCCCCACAGGGCAGTAACGG</t>
  </si>
  <si>
    <t>TAACCTGACTCCTGTAGAGAAG</t>
  </si>
  <si>
    <t>CTCACCACCAACTTCATCCACGTTC</t>
  </si>
  <si>
    <t>CCCCACAGGGCAGTAACG</t>
  </si>
  <si>
    <t>ACCTGCCCAGGGCCTCACCACCAACTTCATCCACGTTCACCTTGCCCCACAGGGCAGTAACCGCAGACTTCTCTACAGGAGTCAGGTGCACCATGGTGTCT</t>
  </si>
  <si>
    <t>CACCT</t>
  </si>
  <si>
    <t>AGA</t>
  </si>
  <si>
    <t>TCTGTTTGAGGTTGCTAGTGAACACAGTTGTGTCAGAAGCAAATGTAAGCAATAGATGGCTCTGCCCTGAT</t>
  </si>
  <si>
    <t>GGTGACCGTGGATGAAGTTGGTGGTGAGGC</t>
  </si>
  <si>
    <t>TAACCGCAGACTTCTCTACAGGAGTCAGGTGCCCCATGGTGTCTGTTTGAGGTTGCTAGTGAACACAGTTGTGTCAGAAGCAAATGTAAGCAATAGATG</t>
  </si>
  <si>
    <t>CAGCGCCTCACCACCAACTTCATCCACGTGCACCTTGCCCCACAGGGCAG</t>
  </si>
  <si>
    <t>ACCTTGCCCCACAGGGCAG</t>
  </si>
  <si>
    <t>GGGCAAGGTGAACGTGGATAAAGTTGGTGGTCCCAGCCCAGGGCCTAACCACCAACCTCATCCACGAACACCTTGCCCCACAGGGCAG</t>
  </si>
  <si>
    <t>TAACCGCAGACTTCTCTACAGGAGTCAGGTGCACCATGGTGTCTGTGTGAGATTGCTAGTGAGCAA</t>
  </si>
  <si>
    <t>CTTGGTGTCTGTTTGAGGTTGCTAGTGCACACAGTCGTCTCAGAAGCACATCCAAGCAAT</t>
  </si>
  <si>
    <t>TAACCGCAGACTTCTCTACAGGAGTCAGGTGCACCATGGTGTCTGTTTGAGGTTGCTAGTGAACCCAGTTGTGTCA</t>
  </si>
  <si>
    <t>GAGTCAGGTGCACCATGGTGTCTGTTTGAGGTTGCTATTGAGCACAGTTGTGGCAGAAGCAACTGTAAGCAATAGATGGATCTGCCCTGCTA</t>
  </si>
  <si>
    <t>TAACCGCAGACTTCTCTACAGGAGTCAGGTCCCCATGCTCTCTGTTTG</t>
  </si>
  <si>
    <t>GGGGCAAGGTGAACGTGGATAAGCTGGTGGTGA</t>
  </si>
  <si>
    <t>TAAT</t>
  </si>
  <si>
    <t>TAACCGCAGACTTCTCTACAGGAGTCAGGTGCACCATT</t>
  </si>
  <si>
    <t>TAACCGCAGACTTCTCTACAGGAGTCAGGTGCACCAGGGTGTCTGTTTGAGGTTGCT</t>
  </si>
  <si>
    <t>TAACCGCAGACTTCTCTACAGGAGTCAGGCGCAACACGGTGTCTGTTTGAGGTTGCTAGTGAACACCGTCCTGGCAGAACCAAATCTAAGCGATAG</t>
  </si>
  <si>
    <t>CAGGGCCTCACCACCAACTTCATCCACGTTCACCTTTCCCCACAGGGCAGCAGGGCCTCACCACCAACTTCATCCACGTTCACCTTGCCCCACAGGGCAG</t>
  </si>
  <si>
    <t>TAACCGCAGACTTCTCTACAGGAGTCAGGTGCACCATGGTGTCTGTTTGAGGTTGCTAGTGAACACAGTTGTGTCAGAAGCAAA</t>
  </si>
  <si>
    <t>TAACCGCAGACTTCTCTACAGGAGTCAGGTGCCCCATGGTGTCAGTTTGAGGTTGCTAGTGGACCAAGTTGTGCCAGAAGCAAA</t>
  </si>
  <si>
    <t>CAACTTCATCCACGTTCACCTTGCCCCACAGGGCAGTACCCGCAGACTTCTCTACAGGAGGCAGGTGCACCATGGTGTTTGTTTGAGGTTGCTAGTGAAC</t>
  </si>
  <si>
    <t>GGTGCACCATGGTGTCTGTTTGAGGTTGCTAGTGAACACAGTTGTGTCAGAAGCAAATGTAAGCAATAGATGGATCTGCCCTAACC</t>
  </si>
  <si>
    <t>TACAGACTTCTCTACA</t>
  </si>
  <si>
    <t>TTGTGTCAGAAGCAAATGTAAGCAATAGATGGCGCTGCC</t>
  </si>
  <si>
    <t>CAACCTCAAACAGACACCATGGTGCACCTGACTCCTGTAGAGAAGGATGCGGTTACTGCACTGTGGGGCAAGGTGAACGTGGATGAAGTTGGTGGTGA</t>
  </si>
  <si>
    <t>CAC</t>
  </si>
  <si>
    <t>TAACCGCAGACTTCTCTACAGGAGTCAGGTGCACCATGGTGTCTGTTTGAGGTT</t>
  </si>
  <si>
    <t>ACTGCCCAGGGCCTCACCACCAACTTCATCCACGTTCACCTTGCCCCACAGGTCAG</t>
  </si>
  <si>
    <t>TAACCGCAGACTTCTCTACAGGAGTCAGGTGACCATGGGGTTTGCTTGAGGTTGCTAGTGA</t>
  </si>
  <si>
    <t>TAACCGCAGACTTCTCTACAGGAGTCAGGTGACCATGGTGTGTGTTTGAGGTTGCTAGTGA</t>
  </si>
  <si>
    <t>TAACCGCAGACTTCTCTACAGGAGTCAGGTGCACCAGGGTGTCTGTTTGAGGTTGCTAG</t>
  </si>
  <si>
    <t>TAACCGCAGACTTCTCTACAGGAGTCAGGTGCCCAATGGTGTCTGTTTGAGGTTGCTAG</t>
  </si>
  <si>
    <t>TAACCGCAGACTTCTCTACAGGAGTCAGGTGCCCCATGGTGTCTGTTTGAGGGTGCTAG</t>
  </si>
  <si>
    <t>TAACCGCAGACTTCTCTACAGGAGTCAGGTGCACCATGGTGTCTGTTTGAGGTTGCTAGTGAACACAGTTGTGTCAGAAG</t>
  </si>
  <si>
    <t>AGGAGTCAGGTGCACCATGGTGTCTGTTTGAGGTTGCTAGTGAGCACAGTTGTGTCAGAAGCAAAAG</t>
  </si>
  <si>
    <t>CTGCCAGGGCCTCACCACCAACTTCATTCACGTTCACCTTGCCGCGCAGGGCAG</t>
  </si>
  <si>
    <t>TACTGCCCTGTGGGGCAAGGT</t>
  </si>
  <si>
    <t>TGGA</t>
  </si>
  <si>
    <t>TAACCGCAAACTTCTCTACAGGAGTCAGGTGCACCATGGTGTCTGTTTGAGGTTGCTAGTGAACACAGTTGTGTCAGAAGCAAATGTAAGCAAT</t>
  </si>
  <si>
    <t>TAACCGCAGACTTCTCTACAGGAGTCAGGTGCACCATGGTGTCTGTTTGAGGTTGCCAGTGAACACAGTTGTG</t>
  </si>
  <si>
    <t>ACCACCCACTTCATCCACGTTCACCCTGCCCCATAGGGCAATAGGCCCACACTTCTATACACAGCTCAGGTGCCCGAGGCCGTCTGGTAG</t>
  </si>
  <si>
    <t>CCACAGGGCAGTAACGGCAGACTTCTCCTCAG</t>
  </si>
  <si>
    <t>GGCAAGGTGAACGTGGATGAAGTTGGTGGTGAGGCCCTGAG</t>
  </si>
  <si>
    <t>TACAGGAGTCAGGTGCACCATGGTGTCTGTTTGAGGATGCTAGTGAACACAGTTGTGTCAGAAGCAAATGTAAGCAATAGA</t>
  </si>
  <si>
    <t>GAGTCAGGTGCACCATGGTGTCTGTTTGAGGTTGCTAGTGAACACAGTTGGGTCCGAAGCAAATGTAAGCAATAGATGGATCTTCCCTGAAGG</t>
  </si>
  <si>
    <t>TAACCGCGTTCACCTTGCCCC</t>
  </si>
  <si>
    <t>TAACCGCAGACTTCTCTACAGGCACGTTCACCTTGCCCCACAGGGCAG</t>
  </si>
  <si>
    <t>TGCCCCACAGGGCAGTAACGGCAGACTTCTCCTCAG</t>
  </si>
  <si>
    <t>CACCACCAACTTCATCCACGTTCACCT</t>
  </si>
  <si>
    <t>ACCTGCCAGGGCCTCACCACCAACTTCATCCACGTTCACCTTGCACCACAGGTCAGT</t>
  </si>
  <si>
    <t>CAGGGCCTCACCACCAATTTCATCCACGTTCACCTTGCCACACAGGGCAGTAACCGCAGACTTCTCTACAG</t>
  </si>
  <si>
    <t>GCCCAGGGCCTCACCACCAACTTCATCCACGTTCACCTTGCCCCACAGGGCAGTAACCGCAGACTTCTCTACAGGAGTCAGGTGG</t>
  </si>
  <si>
    <t>GGCCTCACCACCAACTTCATCCACGTTCACCTTGACCCACAGGGCAG</t>
  </si>
  <si>
    <t>GGCCTCACCACCAACTTCATCCACGTTCACCTTGCCACACAGGGCAGTAACCGCAGACTTCTCTACAGGAGTCAGGTGCACCATGG</t>
  </si>
  <si>
    <t>TAACCGCAGACTTCTCTACAGGAGTCAGGGGAACCATGATGACAGTTTGAGGAGGCTAGAGAAAACAGTTGTGTCAGAAGGAAATGTAAGCAATAGAGGGG</t>
  </si>
  <si>
    <t>TAACCGCAGACTTCTCTACAGGAGTCAGGTGCATCATGGTGTCTGTTTGAGGTTGCTAGTGAAG</t>
  </si>
  <si>
    <t>TAACCGCAGACTTCTCTACAGGAGTCAGGTGCTCCACGGTGTCTGTTTGAGGTTGCTAGT</t>
  </si>
  <si>
    <t>AGGGCCTCACCACCAACTTCATCCACGTTCACCTTGCCCCACAGGGCAG</t>
  </si>
  <si>
    <t>TGCCCCACAGGCAG</t>
  </si>
  <si>
    <t>CCAT</t>
  </si>
  <si>
    <t>GTTACTGCCCTGTGGGGCAGTAAGT</t>
  </si>
  <si>
    <t>GTG</t>
  </si>
  <si>
    <t>TCTGTTTGAGGTTGCTAGTGAACACAGTTGTGTGAGAAGCAAAGGTAAGCAATAGATGGATCTGCCCTG</t>
  </si>
  <si>
    <t>TGCCCAGGGCCTCACCACCAACTTCATCCACGTTGACCTTGCCCCAAAGGGCAG</t>
  </si>
  <si>
    <t>GGCAAGGTGAACGTGAATGAAGTTGGTGGTGAGGCCCGGGAG</t>
  </si>
  <si>
    <t>GCCCAGGGCCTCACCACCAACTTCATCCACGTTCACCGTGCCCCACAGGGCAG</t>
  </si>
  <si>
    <t>TAACCGCAGACTTCTCTACAGGAGTCAGGAGGACCATGGTGTCT</t>
  </si>
  <si>
    <t>TGCACCTGACTCCTGTAGAGAAGTCTGCGGGTGCTGCCCTGTGGGGCAAGGTGAACGTGGATGAAGCTGGTGGTG</t>
  </si>
  <si>
    <t>ACTTCTCTACAGGAGTCAGGTGCACCATGGTGTCTGTTTGAGGTTGCTAGTGAACCCAGTTGTGTCAGAAGC</t>
  </si>
  <si>
    <t>CCTGACTCCTGTAGAGAAGTCTGCGGTTACCTGCCCAGGGCCTCACCACCAACTTCATCCACGTTCACCTTGCCCCACAGGGCAG</t>
  </si>
  <si>
    <t>TGAGGTTGCTAGTGAACACAGTTGTGTCAGAAGCAAATGTAAGCAATAGATGGCTCTGCCCTG</t>
  </si>
  <si>
    <t>TGTCTGTCTGACACCATGGTGCACCTGACTCCTGGAGAGAAGTCTGCGGTTACTGCCCTGTGGGGCAGGCGGACGTGG</t>
  </si>
  <si>
    <t>CACCACCAACATCATCCACGGTCACCTTGCACCACAGGGCAG</t>
  </si>
  <si>
    <t>TAACCGCAGACTTCTCTACAGGAGTCAGGTGCACCATGGTGCCTGTTTGAGGTGGCTAG</t>
  </si>
  <si>
    <t>CACCTGCCCAGGGCCTCACCACCAACTTCATCCACGTGCCCCTTGCCCCACAGGGCAG</t>
  </si>
  <si>
    <t>TAACCGCAGACTTCTCTACAGGAGTCAGGTGCCCCATGGTGTCTGTTTGAGGTTGCTAGTGAACACAGTGGTGTCAGAAGCAAGAAGCATGC</t>
  </si>
  <si>
    <t>TAACCGCAGACTTCTCTGCAGGAGTCAGGAGCAGCATGGTGTCTGTTTGAGGCTGATAGTGAAG</t>
  </si>
  <si>
    <t>TCACCTTGCCCCACAGGGCAG</t>
  </si>
  <si>
    <t>ACCTGCCCAGGGCCTCACCACCAGCTTCATCAACGTTCTCCACGTTCA</t>
  </si>
  <si>
    <t>GGCCTCACCACCAACTTCATCCACGTTCACCTTGCCCCACAGGGCAGTAACCGCAGACTTCTC</t>
  </si>
  <si>
    <t>AAACCGCAGACTT</t>
  </si>
  <si>
    <t>TAACCGCAGACTTCTCTACAGGAGTCAGGTGCTCCATAGTGTCTGTATGAGGGAGCGAGTTAACACCGCTGTTACAGAAGGAAATGTAGTCAGT</t>
  </si>
  <si>
    <t>CATGGTGTCTGTTTGAGGTTGGTAGTGAACACAGTGGTGTCAGAAGCAAATGTAAG</t>
  </si>
  <si>
    <t>GGTGCACCATGGTGTGTGTTTGAGGTTGCTAGTGAACACAGTTGTGTCAGAAGCAAATGTAAGCAATAGATGGCTCTGCCCCACAGGGCAG</t>
  </si>
  <si>
    <t>CACCACCAACTTCATCCACGTTCACCTTGCCCCCCAGGGCAG</t>
  </si>
  <si>
    <t>CAGGGCCTCACCACCAACTTCATCCACGTTCACCTTGCCCCAAAGGGCAG</t>
  </si>
  <si>
    <t>TAACCGCAGACTTCTCTACAGGAGTCAGGTGCACCATGGTGTCTGTTTGAGGTGGCTAGCGGGCACAGTAGGGTCA</t>
  </si>
  <si>
    <t>TGCACCTGACTCCTGTAGAGAAGTCTGCGGTTACTGCCCTGTGGGGCAAGGTGAACGTGGATGAAGTTGGGGGTG</t>
  </si>
  <si>
    <t>CAGGGCCTCACCACCAATTTCATCCACGTTCACCTTGCCCAACAGGGCAGTAACCGCAGACTTCTCTACAG</t>
  </si>
  <si>
    <t>CACCACCAACCTCATCCACGTTCACCTTGCCCCAAAGGGCAG</t>
  </si>
  <si>
    <t>TACAGGAGTCAGGTGCACCATGGTGTCTGTTTGACTTCTC</t>
  </si>
  <si>
    <t>TAACCGCAGACTTCTCTACAGGAGTCAGGTGCACCATGGTGTCTGTTTGAGGTTGCTAGTGAACACAGTCGTGTCAGAAGC</t>
  </si>
  <si>
    <t>CCTCACCACCAACTTCATCCACGTTCACCTTGCCCCACAGGGCAGTAACCGCAGACTTATCTACAGGAGTCAGGTGCACCATGGTGTC</t>
  </si>
  <si>
    <t>TAACCGCAGACTTCTCTACAGGAGTCAGGTGCACAATGGTGTCTGTTTGAGGTTGATAGTGAAAACAGTTGTGTCA</t>
  </si>
  <si>
    <t>TAACCCAGACTCTCTACAGGAGTCAGGTGCACCACGGTGTCTGTTTGAGGTTGCTAGTGAACACAGTTGTGTCAGAAGCAAATGTAAGAAAT</t>
  </si>
  <si>
    <t>GCCCAGGGCCTCACCACCAACTTCATCCACGTTCACCTTGCCCCGCAGGGCAG</t>
  </si>
  <si>
    <t>CAAGGTGAACGTGGATGAAGT</t>
  </si>
  <si>
    <t>ACCC</t>
  </si>
  <si>
    <t>CTGGGCCTCACCACCAACTTCATCCACGTACACCTTGCCCCACAGGGCAGTAA</t>
  </si>
  <si>
    <t>CTG</t>
  </si>
  <si>
    <t>AAGTAA</t>
  </si>
  <si>
    <t>GGTGAACGTGGATGAAGTTGGTTGTGAGGC</t>
  </si>
  <si>
    <t>CCCACAGGGCAG</t>
  </si>
  <si>
    <t>AAACAGACACCATGGTGCACCTGACTCCTGTAGAGAAGTCTGCGGTTACTGCCCTGTGGGGCAAGGTGAACGTGGATGAAGTTGGTGGTGAGGC</t>
  </si>
  <si>
    <t>TAACCGCAGAATTCTCTATAGGAGTCAGGGGCTCCACACTGCATATATGAGCAGGCAAGTGATCTCAGGAGTGTG</t>
  </si>
  <si>
    <t>TAACCGCAGACTTCTCTACAGGAGTCAGGGGCACCG</t>
  </si>
  <si>
    <t>CAGGGCCTCACCACCAATTTCCTCCACGTGCACCTTGCCCCGCAGGGCAGGAACCGCAGACGTCGCGACAG</t>
  </si>
  <si>
    <t>TAACGGCAGACTTCTCCTCAGGAGTCAGGTGCAC</t>
  </si>
  <si>
    <t>AAACAGACACCAAGGTGCACCTGACTCCTGTAGAGAAGTCTGCGGTTACTGCCCTGTGGGGCAAGGTGAACGTGGATGAAGTTGGTGGTGAGGC</t>
  </si>
  <si>
    <t>TAACCGCAGACTTCTCTACATGAGTCAG</t>
  </si>
  <si>
    <t>AGG</t>
  </si>
  <si>
    <t>TTCTTTACTACTTGTTTGCTCATTATCATCTTCTAAAGTTACCAGCAGGTAGGTAATATTTAGCTCCAAAAGAGAG</t>
  </si>
  <si>
    <t>CAACCTCAAACAGACACCATGGTGTCTGTTTGAGGTTG</t>
  </si>
  <si>
    <t>GACTCCTGTAGAGAAGTCTGCGGTTACTGCCCTGTGGGGCAAGGTGAACGTGGATGAAGTTGGTGG</t>
  </si>
  <si>
    <t>GCCTCACCACCAACTTCATCCACGTTCACCTTGCCCCACAGGGCAGTAACCGCAGACTTCTCTACAGGAGTCAGGTGCACCATGGTGTCTTAG</t>
  </si>
  <si>
    <t>ATCCACGTTCACCTTGCCCCACAGGGCAGTAACGGCAGAC</t>
  </si>
  <si>
    <t>TGACAGCAGTCTTCTCCTCAGGAGTCAGATGCACCATGGTGTCTGTTTGAGGTTGCTAGTGAACACTGTTATGTCAGAAGAAAGTG</t>
  </si>
  <si>
    <t>GCAACAGT</t>
  </si>
  <si>
    <t>TGACAGCAGTCTTCTCCTCAGGAGTCAGATGCACCATGGTGTCTGTTTGAGGTTGCTAGTGAACACTGTTATGTCAGAAGAAAGTGTAAG</t>
  </si>
  <si>
    <t>TGACAGCAGTCTTCTCCTCAGGAGTCAGATGCACCATGGTGTCTGTTTGAGGTTGCTAGTGAACACTGTTATGTCAGAAGAAAGTGTAAGCAATA</t>
  </si>
  <si>
    <t>TGACAGCAGTCTTCTCCTCAGGAGTCAGATGCACCATGGTGTCTGTTTGAGGTTGCTAGTGAACACTGTTATGTCAGAAGAAAGTGTAAGCAGCAGTC</t>
  </si>
  <si>
    <t>TGACAGCAGTCTTCTCCTCAGGAGTCAGATGCACCATGGTGTCTGTTTGAGGTTGCTAGTGAACACTGTTATGTCAGTGCCGT</t>
  </si>
  <si>
    <t>TGACAGCAGTCTTCTCCTCAGGAGTCAGATGCACCATGGTGTCTGTTTGAGGTTGCTAGTGAACACTGTTA</t>
  </si>
  <si>
    <t>TGACAGCAGTCTTCTCCTCAGGAGTCAGATGCACCATGGTGTCTGTTTGAGGTTGCTAGTGAAC</t>
  </si>
  <si>
    <t>TGACAGCAGTCTTCTCCTCAGGAGTCAGATGCACCATGGTGTCTGTTTGAGGTTGCTAGTGAACGCTG</t>
  </si>
  <si>
    <t>TGACAGCAGTCTTCTCCTCAGGAGTCAGATGCACCATGGTGTCTGTTTGAGGTTGCTAGTGAT</t>
  </si>
  <si>
    <t>TGACAGCAGTCTTCTCCTCAGGAGTCAGATGCACCATGGTTTCTGCTTGAGGTTGCTAGTGAACACTGTTA</t>
  </si>
  <si>
    <t>TGACAGCAGTCTTCTCCTCAGGAGTCAGATGCACCATGGTTTCTGTTTGAGCTTGCTAGTGAGCGCTT</t>
  </si>
  <si>
    <t>TGACAGCAGTCTTCTCCTCAGGAGT</t>
  </si>
  <si>
    <t>TGACAGCAGTCTTCTCCTCAGGAGTCAGATGCATCATGGTGTCTGTTTGAGGTTGCTAGTGAAC</t>
  </si>
  <si>
    <t>TGACAGCAGTCTTCTCCTCAGGAGTCAGATGCCACCTGGTGTCTGGTTGACCTTGCTACTGAGGGCTG</t>
  </si>
  <si>
    <t>TGACAGCAGTCTTCTCCTCAGGAGTCAGATGCCCCATGGTGTCTGTTTGAGGTTGCTAGTGAACACTGTTATGTCAGTTCACCTTGCCCCACAGGGCAG</t>
  </si>
  <si>
    <t>TGACAGCAGTCTTCTCCTCAGGAGTCAGATGCCCCATGGTGTCTGTTTGAGGTTGCTAGT</t>
  </si>
  <si>
    <t>TGACAGCAGTCTTCTCCTCAGGAGTCAGATGCCCCATGGTGTCTGTTTGAGGTTTCTAGTGAACTCTGTTATGTCAGAAGAAAGTG</t>
  </si>
  <si>
    <t>TGACAGCAGTCTTCTCCTCAGGAGTCAGATGCGCCATGGTGTCTGTTTGAGCTTGCTAGTGAGCACAT</t>
  </si>
  <si>
    <t>TGACAGCAGTCTTCTCCTCAGGAGTCAGATGCGCCATGGTGTCTGTTTGAGGTTGCTAGTGAACACTGTTATGTCAGAAGAAAGTG</t>
  </si>
  <si>
    <t>TGACAGCAGTCTTCTCCTCAGGAGTCAGGTGCAACATGGTGTCTGTTTGAGCTTGATAGTGATCCCCGTTATGTCAGAAGAAAGTGTCAG</t>
  </si>
  <si>
    <t>TGACAGCAGTCTTCTCCTCAGGAGTCAGGTGCACCATAGTGTCTGGTTAAGGTTGCTAGCGAACACAGTTGTGTCAGAAGCAAATG</t>
  </si>
  <si>
    <t>TGACAGCAGTCTTCTCCTCAGGAGTCAGGTGCACCATGGTGACTGTTTGAGGTTGCTCGTGAACACTGTTATGTCAGAAGAAATTGTAAG</t>
  </si>
  <si>
    <t>TGACAGCAGTCTTCTCCTCAGGAGTCAGGTGCACCATGGTGTCTGATTGAGGTTGCTAGTGAACACAGTTGTGTCAGAAGCAAATG</t>
  </si>
  <si>
    <t>TGACAGCAGTCTTCTCCTCAGGAGTCA</t>
  </si>
  <si>
    <t>TGACAGCAGTCTTCTCCTC</t>
  </si>
  <si>
    <t>TCTTCTCCTGAGGAG</t>
  </si>
  <si>
    <t>GAGGAGATTTCTCCT</t>
  </si>
  <si>
    <t>TGACAGCAGTCTTCTCTACAGAAGTCAGGTACACCATGGTGTCTGTTAAAGGTTGCTAGGGAAAACAGTTCCGACAGAAGTG</t>
  </si>
  <si>
    <t>TGACAGCAGTCTTCTCTACAGGAGTCAGGTGCACCATGGTGTCTGTTTAAGGTTGCTAGTGAACACAGTTGTGTCAGAAGTG</t>
  </si>
  <si>
    <t>TGACAGCAGTCTTCTCTACAGGAGTCAGGTGCACGATGGTGACTGTTTAAGGTTGCTAGTGAACACAGGTGTGTCAGAAGTG</t>
  </si>
  <si>
    <t>TGACAGCAGTCTTCTGCCCAGGGCCTCACCACCAACTTCATCCACGTGCACCTTGCCCCACAGGGCAG</t>
  </si>
  <si>
    <t>TGACAGCAGTCTTCTGCCCAGGGCCTCACCACCAACTTCATCCACGTTCACCTTGCCCCACAGGGCAG</t>
  </si>
  <si>
    <t>TGATGTGCCCTGGATGATGTGCCTGAGATTCTGATCACAAGGGGAAATGTTATAAAATAGGGTAGAGAGGAGCCAT</t>
  </si>
  <si>
    <t>TGTGAGAAATCTCTGCACTGATCACCTAGGTGATGTAACTGTTGTGTAACCTCTGCCTACAGGGGAATTGTGAG</t>
  </si>
  <si>
    <t>TGTGATATATCTCTGCACTGATCACCCAGGTGATGTAACTGTTGTGTAACCTCTGCCTACAGGGGAATTGTGAG</t>
  </si>
  <si>
    <t>TTTTTA</t>
  </si>
  <si>
    <t>GTAACGG</t>
  </si>
  <si>
    <t>CACAGGGC</t>
  </si>
  <si>
    <t>GTAACCGCAGACTTCTCTACAGTCTG</t>
  </si>
  <si>
    <t>GTTCCTATTGGTCTCCTTAAACCTGTCTTGTAACCTTGATACCAACCTGCCCAGGGCCTCACCACCAACTTCATCCACGTTCACCTTG</t>
  </si>
  <si>
    <t>AGGGCCTCACCACCAACTTCATCCACGTTAACATTGCCCCGCAGGGCCCAGGGCCTCACCACCAACTTCAGCCACGTGCTCCTTGCCCCACAGGGCAG</t>
  </si>
  <si>
    <t>ACGGCAGACTTCTCCTCAGGAGT</t>
  </si>
  <si>
    <t>AAC</t>
  </si>
  <si>
    <t>TGACCGCGGTTACTGCCCTGTGGGGCAATGTGAACGTGGATGAAGTTGGTGGTGAGGC</t>
  </si>
  <si>
    <t>TGCCCAGGGCCTCACCACCAACTTCATCCACGTTCACCTTGCCCCACAGGGCAG</t>
  </si>
  <si>
    <t>CACCACCAACTTCATCCACGTTCACCTTGCCCCACAGGGCAGCGGTTACTGCCCTGTGGGGCAAGGTGCACGTGGATGAAGTTGGTGGTGCGGCCCTG</t>
  </si>
  <si>
    <t>CGGCCCTGTGAGGCAAGGTGAACGTGGCCAGGGCCTCACCACCAACTTCATCCACGTTCACCTTGCCCCACAGGGCAGTAA</t>
  </si>
  <si>
    <t>GTGAAGTC</t>
  </si>
  <si>
    <t>TAACCGCAGACTTCTCTACAGGAGTCAGGTGCACCATGGTGTCGCCCAGGGCCTCACCTCCACCTTCAACCA</t>
  </si>
  <si>
    <t>AC</t>
  </si>
  <si>
    <t>GGCAGAC</t>
  </si>
  <si>
    <t>CTC</t>
  </si>
  <si>
    <t>CTCACC</t>
  </si>
  <si>
    <t>CACCACCAACTTCATCCACGTTCACCTCG</t>
  </si>
  <si>
    <t>CACCACCAACTTCATCCACGTTCACCTTGACCCACAGGGCAG</t>
  </si>
  <si>
    <t>CACCACCAACTTCATCCACGTTCACCTTGCCCCA</t>
  </si>
  <si>
    <t>CACCACCAACTTCATCCACGTTCACCTTGCCCCACAGGGCAGCGGTTACTGCCCTGTGGGGCAAGGTGAACGTGGATGAAGTTGGTGGTGAGGCCCTG</t>
  </si>
  <si>
    <t>CACCACCAACTTCATCCACGTTCACCTTGCCCCACAGGGCAGTAACCGCAGACTTCTCAACAGGAGTCAGG</t>
  </si>
  <si>
    <t>CACCACCAACTTCATCCACGTTCACCTTGCCCCACAGGGCAGTAACCGCAGACTTCTCTACAGGAGAATGGCAG</t>
  </si>
  <si>
    <t>CACCACCAACTTCATCCACGTTCACCTTGCCCCACAGGGCAGTAACCGCAGACTTCTCTACAGGAGTCAGGTGCACCATGGGGTAG</t>
  </si>
  <si>
    <t>TACAGGAGTCAGGTGCACCATGGTCTTCTC</t>
  </si>
  <si>
    <t>CACCACCAACTTCATCCACGTTCACCTTGCCCCACAGGGCAGTAACCGCAGACTTCTCTACAGGAGTCAGGTGCACCATGGTGTCTGTTTG</t>
  </si>
  <si>
    <t>CACCACCAACTTCATCCACGTTCACCTTGCCCCACAGGGCAGTAACCGCGACTTC</t>
  </si>
  <si>
    <t>CACCACCAACTTCATCCACGTTCACCTTGCCCCACAGGGCAGT</t>
  </si>
  <si>
    <t>CACCACCAACTTCATCCACGTTCACCTTGCCCCACAGGGCAT</t>
  </si>
  <si>
    <t>CACCACCAACTTCATCCACGTTCACCTTGCCCCACAGGGCCGTACCACCAACTTCATCCACGTTCACCTTGCCCCACAGGGCAG</t>
  </si>
  <si>
    <t>CACCACCAACTTCATCCACGTTCACCTTGCCCCACAGGGCCTCACCACCAACTTCATCCACGTGCACCTTGCCCCACAGGGCAG</t>
  </si>
  <si>
    <t>CACCACCAACTTCATCCACGTTCACCTTGCCCCACAGGGCCTCCCCACCACCTTCATCCACGTTCGCCTTGCCCCTCGGGGCAG</t>
  </si>
  <si>
    <t>CACCACCAACTTCATCCACGTTCACCTTGCCCCACAGGGCGGCGGTTACTGCCCTGTGGGGCAAGGTGAACGTGGATGAAGTTGGTGGTGAGGCCCTG</t>
  </si>
  <si>
    <t>CACCACCAACTTCATCCACGTTCACCTTGCCC</t>
  </si>
  <si>
    <t>CACCACCAACTTCATCCACGTTCACCTTGGCCCACAGGGCAG</t>
  </si>
  <si>
    <t>CACCACCACCTTCATCCACGTTCACCTTGCCCCACAGGGCCCCACCCCCAACTTCATCCACGTTCACCGTGCCCC</t>
  </si>
  <si>
    <t>ACCAG</t>
  </si>
  <si>
    <t>CACCACCATGGTGCACCTGACTCCTGTAGAGAAGCCTGCGGTGAGTGCCCTGTGGGGCAAGGTGAACGTGGATGAAGTTGGTGGTGGGGC</t>
  </si>
  <si>
    <t>CCCTGT</t>
  </si>
  <si>
    <t>CACCACCTGC</t>
  </si>
  <si>
    <t>CTCACCACTGTG</t>
  </si>
  <si>
    <t>CACC</t>
  </si>
  <si>
    <t>TGTG</t>
  </si>
  <si>
    <t>CACTTCTCCTC</t>
  </si>
  <si>
    <t>CAGACTTCTCTACAGGAGTCAGGTGCACCATGGCGTCTGTTTGAGGTTGCTAGTGACCACAGTTGTGTCAGAAGCAG</t>
  </si>
  <si>
    <t>CAGACTTCTCTACAGGAGTCAGGTGCACCATGGTGTCTGTTCGAGGTTGCTAGTGAACACAGTTGTGTCAGAAGCAG</t>
  </si>
  <si>
    <t>CAGACTTCTCTACAGGAGTCAGGTGCACCATGGTGTCTGTTTGAGGTTGCTAGTGAACACAGTTGTGTCAGAAGCCG</t>
  </si>
  <si>
    <t>CAGACTTCTCTACAGGAGTCAGGTGCACCATGGTGTCTGTTTGAGGTTGCTAGTGAACACGGTTGTGTCGGAAGCAG</t>
  </si>
  <si>
    <t>TACTTCTC</t>
  </si>
  <si>
    <t>TCT</t>
  </si>
  <si>
    <t>CTCCTCA</t>
  </si>
  <si>
    <t>CTTGCCCCACAGGGC</t>
  </si>
  <si>
    <t>TGCTTACATTTGCTTCTGTTTGAGGTTGCTAGTGAACACAGTTGTGTCAGAAGCAAATGTAAGCAATAGATGGCTCTGCCCTGA</t>
  </si>
  <si>
    <t>TGT</t>
  </si>
  <si>
    <t>GAAGTCTGCGGTTACTGCCCTGTGGGGCAAGGTGAACGTGGATGAAGGTGGTGGTGAGGCCAGGGGCAG</t>
  </si>
  <si>
    <t>GAAGTCTGCGGTTACTGCCCTGTGGGGCACCACCTGCCCAGGGCCTCACCACCAACTTCATCCACGTTCACCTTGCCCCACAGGGAG</t>
  </si>
  <si>
    <t>TAACGGCAGA</t>
  </si>
  <si>
    <t>TAAC</t>
  </si>
  <si>
    <t>CAGACTTCTCCTCAGGAGTCAGGTGCACCATGGTGTCTGTTTGAGGTTGCTAGTGAACACAGTTGTGTCAGAAGCAAATGTAAGCAATAGATGGCTCTG</t>
  </si>
  <si>
    <t>CAGGGCCTCACCACCAACTTCATCCACGTTCACCTTGCCCCACAGGGCAGCAGGGCCTCACCACCAACTTCATCCACGTTCACTTGCCCCACAGGGCAG</t>
  </si>
  <si>
    <t>GAGAAGTCTGCGGTTACTGCCCTGTGGGGCAAGGTGAACGTGGATGAAGGTGGTGGTGAGGCCCCACAGGGCAGTAACCGCAGACTTCTCTACAGGA</t>
  </si>
  <si>
    <t>TATTGCTTACATTTGCTTCTGACACACCTGCCCAGGGCCTCACCACCAACTTCATCCACGTTCACCTTGCCCCACAGGGCAG</t>
  </si>
  <si>
    <t>AACCGCAGACTTCTCT</t>
  </si>
  <si>
    <t>GCAACCTCGAACAGACCCCATGGTGTCTGCTTGAGGTCGATATTGAACACAGTTGTGTCAGAAGCACATGCAAGCAATAGATGGCTCTGCGGTGAG</t>
  </si>
  <si>
    <t>ACCACCAACTTCATCCACGTTCACCTTGCCCCACAGGGCAGTAACCGCAGACCTCTCTACAGGACGCAGGTGCACCATGGTGTCTGTT</t>
  </si>
  <si>
    <t>ATCCACGTTCACCTTGCCCCACAGGGCAG</t>
  </si>
  <si>
    <t>TCTACAGGAGTCAGGTGCACCATGGTGTCTGTTTGAGGTTGCTAGTGACCCCAGTTGTGT</t>
  </si>
  <si>
    <t>ACTCCTGTAGAGAAGTCTGCGGTTACTGCCCTGTGGGGCAAGGTGAACGTGGATGAAGTTGGTGGTGAGGCCCAG</t>
  </si>
  <si>
    <t>TAGAGAAGTCTGCGGTTACTGCCCTGTGGGGCAAGGTGAACGTGGATGAAGTTGGTGGTGAGGC</t>
  </si>
  <si>
    <t>TGTTCACTAGCAACCTCAAACAGACACCATGGTGCACCTGACTCCTGTAGAGAAGTCTGCGGTTACTGCCCTGTGGGGCAAGGT</t>
  </si>
  <si>
    <t>ACATTTGC</t>
  </si>
  <si>
    <t>TAACGGCA</t>
  </si>
  <si>
    <t>GAG</t>
  </si>
  <si>
    <t>ACTTCTGCAACTTCTGCAACTTCTGCAACTTCTGCAAGTCTG</t>
  </si>
  <si>
    <t>AGGTACTTGTG</t>
  </si>
  <si>
    <t>AGTCTGCCCCA</t>
  </si>
  <si>
    <t>ATAACCGCCTGCGGTTACTGCCCTGTGGGGCAAGGTGAACGTGGAGGAAGTC</t>
  </si>
  <si>
    <t>AGCCATCTATTGCTTACATTTGCCCCACAGGGCAG</t>
  </si>
  <si>
    <t>AGGTGAGGCCCTG</t>
  </si>
  <si>
    <t>CACTGGGCAGGCCACAGG</t>
  </si>
  <si>
    <t>TAACCGCAGACTTCTCTACACTAGCAACCTCAAACCTGCCCAGGGCCTCACCACCAACTTCATCCACGTTCACCTTGCCCCACAGGGCAG</t>
  </si>
  <si>
    <t>TAACCGCAGACTTCTCTACAGGAGTCAGGTGCAGACTTCT</t>
  </si>
  <si>
    <t>ACTTCT</t>
  </si>
  <si>
    <t>CTCCTTGCCCCACA</t>
  </si>
  <si>
    <t>GACCACCAGCAACC</t>
  </si>
  <si>
    <t>CACCTGACTCCTGTAGAGAAGCTGCGGTTACTGCCCTGTGGGGCAAGGTGAACGTGGATG</t>
  </si>
  <si>
    <t>CACCTGACTCCTGTCCAGGGCCTCACCACCAACTTCATCCACGTTCACCTTGCCCCACAGGGCAG</t>
  </si>
  <si>
    <t>TTG</t>
  </si>
  <si>
    <t>AGTAAC</t>
  </si>
  <si>
    <t>TAACCGCAGACTTCTCTACAGGAGTCAGGTGCACCATGGTGTCTGTTTGAGGTTGCTAGTGAACACAGTTGTGTCAGAAGCAGATGTAAGCAATAG</t>
  </si>
  <si>
    <t>ACCTGACTCCTGTAGAGAAGTCTGCCCTGTGGGGCAAGGTGAACGTGGATGAAGTTGGTGGTGAGGCCCTGGGCAG</t>
  </si>
  <si>
    <t>TGAGGATGAAGTTGGTGGTGAGGC</t>
  </si>
  <si>
    <t>GGGTTAGGGCCTCACCACCAACTTCATCCACGTTCACCTTGCCCCACAGGGCAG</t>
  </si>
  <si>
    <t>TAACCGCAGACTTCTCTACAGGAGTCAGGTGCACCATGGTGTCTGTGTGAGGTTGCTAGTGAACTCAGTTGT</t>
  </si>
  <si>
    <t>TAACCGCAGACTTCTCTACAGGAGTCAGGTGCACCATGCTGTCTGTTTGAGGTTGCCAGTGACCACAGTTGCGT</t>
  </si>
  <si>
    <t>CTTCA</t>
  </si>
  <si>
    <t>TGAACTT</t>
  </si>
  <si>
    <t>GCCCTGGGCAGGCCCACAGGTCAG</t>
  </si>
  <si>
    <t>TCCT</t>
  </si>
  <si>
    <t>TCTTTTT</t>
  </si>
  <si>
    <t>TGCCCTGATGCTGTTATGGGCAACCCTAAGGT</t>
  </si>
  <si>
    <t>GCAGTAACGGCAG</t>
  </si>
  <si>
    <t>TGAACGTGGATGAAGTTGGTGGT</t>
  </si>
  <si>
    <t>TTTCA</t>
  </si>
  <si>
    <t>AGCAAT</t>
  </si>
  <si>
    <t>GGGCCTCACCACCAACTTCATCCACGTTCACCTTGCCCCACAGGGCAGGGGCCTCACCACCAACTTCATCCACGTTCACCTTGCCCCCTG</t>
  </si>
  <si>
    <t>TAACCCACAGGGCAT</t>
  </si>
  <si>
    <t>CGTGGCGGCTGGGCTGAGTAACGATGGCAAAGAGGATCAGGCTGTTTCCTGAGAGGGCAGTTACATAGAGGAAGCAGAAGGGAATGGAGATCCAG</t>
  </si>
  <si>
    <t>CACCAACTTCTCCACGTTCACCTTGCCCCAC</t>
  </si>
  <si>
    <t>TGCCCCACATGGCAATGA</t>
  </si>
  <si>
    <t>CACCACCAACTTCATCCACGTTCCCCTTGCCCCACCTGCCCAGGGCCTCACCACCAACTTCATCCACGTTCACCTTGCCCCACAGGGCAG</t>
  </si>
  <si>
    <t>CTGT</t>
  </si>
  <si>
    <t>TCTGCGGTTACTGCCCTGTGGGGCAAGGTGAACGTGGATGAAGTTGGTGGTGAGGCCCACAGGGCAGTAACCGCAGACTTCTCTACAGGAGTG</t>
  </si>
  <si>
    <t>GGTGAGGC</t>
  </si>
  <si>
    <t>GTAACGGCAGACTTCTCCTCAGG</t>
  </si>
  <si>
    <t>TTACTGCCCTGTGG</t>
  </si>
  <si>
    <t>GGTGAACGTGGATGAAGTTGGTGGTGAGGCCCTGCCCAGGGCCTCACCACCAACTTCATCCACGTTCACCTTGCCCC</t>
  </si>
  <si>
    <t>ACT</t>
  </si>
  <si>
    <t>ACTTCTCCTCAG</t>
  </si>
  <si>
    <t>GCAGTAACGG</t>
  </si>
  <si>
    <t>TCACCACCAACTTCATCCACGTTCACCTTGCCCCAC</t>
  </si>
  <si>
    <t>AGCCATCTATTGC</t>
  </si>
  <si>
    <t>ATTTGCTT</t>
  </si>
  <si>
    <t>CGTTCACCTTGCCCCACC</t>
  </si>
  <si>
    <t>TAACCGCAGACTCCTCCACAGGAGTCATGTGCACCGTCGTGTCGGGTTG</t>
  </si>
  <si>
    <t>GCAG</t>
  </si>
  <si>
    <t>CAAGGTGAACGTGGATGAAGTTGGTGGTGAGGC</t>
  </si>
  <si>
    <t>AGGGCAGTAACGGCAGACTT</t>
  </si>
  <si>
    <t>ACTTCTCCTCAGGAGTCAGGTGCACCATGGTGTCTGTTTGAGGTTGCTAGTGA</t>
  </si>
  <si>
    <t>TACAGGAGTCAGGTGCACCATGGTGTCTGTTTGAGGTTGCTAGTGAACACAGTTGTGTCAGAAGCAAATGTAAGC</t>
  </si>
  <si>
    <t>AACCTTGCCCCACAGGGCAG</t>
  </si>
  <si>
    <t>TGTGAGATATCTCTGCACTGATCACCTAGGTGATGTAACTGTTGTGTAACCTCTGCCTACAGGGGAATTGTGAG</t>
  </si>
  <si>
    <t>AGACTTCCAGGATGAACGTGGATGAAGTTGGTGGTGAGGCCCTGGGCAGGAGAAG</t>
  </si>
  <si>
    <t>GTGCACCATGGTGTCTGTTTGAGGTTGCTAGGGCTCCC</t>
  </si>
  <si>
    <t>GGGCCTCACCACCAACTTCATCCACGTTCACCTTGCCCCA</t>
  </si>
  <si>
    <t>TGTGATAAATCTCTGCACTGATCACCCAGGTGATGTAACTGTTGTGTAACCTCTGCCTACAGGGGAATTGTGAG</t>
  </si>
  <si>
    <t>GGATGAAGTTGGTGGTGAGGCCCTGGGCAGGTCAGGTGCACCATGGTGTCTGTTTGAGGTTGCTAGTGAACACAGTTGTGTCAGAAGCAAATGTAAGCA</t>
  </si>
  <si>
    <t>AGGTGAACGTGGATGAAGTTGGTGGTGAGGCCCTGTGTA</t>
  </si>
  <si>
    <t>CAGTAACCGCAGACTTCTCTACAGGAGTCAGGTGCACCATGGTGTCTGTTTTGAAGTTGGTGGTGAGGCCCACAGGGCAG</t>
  </si>
  <si>
    <t>CGGTTACTGCCCTGTGGGGCAAGGTGAACGTGGATGAAGTTGGTGGTGAGGCCCTG</t>
  </si>
  <si>
    <t>TAACTGCAGACTTCTCTACAGGAGTCAGGTGCACCATGGTGTCTGTTTGAGGTTGCTAGTGAACACAGTTGTGTGAGACACAGGGCAG</t>
  </si>
  <si>
    <t>CTCTTCTGTAAATCTAAAATTATCTAAA</t>
  </si>
  <si>
    <t>CAGGGCAGT</t>
  </si>
  <si>
    <t>GGGCAGTAA</t>
  </si>
  <si>
    <t>AACCTGCCCAGGGCCTCACCACCAACTTCATCCACGTTCAC</t>
  </si>
  <si>
    <t>ATACTGCGGTCTCCTCCCTGTGGGGCAAGGAGAACATGGATGAAGTTGGTGGTGAGGCCCTGTACACTAGCAACGTCAAACAGACACCACAGGGCAG</t>
  </si>
  <si>
    <t>AGGGCAGTAACGGCAGA</t>
  </si>
  <si>
    <t>TAACGGCAGACT</t>
  </si>
  <si>
    <t>TACAGGAGTCAGGTGC</t>
  </si>
  <si>
    <t>CAAGGGCAGTAACCGCAGACTTCTCTACAGGAGTCAGGTGCACCATGGTGTCTGTTTGAGGTTGCTAGTGAACACAGTTG</t>
  </si>
  <si>
    <t>GAAG</t>
  </si>
  <si>
    <t>TAACCGCAGACTTCTCTACAGGAGTCAGGTGCACCATGGTGTCTGTTTGAGGTTGCTAGTGAACTCAGTTGTGTCAGAAGCAAATGT</t>
  </si>
  <si>
    <t>TGGCTCTG</t>
  </si>
  <si>
    <t>TAACCC</t>
  </si>
  <si>
    <t>GTGCACCATGGTGTCTGTTTGAGGTTGCTAGTGAACACAGTTGTGTCAGAAGCAAATGTAAGCAATAGATGGCTCTGCC</t>
  </si>
  <si>
    <t>AACGGCAGA</t>
  </si>
  <si>
    <t>TCATCCACGTTCACCTTGCCCC</t>
  </si>
  <si>
    <t>GGC</t>
  </si>
  <si>
    <t>TTGCCCC</t>
  </si>
  <si>
    <t>TAACCGCAGACTTCTCTACAGGAGTCAGGTGCACCATGGTGTCTCATCCACGTTCACCTTGCCCCACAGGGCAG</t>
  </si>
  <si>
    <t>CATGGTGTCTGTTTGAGGTTGCTAGTGAACAACGTTGTGTCAGAAGCACATGTAAG</t>
  </si>
  <si>
    <t>CATGGTGTCTGTTTGAGGTTGCTAGTGAACACAGTTGTGTCAGAAGCAAATGTAAG</t>
  </si>
  <si>
    <t>CATGGTGTCTGTTTGGGGTTGCTAGTGAACACAGTTGTGTCAGAAGCAAATGTAAG</t>
  </si>
  <si>
    <t>CACCACCAACTTCATCCACGTTCACCTTGCCCCACAGGGCA</t>
  </si>
  <si>
    <t>ACAGGGCAGTAACGGCA</t>
  </si>
  <si>
    <t>ACAGGG</t>
  </si>
  <si>
    <t>TAACCGCAGACTTCTCTACAGACTGCCAGAGATATTTCCTTTTGTTATACACAATGTTAAGGCATTAAGTATAATAGTAAAAATTGC</t>
  </si>
  <si>
    <t>CACAC</t>
  </si>
  <si>
    <t>TAACCGCAGACTTCTCTACAGGAGTCAGGTGCACCATGGTGTCTGTTTGAGGTTGCTAGTGAACACAGTTGTGTCAGAAGCAAATGTAAGCAATAAATGG</t>
  </si>
  <si>
    <t>AGATTAGGGAAAGTATTAGAAATAAGATAAACAAAAAAGTATATTAAA</t>
  </si>
  <si>
    <t>GGTGAACGTGGATGAAGTTGGTGG</t>
  </si>
  <si>
    <t>TGTGAACCTGCCCAGGGCCTCACCACCAACTTCATCCACGTTCACCTTGCCC</t>
  </si>
  <si>
    <t>CACCACCAACTTCATCCACGTTCACCTTGCCCCACAGGCCAGTAACCGCAGGCTTCTCACCAGGAGTCAGG</t>
  </si>
  <si>
    <t>CACAGGGCA</t>
  </si>
  <si>
    <t>CACAGG</t>
  </si>
  <si>
    <t>TTTTCCCACCCTTAGGCTGCTGGTGGTCTACTTCTGCCCAGGGCCTCACCACCAACTTCATCCACGTTCACCTTGCCCCACAGGGCAG</t>
  </si>
  <si>
    <t>AGGGCA</t>
  </si>
  <si>
    <t>ACGTGGATGAAGTTGGTGGTGAGGC</t>
  </si>
  <si>
    <t>GGATGAAGTTGGTGGTGAGGCCCTGGGCAGGTTGCTAGTGAACACAGTTGTGTCAGAAGCAAATGTAAGCAATAGATGGCTCTGCCC</t>
  </si>
  <si>
    <t>TCACCACCAACTTCATCCACGTTCACCTTGCC</t>
  </si>
  <si>
    <t>TAACCGCAGACGTCCCTACAGGAGGCAGGTG</t>
  </si>
  <si>
    <t>CGGTTACTGCCCTGTGGGGCAAGGTGAACGTGGATGAAGTTGGTGGTGAGGC</t>
  </si>
  <si>
    <t>AGTAGCCCAATATGCCAGCTTTAATAAAATCTCACCTATCCAGAGTC</t>
  </si>
  <si>
    <t>CGCAAC</t>
  </si>
  <si>
    <t>TAACCGCAGACTTCTCTACA</t>
  </si>
  <si>
    <t>ATTAACGGCAAT</t>
  </si>
  <si>
    <t>AGGTAAACGTGGATGAAGTTGGTGG</t>
  </si>
  <si>
    <t>CCCTGA</t>
  </si>
  <si>
    <t>CACA</t>
  </si>
  <si>
    <t>TGCCCAGGGCCTCACCACCAACTTCATCCACGTTCACCTTGA</t>
  </si>
  <si>
    <t>CACCACCAACTTCATCCACGTTCACCTTGCTGCCCAGGGCCTCACCACCAACTTCATCCGCGTTCACCTTGCCCCACAGGGCAG</t>
  </si>
  <si>
    <t>CCCACAGGGCAGTAACGGC</t>
  </si>
  <si>
    <t>CCCACAGGGC</t>
  </si>
  <si>
    <t>TGCTTT</t>
  </si>
  <si>
    <t>CTCTTGAAGGAAGCACTAAATATGGAAAGGAGAAACCCTTACCAGCCACTACA</t>
  </si>
  <si>
    <t>CACAGGGCAGTAACGGCAGACTTCTCCTCAG</t>
  </si>
  <si>
    <t>GCCTCACCACCAACTTCATCCACGTTCACCTTG</t>
  </si>
  <si>
    <t>TAACCGCAGACTTCTCTACAGGAGTCAGGTGCCCCACGGTGTCTGTTTGAGCTTGCTAGTGA</t>
  </si>
  <si>
    <t>TAACCGCAGACTTCTGTACAGGAGTCAGGTGCACCATGGTGTCTGTTTGAGGTTGCTAGTGA</t>
  </si>
  <si>
    <t>TAACCGGAGACTTCTCTACAGGAGTCAGGTGCACCATGGTGTCTGTTTGAGGTTGCTAGTGA</t>
  </si>
  <si>
    <t>TACCCGCAGACTTCTCTACAGGAGTCAGGTGCACCATGGTGTCTGTTTGAGGTTGCTAGTGA</t>
  </si>
  <si>
    <t>GTGAACTTCTCCTCA</t>
  </si>
  <si>
    <t>AGGTTGCTAGTGAACACAGTTGTATCAGAAGCAAATGTAAGCAATAGATGGCTCTGCCCTGA</t>
  </si>
  <si>
    <t>AGGTTGCTAGTGAACACAGTTGTGTCAGAAACCAATGTAAGCAATAGATGGCTCTGCCCTGA</t>
  </si>
  <si>
    <t>CCACAGGGCAGT</t>
  </si>
  <si>
    <t>TTACT</t>
  </si>
  <si>
    <t>GGTGAACGTGGATGAAGTTGGTGGTGAGGCCCTGGGCAGGGC</t>
  </si>
  <si>
    <t>TGCCCCA</t>
  </si>
  <si>
    <t>CCACAGGGCAG</t>
  </si>
  <si>
    <t>CACAGGGCAGTAAC</t>
  </si>
  <si>
    <t>ACTAAATAAAAG</t>
  </si>
  <si>
    <t>TTGACA</t>
  </si>
  <si>
    <t>TAACCGCAGACTTCTCTACAG</t>
  </si>
  <si>
    <t>TGGTGTCTGTTTGAGGTTGCTAGTGAACACAGTTGTGTCAGAAGCAAATGTAAGCAGAAGATGGCTCTGTCCATCCACGTTCA</t>
  </si>
  <si>
    <t>CCCTTGCCTCACCACCAACTTCATCCACGTTC</t>
  </si>
  <si>
    <t>TAACCGCAGACTTCTCTACAGGAGTCAGGTG</t>
  </si>
  <si>
    <t>ACTTCTCCTC</t>
  </si>
  <si>
    <t>CACAGGGCAGTAACGGCAGACTTCTCC</t>
  </si>
  <si>
    <t>CTTGCCCCACAGGGCAGTAACGGCAGAC</t>
  </si>
  <si>
    <t>TGACAGCAGTCTTCACCTCAGGAGTCAGATGCACCATGGTGTCTGTTTGAGGTTGCTAGTGAACACAGTTCACCTTGCCCCACAGGGCAT</t>
  </si>
  <si>
    <t>GACT</t>
  </si>
  <si>
    <t>GTAGAGAAGTCTGCGGTTAC</t>
  </si>
  <si>
    <t>GGTGAACGTGGACATTGCCCC</t>
  </si>
  <si>
    <t>GGTGAACGTGGACCGTGCCCC</t>
  </si>
  <si>
    <t>GGTGAACGTTGACCTTGCCCC</t>
  </si>
  <si>
    <t>TTGGT</t>
  </si>
  <si>
    <t>ACTGTGGGCAGACTTCT</t>
  </si>
  <si>
    <t>CTTGCCCCACAGG</t>
  </si>
  <si>
    <t>GCCCCACAGGGCAG</t>
  </si>
  <si>
    <t>GGTGAACGTGGATGAAGTTGGTGGTGAGGC</t>
  </si>
  <si>
    <t>TAGCAACCTCAAA</t>
  </si>
  <si>
    <t>CATGGTGTCTGTTTGAGGTTGCTAGTGAACACAGTTGT</t>
  </si>
  <si>
    <t>TTCACCTTGCCCCACAGG</t>
  </si>
  <si>
    <t>AGTAA</t>
  </si>
  <si>
    <t>ACGTTCACCTTGCCCCACAGGGCA</t>
  </si>
  <si>
    <t>CCCACAGGGCAGTAACCGCAGACTTCTCTACAGGAGTCAGGTGCACCATGGTGTCTGTCTGAGGTTGCTTTTCCACACAGGTGTGTCCGCAGCACAT</t>
  </si>
  <si>
    <t>TCCACGTTCACCTTG</t>
  </si>
  <si>
    <t>TAACCGCAGACTTCTCTACAGGGCCTCAGAAGGGCCTGTAGAGTAACCGCAGGCTTCTCTACAGGGCAGGAGAAG</t>
  </si>
  <si>
    <t>TAACCGCAGACTTCTCTACAGGAGTCAGGTGCACCATGGTGGCTGTTTGAGGTTGCTAGTGAACACAGTTGTGTCAGAAGCAAATGTAAGCAAT</t>
  </si>
  <si>
    <t>TAACCGCAGACTTCTCTACAGGAGTCAGGTGCACCATGT</t>
  </si>
  <si>
    <t>CACCATGGGGCACCTGACTCCTGTAGAGAAGTCTGCGGTTACTGCCCTGTGGGGCAAGGTGAACGTGGATGAAGTTGGTGGTGAGGCCCTG</t>
  </si>
  <si>
    <t>GGCGGAC</t>
  </si>
  <si>
    <t>TAACCTCAGGAG</t>
  </si>
  <si>
    <t>CTTGTGTCTGTTTAGGTTGCTAGTGAACACAGTTGTGTCAGAAGCAAATGTAAGCAATAGATGGATCTGCCCT</t>
  </si>
  <si>
    <t>TAACCGCAGACTTCTCTACAGGAGTCCGGTGCCCCATGGTGTCAGGGCTCACCACCAACTTCATCCACGTTCACCTTGCCCCACAGGGCAGTAACCGCA</t>
  </si>
  <si>
    <t>ACCTGCCCAGGACCTCACCACCAACTTCATCCACGTTCACCTTGCCCCACGGGGCAG</t>
  </si>
  <si>
    <t>CAACTTCATCCACGTTCACCTTGCCCCACAGGGC</t>
  </si>
  <si>
    <t>TAACCGCAGACTTCTCTACAGGAGTCAGGTGCACCATGGTGTCTGTTTGAGGTTGCGAGTA</t>
  </si>
  <si>
    <t>TAACCGCAGACTTCTCTACAGGAGTCAGGTGCACCATGGTGTCTGTTTGAGGTTGCTAGTGAACACAGTTGTGTCAGAAGC</t>
  </si>
  <si>
    <t>TAACCGCAGACTTCTCTACAGGAGTCAGGTGCGGCATGGTGTCTGTTTGAGGTTGCTAGTGAACACAGTTGTGACGGAAG</t>
  </si>
  <si>
    <t>CCTTGCCCCACAGGGCAG</t>
  </si>
  <si>
    <t>TAACCGCAGACTTCTCTACAGGAGTCCGGTGCACCAAGGTGTCTGTTCCAGGGTGCTCGTGACCACAGGTGTGT</t>
  </si>
  <si>
    <t>CCACCAACTTCATCCACGTTCGCCTTGCCCG</t>
  </si>
  <si>
    <t>TAACCGCAGACTTCTCTACAAAGT</t>
  </si>
  <si>
    <t>TAACCGCAGA</t>
  </si>
  <si>
    <t>CTAGCAACCTCAAACAGACACCATG</t>
  </si>
  <si>
    <t>TAACCGCAGACTTCTCTACAGGAGTCAGGTGCACCATGGTGTCTGTTTGAGGTTGATAG</t>
  </si>
  <si>
    <t>TAACCGCAGACTTCTCTACAGGAGTCAGGTGCCCCACGGTGTCTGATTGAGGTTGATAGTGAACTTGGCTGTGTGGGAAG</t>
  </si>
  <si>
    <t>TAACCGCAGACTTCTCTACAGGATTCAGGTGCACAATGGTGTCTGTCTGAGGTTGCTTCATCCACGTTCACCTTGCCCA</t>
  </si>
  <si>
    <t>CGGTTACTGCCCAGGGCCTCACCACCAACTTCATCCACGTTCACCTTGCCCCACAGGGCAG</t>
  </si>
  <si>
    <t>TGACAGCAGTCTTCTCCTCAGGAGTCAGATCCACCATGGTGTCTGTTTGAGGTTGCTAGTGAACACTGTTATGTCAGACGAAAGTGTAAG</t>
  </si>
  <si>
    <t>CTCACCACCAACTTCATCCACGTTCACCTTGCCCCAC</t>
  </si>
  <si>
    <t>CAACTGTGTTCACTAGCAACCTAAACAGACACCTGCCCAGGGCCTCACCACCAACTTCATCCACGTTCACCTTGCCCCACAGGGCAG</t>
  </si>
  <si>
    <t>TGACAGCAGTCTTCTCCTCAGGAGTCAGATGCACCATGGAGTCTCATTGAGGTTACTATTGACCGCCGTCATGTCAAACGGAAGTT</t>
  </si>
  <si>
    <t>TATTCT</t>
  </si>
  <si>
    <t>TAACCGCAGACTTCTCTACAGGAGTTAGGTGCACCATGGTGTA</t>
  </si>
  <si>
    <t>TAACCGCAGACTTCTCTACAGGAGTCAGGTGCACTAAACGTGGATGAAGTTGGTGTTGAGGC</t>
  </si>
  <si>
    <t>CCAGGGCCTCACCACCAACTTCATCCACGTTCACCTTGCCCCACAGGGCAGTAACCGCAGACTGCT</t>
  </si>
  <si>
    <t>TAACCGCAGACTTCTCTACAGGAGTCAGGTGCACCATGGTGTCTGTTTGAGGTTGCTGGTGAACGCAGTTGTGTCAGAAGCAGATGT</t>
  </si>
  <si>
    <t>TTAGCAACCTCAAACAGACACCATGGTGCACCTGACTCCTGTAGAGAAGTCTGCGGTTACTGCCCTGTGGGGCAAGGTGAACGTGGATGAAGTTGGT</t>
  </si>
  <si>
    <t>TGAGGATGAAGTTGGTGGTGCGGG</t>
  </si>
  <si>
    <t>CCCAC</t>
  </si>
  <si>
    <t>TAACCGCAGACTTCTCTACAGGAGTCAGGTGCACCATGGTGTCTGTTTGAGGTTGCTAGTGAACACAGTTGTCTCAGAAGC</t>
  </si>
  <si>
    <t>ACAGGGCAGTAACGGCAGACTTCTC</t>
  </si>
  <si>
    <t>CACCAACTTCATCCACGTTCACCTTGCCCCACAGGCAG</t>
  </si>
  <si>
    <t>GAAGTTGGTGGTAAGACCCTGCCCAGGGCCTCACCACCAACTTCATCCACGTTCACCTTGCCCCACAGGGCAG</t>
  </si>
  <si>
    <t>TAACCGCAGACTTCTCTACAGGACTCCTGGTAGAGAAGTCTGCGGTTACTGCCCTGTGGGGCAAGGTGCACGTGGATGAAGTTGGTGGTGAGGC</t>
  </si>
  <si>
    <t>TAACCGCAGACTTCTCTACAGGAGTCAGGTGCACCATGGTGTCTGTTTGAGGTTGCTAGTGAACACAG</t>
  </si>
  <si>
    <t>TAACCGCAGACTTCTCTACAGGAGTCAGGTGCCCCATGGTTTCTGTTTGAGGTTGCTAGTGAGCGCAG</t>
  </si>
  <si>
    <t>TAACCGCAGACTTCTCTACAGGAGTCAGGTGCCCCATTGTGTCTGGTTGAGGTTGCTAGTGAAGACAG</t>
  </si>
  <si>
    <t>TAACCGCAGACTTCTCTACAGGAGTCAGGTGCCCCCTTCTGTCTCTTTGACGTTGCTAGTCAACGCAG</t>
  </si>
  <si>
    <t>TAACCGCAGACTTCTCTACAGGAGTCAGGGGCACCATGGTGCCTGTTTGAGGTTGCTAGTGAACACAGCTGTGTCAGAAGCAAATGTAAGCAATAGATGGC</t>
  </si>
  <si>
    <t>TAGAAGCAGACTTCTC</t>
  </si>
  <si>
    <t>CAGTAAC</t>
  </si>
  <si>
    <t>TAACCGCAGACTTCTCTACAGGCGTCAGGTGCACCATGGGGTCTGTTTGAGCTTGCGAGAAT</t>
  </si>
  <si>
    <t>CTTCACCTGCCCAGGGCCTCACCACCAACTTCA</t>
  </si>
  <si>
    <t>TAACCGCAGAAAAGTCTGCGGTTACTGCCCTGTGGGGCAAGGT</t>
  </si>
  <si>
    <t>TAACCGCAGACTTCTCTACAGACGAATGATTGCATCAGTGTGGAAGTCTCAGGATCAGACTTCTCC</t>
  </si>
  <si>
    <t>CCTCACCACCAACTTCATCCACGTTCACCTTCCCCCCCCCCTCAACCTCACCCCCTCCTTCATCCTCTTTCACCTTTCCCCACATAGCAT</t>
  </si>
  <si>
    <t>ACAGGGCCTCACCACCAACTTCATCCACGTTCACCT</t>
  </si>
  <si>
    <t>GCCCAGGGCCTCACCACCAACTTCATCCACGTTCACCT</t>
  </si>
  <si>
    <t>TAACCGCAGACTTCTCTACAGGAGTCAGGTGCACCATGGTGTCTGTTTGAGGTTGCTAGT</t>
  </si>
  <si>
    <t>CATGGTGCACCTGACTCCTGTAGAGAAGTCTGCGGTTGCTGCCCTGTGGGGCAAGGTGAACGTGGATGAAGTTGGTGGTGAGGCCCTGGG</t>
  </si>
  <si>
    <t>ACTTCTCCTCAGGAGTCAGGTGCACCATGGTGTCTGTTTGAGGTTGCTAGTGAACACAGTTGTGTCAGAAG</t>
  </si>
  <si>
    <t>CACTAGCAACCTCAAACAGACACCATGGTGCCCCTGACTCCTGTAGCCTCACTACCAACTTCATCCACGTTCACCTTGCCCCACAGGGCAG</t>
  </si>
  <si>
    <t>CTCACCACCAACTTCATCCACGTTCACCTTGCCCCACAGGGCAGTAACCGCAGACTTCTCTACAGGAGTCAGGTGCATCAG</t>
  </si>
  <si>
    <t>GCAGACTTCTCTACAGGAGTCAGGTGCACGATGGTGACAGTTGGAGGTAGCAAGTGAAGAGAGTTGTGACAGAAGCAAATGTAAGCAATAGAGGGCTAAAG</t>
  </si>
  <si>
    <t>TAACCGCAGACAGAAACCTCAAACACCT</t>
  </si>
  <si>
    <t>TAACCGCAGACTTCTCTACACGTTCACCTTGCCCC</t>
  </si>
  <si>
    <t>TACAGGAGACTTCTC</t>
  </si>
  <si>
    <t>TAACCGCAGACTTCTCTACAGGAGTCAGGTGCACCATGGTGTTTGTTTGAGGTTGCTAGTGAACACAGTTGTGT</t>
  </si>
  <si>
    <t>TAACCGCAGACTTCTCTACAGGAGTCAGGTGCCCCATGGTGTCTGATTGAGGCTGCTAGTGAACACAGTTGTGTCAGAAGCACATGTAAGGAAG</t>
  </si>
  <si>
    <t>TAACCGCAGACTTCTCTACAGGAGTCAGGTGCGCCATGGTGCCGGCTAGAGGCTGCTAGCCAACTCAGTTGTGTTTGAAGCAGACGTAAGCGGTAG</t>
  </si>
  <si>
    <t>TGCGGTTACTGCCCTGTGGGGCAAGGTGAACGTGGATG</t>
  </si>
  <si>
    <t>CGCAGACTTCCTACA</t>
  </si>
  <si>
    <t>CAGTAACCGCGGACTTCTCTACAGGAGTCAGGTGCACCATGGTGCGTGTTTTGAAGTTGGTGGGGAGGCCCAGAGGGCAG</t>
  </si>
  <si>
    <t>CTGACTCCTGTAGAGAAGTCTGCGGTTACTGCCCTGTGGGGCAAGGTGAACGTGGATGAAGTTGGTGGTGAGGC</t>
  </si>
  <si>
    <t>CCTCACCACCAACTTCATCCACGTTCACCTTGCCCCACAGGGCAGCCTCACCACCAACTTCATCCACGTTCACCTTGCCCCACAGGGCAG</t>
  </si>
  <si>
    <t>TAACCGCAGACTTCTCTACAGGAGTCAGGTGCTGCTTGCTGCCTGCTTAGGGCCTCACCGCCAACTTCATCCACGTTAACCTTGACCCACAGGGCAG</t>
  </si>
  <si>
    <t>GCAGACTTCTCTACAGGAGTCAGGTGCACCTTGGTGCCTGAGTGAGGACGCTACTGAACGCACCTGTGTAACTAGAAAATCTAAGCACTTGATGGCAAA</t>
  </si>
  <si>
    <t>TAACCGCAGACTTCTCTACAGGAGTCAGGTGCACCATGGTGGCTGTTTGAGGTTA</t>
  </si>
  <si>
    <t>CCCACAGGGCAGTAACCGCAGGCTTCTCTACAGCAGTCAGGTGCACCATGAAGTCTGTTTGAGGTTGCTAGTGGACACAGTTCCACCCGAAGGAAAG</t>
  </si>
  <si>
    <t>TAACCGCAGACTTTTCTACAGGAGTCAA</t>
  </si>
  <si>
    <t>TAACCGCAGACTTCTCTACAGGAGTCAGGTGCCCCATGGTGTCTGTTTGAGGTTGCTAGGGAACACAG</t>
  </si>
  <si>
    <t>CCAGGGCCTCCCCACCAACTTCATCCACGTGCACCTTGCCCCACAGGGCAG</t>
  </si>
  <si>
    <t>CACCAACTTCAGGACTTCTGAGGAAGTCTGCGGTTACTGCCCTGTGGGGCAAGGTGAACGGGGATGAAGTTGGTGGTGAGGC</t>
  </si>
  <si>
    <t>CCACCAACTTCATCCACGTTCACCTTGCCCAACAGGGCAGTAACCGCAGACTTCGCCACAGGACTCAGGTGCACCATGGTGTCTGTTGGAGGTTGGTAG</t>
  </si>
  <si>
    <t>GGCCTCACCACCAACTTCATTCACGTTCACCTTGCCCCACAGGGCAG</t>
  </si>
  <si>
    <t>CACCACCAACTTCATCCACATTCACCTTGCCCCACAGGGCAGTAACCGCAGACTTCTCTACAGGAGAAGGGCAG</t>
  </si>
  <si>
    <t>AGAAGTCTGCGGTTACTGCCCTGTGGGGCAAGGTGAACGGGGATGAAGTGGGTGGTGAGGCCCTGGGCAGGTAACCGCAGACTTCTC</t>
  </si>
  <si>
    <t>TAACGGCAGACTACTCTACAGGAGTCAGGTGCGCCGGGGTGTCTGTTTGAGGCACTTTCTCCTTGCCCCACGGGGCAG</t>
  </si>
  <si>
    <t>AGGAGT</t>
  </si>
  <si>
    <t>GCCCAGGGCCTCTA</t>
  </si>
  <si>
    <t>TGCCCCACAGGGCAGTAACG</t>
  </si>
  <si>
    <t>TAACCGCCTACTTATCTACAGGAGTCAGGTGCACCATGGTGTCTCATTGAGGTTACTAGTGAACACGGTTGTGTCACAAGCATATG</t>
  </si>
  <si>
    <t>GGGCCTCACCACCAACTTCATCCACGTTCACCTTGCCCCACAGGGCAGGGGCCTCACCACCAACGTCATCCACGTTCGCCTTGCCCCACAGGGCAG</t>
  </si>
  <si>
    <t>TAACCGCAGACTTCTCTACAGGAGTCAGGTGCACAATGGTGTCTGATTAAGGTTATTAACGAACACAGTTGTCCCAGAAGCAGT</t>
  </si>
  <si>
    <t>TAACCGCAGACTTCTCTACAGGAGTCAGGTGCACCATAGTGTCTGCTGGAGGTTGCTAGTAACCACAGTCGGGTCAGAAGCCAATGTAA</t>
  </si>
  <si>
    <t>TAACCGCAGACTTCTCTACAGGAGTCAGGTGCCCCATGGTGTCTGCTCGAGGTTCCTAGTGAACACAGTTG</t>
  </si>
  <si>
    <t>TAACCGCAGACTTCTCTACAGGAGTCAG</t>
  </si>
  <si>
    <t>TACAGTGGCAGGCTTCTC</t>
  </si>
  <si>
    <t>TAACCGCCCAGGGCCTCACCACCAACTTCATCCACGGTCACCTTGCCCCACAGGGCAG</t>
  </si>
  <si>
    <t>CCTGACTCCTGTAGAGAAGTCTGCGGTTACTGCCCTGGGGGGCAAGGTGAACGTGGATGAAGT</t>
  </si>
  <si>
    <t>TAACCGCAGACTTCTCTACAGGA</t>
  </si>
  <si>
    <t>TAACCGCAGTCTTCTCTACAGGAGTCAGGTGCACCATGGTGTATGATGGAGTTTGCTCGTGAAAACCGGTGTGCCAG</t>
  </si>
  <si>
    <t>TGGAAG</t>
  </si>
  <si>
    <t>TAACCGAAGAGAAGTCTGCGGTTACTGAACTGTGGGGGAAGGT</t>
  </si>
  <si>
    <t>TAACCGCAGACTTCTCTACAGGAGTCAGGTGAAGACTTCT</t>
  </si>
  <si>
    <t>GAGTCAGGTGCACCATGATGTCTGTTTGAGATAGCTAGTTAACACCGTTGTGTCACCAGCAAATGTAAGTCATAGAGGGCTTTGTTGTGAG</t>
  </si>
  <si>
    <t>CAATAGATGGC</t>
  </si>
  <si>
    <t>TAACCGCAGACTTCTCTACAGGAGTCAGGTGCACCATGGTGTCCGTTTGAGGTTGCTAGTGACCGCAGTTGTGTCAGAA</t>
  </si>
  <si>
    <t>TAACCGCAGACTTCTCTACAGGAGTCAGGTGCACCATGGTGTCTGTTTGAGGTTGCTAGTGAACACAGTTGTGTCAGAAGCAAATGTAAGT</t>
  </si>
  <si>
    <t>TAACC</t>
  </si>
  <si>
    <t>TAACCGCAGACTTCGCTACAGGAGTCAGGTGCTCCATGGTGTCTGTTTGAGGTTGCCCTGTGGGGCAAGGTGTACGTGGATGAA</t>
  </si>
  <si>
    <t>TCAGCCA</t>
  </si>
  <si>
    <t>TGCA</t>
  </si>
  <si>
    <t>TAACCGCAGACTTCTCTACAGTAGTCTGGTGCACCATGGTGTCTGTTTGAGGTTGCTACTGAGCACAGCTGGGTCAGCAGGAAAG</t>
  </si>
  <si>
    <t>TATGGGGTAACGGCAGTAAGGGG</t>
  </si>
  <si>
    <t>AGGCCTCACCACCAACTTCATCCACGTTCACCTTGCCCCAAAGGGCAG</t>
  </si>
  <si>
    <t>TACAGCAGTCAGGTGCACCATGGACTTCTC</t>
  </si>
  <si>
    <t>TAACCGCAGACTTCTCTACAGGAGTCAGGTGCAACATGGTGTCTGTTTGAGGTTGCTAGTGAGCACAG</t>
  </si>
  <si>
    <t>TAACCGCAAACTTCTCTACAGCAGTCAGGTGCACCAGGGTGGCTGTTTCAGGTTGCTAGTGGTGACGGTGGATGAAGTTGGTGGTGAGGCCCT</t>
  </si>
  <si>
    <t>CTCC</t>
  </si>
  <si>
    <t>CTCTACAGGAGTCAGGTGCACTAGGGTGTTTATTTGTGGCTGCTACTCCAGACAGCAGTCTGAGAAGGAAATGTAAGCAATAGTCAGCCCTGTTCTGAAAA</t>
  </si>
  <si>
    <t>ACTTCTCCTCATGAGTCTGGGGCACCATGGTGCCCTGGGCCTCACCACCAACTTCATCCACGTTCACCTTGCCCCACAGGGCAG</t>
  </si>
  <si>
    <t>TTTCTCTACAGGAAGA</t>
  </si>
  <si>
    <t>TAACCGCAGACTTCTCTACAGGAGTCAGGTGCACCATGGCGGCCCTGTGAGGCTGCTACTGAACACACTTGTGTCAGAAGGAAATGTAAGCAAT</t>
  </si>
  <si>
    <t>TAACCGCAGACTTCTCTACAGGAGTCAGGTGCACCATGGTGTCTGTTTGAGGTTGCTAGTGAACGCAGTT</t>
  </si>
  <si>
    <t>TAACCGCAGACTTCTCTACAGGAGTCAGGTCCACCCTGCTGTCTGTTTCAACTTGCTAATCATCCCAGTTGTTCCAGCCCCAAAGGTTAG</t>
  </si>
  <si>
    <t>TAACCGCAGAATTCTCTACAGGAGTCAGGTGCACCATGATGTCTGTTAACAGACACCATGGGGCACC</t>
  </si>
  <si>
    <t>TAAAACTAATGAAACCCTGCTTATCTTAAACCAACCTGCTCACTGGAGCAGGGAGGACAGGACCAGCATAAAAG</t>
  </si>
  <si>
    <t>CGACTGTTGCTTACACTT</t>
  </si>
  <si>
    <t>GACATAA</t>
  </si>
  <si>
    <t>CGACTGGTGCTTACACTT</t>
  </si>
  <si>
    <t>CGCAGACTTCTCTACAGGAGTGAGGTGCACCATGGTG</t>
  </si>
  <si>
    <t>TAGAGAATCTGCGGTTACTGCCCAGGGCCTCACCACCAACTTCATCCACGTTCACCTTGCCCCACAGGGCAGTAACCGCAGACTTCTCTACAGGG</t>
  </si>
  <si>
    <t>GTAACGGCAGACTTCTCCTCAGGAGTCAGGTGCA</t>
  </si>
  <si>
    <t>CCGGGCCTCACCCCCAACTTCATCCACGTTCACCTTGCCCCACAGGGCAGCAGGGCCTCACCACCAACTTCATCCACGTTCACCTTGCCCCACAGGGCAG</t>
  </si>
  <si>
    <t>TAACCGCAGACTTCTCTACAGGAGTCAGGTGGACCATGGTGTCTGTTTGAGGTGGCGAGTGAACAGAGTTGTGGCAGAA</t>
  </si>
  <si>
    <t>AGGGCCTCACCACCAACTTCATCCACGTTCACCTTGCCCCACAGGGCAGTAACCGCAGACTTCTCTACAGGAGTCAGGTGCACCATGGTGTCTGTTT</t>
  </si>
  <si>
    <t>GACTCCTGTAGAGAAGTCTGCGGTTACTGCCCTGTCGGGCAAGGTGAACGTGGATGAAGTTGGTGGTGAGGCCCCC</t>
  </si>
  <si>
    <t>TAACCGCAGACTTCTCTACAGGAGTCAGGTGCACCATGGTCTCTGTTTGACGTTGCGAGTGAACACAGTTTGTCAGAAGGTAACCCTTGCCCCACAGGGCAG</t>
  </si>
  <si>
    <t>CCTGCCTCACCACCAACTTCATCCACGTTCTGCATGCGCTGCTGGGCAG</t>
  </si>
  <si>
    <t>GCAACCGCAGACTTCTCTACAGGAGTCAGGTGCACCATGATGTCTGTTTGAGGTTGCTACTGAACACATTTGTGGCAGAAGCACATGTAAGCGATGG</t>
  </si>
  <si>
    <t>GTAGAGACGGGTTTCACCGTGTTAGCCAGGATGGTCTCGATCTCCTGACCTCGTGATCCCCCCGCCTCGGCCTCCCAAAG</t>
  </si>
  <si>
    <t>TAACCGCAGACTTCTCTACAGGAGTCAGATGCACCATGGTGTCTGCATGAGGTTCCTAGTGAACCTAGTTCTGTCGGGAGG</t>
  </si>
  <si>
    <t>AGGTTGCTAGTGAACACAGTTGTGTCAGAAGCAAATGTAAGCAATAGATGGCTATGGCCTGAG</t>
  </si>
  <si>
    <t>CCCACAGGGCAGTAAC</t>
  </si>
  <si>
    <t>TAACCGCAGACTACTCTACAGCAGTCATGTGCACCAAGCTGTCCCTGGGTAATCGCCACCCACAGGTGTG</t>
  </si>
  <si>
    <t>GGCCTCACCACCAACTTCATCCACGTTCACCT</t>
  </si>
  <si>
    <t>AGGGCAGTAACGGCAGACTTCTCCTCAGGAGTCAGGTGCAC</t>
  </si>
  <si>
    <t>TTCTGGGCTC</t>
  </si>
  <si>
    <t>ACATAGTG</t>
  </si>
  <si>
    <t>AATAGAGCCCTGTCAAGAGT</t>
  </si>
  <si>
    <t>AAGT</t>
  </si>
  <si>
    <t>TATAAGTAAGTTCCTC</t>
  </si>
  <si>
    <t>TGGGCTCA</t>
  </si>
  <si>
    <t>ACA</t>
  </si>
  <si>
    <t>GCTCA</t>
  </si>
  <si>
    <t>CCCTT</t>
  </si>
  <si>
    <t>TATGTCC</t>
  </si>
  <si>
    <t>AGACTTTTTCCCCAGT</t>
  </si>
  <si>
    <t>TCTGGGCT</t>
  </si>
  <si>
    <t>TCAGCT</t>
  </si>
  <si>
    <t>TGAC</t>
  </si>
  <si>
    <t>TTTTCCTT</t>
  </si>
  <si>
    <t>CTGGGCTCACTATGCTGCCGCCCAGTGGGACTTTGGAAAT</t>
  </si>
  <si>
    <t>AGAGTTGACACATTGTATTTCCAAAGTCCCACTGGGCGG</t>
  </si>
  <si>
    <t>GGGCT</t>
  </si>
  <si>
    <t>TACT</t>
  </si>
  <si>
    <t>TCTG</t>
  </si>
  <si>
    <t>GGGCTCACTATGCT</t>
  </si>
  <si>
    <t>ATGCTGCCCCTTACTATGCTGCCCCTTACTG</t>
  </si>
  <si>
    <t>GAGCTTACT</t>
  </si>
  <si>
    <t>GTTCCTTCATA</t>
  </si>
  <si>
    <t>AGTGA</t>
  </si>
  <si>
    <t>CTT</t>
  </si>
  <si>
    <t>TCTTA</t>
  </si>
  <si>
    <t>CTTAC</t>
  </si>
  <si>
    <t>TTCTTACTGTC</t>
  </si>
  <si>
    <t>TTA</t>
  </si>
  <si>
    <t>TTCTTA</t>
  </si>
  <si>
    <t>TAC</t>
  </si>
  <si>
    <t>TACTGTTTTTCCTTCTTA</t>
  </si>
  <si>
    <t>TACTTCTTACTTCTTACT</t>
  </si>
  <si>
    <t>ATGCGCACACTATGTCCCCTTCTTT</t>
  </si>
  <si>
    <t>GGCT</t>
  </si>
  <si>
    <t>GGGCTCACTATGCTGCTCTTACTGTCGCCTACT</t>
  </si>
  <si>
    <t>CACTA</t>
  </si>
  <si>
    <t>CTTCTTAC</t>
  </si>
  <si>
    <t>GCTCACTATGCTGC</t>
  </si>
  <si>
    <t>TCTGG</t>
  </si>
  <si>
    <t>TTGGAAATATGCTATTTC</t>
  </si>
  <si>
    <t>CCATGTGATAGCGACTTTGAGACTTTACTGTCTCAA</t>
  </si>
  <si>
    <t>CTTCTGGGCTCACTA</t>
  </si>
  <si>
    <t>TAAGAA</t>
  </si>
  <si>
    <t>ATGCTG</t>
  </si>
  <si>
    <t>TACCCACTATGCTGCCCACTATGCATACCCACTATGCATACCCAGCATAGC</t>
  </si>
  <si>
    <t>GTCCTATGCTGTCCTATGCTTCT</t>
  </si>
  <si>
    <t>TTCTGGGCTCACTATGCTGCCGCCC</t>
  </si>
  <si>
    <t>TTCTGGGCTCACTATGCTGC</t>
  </si>
  <si>
    <t>ACTA</t>
  </si>
  <si>
    <t>CACTATGCTCAC</t>
  </si>
  <si>
    <t>GTCCTCACTATGCTGTATAGTGCTGTCCTCACTATACT</t>
  </si>
  <si>
    <t>ACTATGGTT</t>
  </si>
  <si>
    <t>TCACTCCTCAC</t>
  </si>
  <si>
    <t>TCACTGTTTG</t>
  </si>
  <si>
    <t>ACTTACTTCT</t>
  </si>
  <si>
    <t>TACTGTCCTCACTTCTTACT</t>
  </si>
  <si>
    <t>TCTGGGCTCACTAT</t>
  </si>
  <si>
    <t>CTGGGCTC</t>
  </si>
  <si>
    <t>TGGGCTCACTATGCTGCCGC</t>
  </si>
  <si>
    <t>GGGCTCACT</t>
  </si>
  <si>
    <t>GGCTC</t>
  </si>
  <si>
    <t>ACCTGCCCATCTCTGACCTGTGTTTCCTTCTT</t>
  </si>
  <si>
    <t>ACCTGGCCATCTCTGACCTGTGTTTCCTTCTT</t>
  </si>
  <si>
    <t>CATACGCCCTTACCTGCCTGTGGAT</t>
  </si>
  <si>
    <t>TGTTCTTACT</t>
  </si>
  <si>
    <t>TTTTCCTTACTTACTTCATAGTGTCC</t>
  </si>
  <si>
    <t>TTC</t>
  </si>
  <si>
    <t>CACT</t>
  </si>
  <si>
    <t>TTCTTACTGGGCTT</t>
  </si>
  <si>
    <t>ATGCT</t>
  </si>
  <si>
    <t>TACTGTCCCCTTCTTACTG</t>
  </si>
  <si>
    <t>TTCTTACTGT</t>
  </si>
  <si>
    <t>TTCTTACTT</t>
  </si>
  <si>
    <t>TTCTTACTTT</t>
  </si>
  <si>
    <t>TACTGTCCTTCTTACTGTTTTACCTTCTTACTGTCCTTCTTACT</t>
  </si>
  <si>
    <t>TACTGTCCTTCTTACTGTTTTTCCTTCTTACTGTCCTTCTTACT</t>
  </si>
  <si>
    <t>TACTGACCTGTTTTTC</t>
  </si>
  <si>
    <t>TTCTTGCTG</t>
  </si>
  <si>
    <t>ATGCTGC</t>
  </si>
  <si>
    <t>CCTTCTGGGCTCACTA</t>
  </si>
  <si>
    <t>GTCGCCCAG</t>
  </si>
  <si>
    <t>CCTTCTT</t>
  </si>
  <si>
    <t>GGGCTCACTATGCTGCCGCCCAGT</t>
  </si>
  <si>
    <t>GGCTCA</t>
  </si>
  <si>
    <t>CCTTCTGGGCTCACTATGCTGCCGCCCAG</t>
  </si>
  <si>
    <t>CCTTCTGGGCTCAC</t>
  </si>
  <si>
    <t>CCTTCTGGGC</t>
  </si>
  <si>
    <t>ATGACCTGTTTTT</t>
  </si>
  <si>
    <t>ATGTTTTT</t>
  </si>
  <si>
    <t>TACTGTCTATGTTTTTCCTTCTTACTGTCTTCTTAC</t>
  </si>
  <si>
    <t>GCTCACTATA</t>
  </si>
  <si>
    <t>TGCCTTACA</t>
  </si>
  <si>
    <t>ACTATG</t>
  </si>
  <si>
    <t>ACTGGG</t>
  </si>
  <si>
    <t>TACTTCTCACT</t>
  </si>
  <si>
    <t>TACTGTCTCACTTCTTACTGTCTCCTTCTTA</t>
  </si>
  <si>
    <t>TTCTGGGCTCACTATGCTGCC</t>
  </si>
  <si>
    <t>TCTCACTAT</t>
  </si>
  <si>
    <t>CACTAC</t>
  </si>
  <si>
    <t>GCTCACTATGCTGCCG</t>
  </si>
  <si>
    <t>GGGCTCACTA</t>
  </si>
  <si>
    <t>CACTATGACTGACTGTTTTCTCACTATTACTTACTGTTTTTC</t>
  </si>
  <si>
    <t>CACTATTACTGACTGTTTTCTCACTATTACTTACTGTTTTTC</t>
  </si>
  <si>
    <t>GACCTGTTTTT</t>
  </si>
  <si>
    <t>GACCTGTTTTTCTT</t>
  </si>
  <si>
    <t>CAAGAG</t>
  </si>
  <si>
    <t>TACTGT</t>
  </si>
  <si>
    <t>GTTTGT</t>
  </si>
  <si>
    <t>TTCTGGG</t>
  </si>
  <si>
    <t>TTAAGTCT</t>
  </si>
  <si>
    <t>TCTTAA</t>
  </si>
  <si>
    <t>CTTACTTAC</t>
  </si>
  <si>
    <t>CTTACTGTTTTTACTTCTTACT</t>
  </si>
  <si>
    <t>TTCCA</t>
  </si>
  <si>
    <t>TCCTTTT</t>
  </si>
  <si>
    <t>TCCTTCTT</t>
  </si>
  <si>
    <t>TTATGT</t>
  </si>
  <si>
    <t>TACTGGTCTTCTTACTGTCTTTTTC</t>
  </si>
  <si>
    <t>CCCTTCTGGGCTCACTATGCTGCCGCCCAGTGGGACTTTGGAAATACAATGTGTC</t>
  </si>
  <si>
    <t>CCCTTC</t>
  </si>
  <si>
    <t>CCC</t>
  </si>
  <si>
    <t>CCTTCTGGGCTCACTATGCTGCC</t>
  </si>
  <si>
    <t>CTTC</t>
  </si>
  <si>
    <t>CTGGGCTCACT</t>
  </si>
  <si>
    <t>TGAGCATAGT</t>
  </si>
  <si>
    <t>CCTTCTGGGCTCACTATGCTGCCGCCCAGTGGGAC</t>
  </si>
  <si>
    <t>CCTTCTGGGCTCACTATGCTGCCGCCC</t>
  </si>
  <si>
    <t>TACTTTTTC</t>
  </si>
  <si>
    <t>TACTATGCCTTCTTACTGTGCCTTCTTACTGTGC</t>
  </si>
  <si>
    <t>TTCTG</t>
  </si>
  <si>
    <t>AGTAAGGCACTATGC</t>
  </si>
  <si>
    <t>TCGGATCACTCTG</t>
  </si>
  <si>
    <t>CACTGTGTGTGC</t>
  </si>
  <si>
    <t>TCCTTCACTATGCTGTTCTTA</t>
  </si>
  <si>
    <t>TTCTTACTGTGCTT</t>
  </si>
  <si>
    <t>TCTGGGCTCACTATGCT</t>
  </si>
  <si>
    <t>CTGACCTGTTTTTCCTTCTTACTGTCCCCTTCTCAGTAGGGACAGCTCACTGGG</t>
  </si>
  <si>
    <t>CTTCTGGGCTCACTATGCTGCCGCCCAGTGGGACTTTGGAAATAC</t>
  </si>
  <si>
    <t>CTTCT</t>
  </si>
  <si>
    <t>GGGCTC</t>
  </si>
  <si>
    <t>CCCTTCTGGGCTCACTATGCTGCCGCCC</t>
  </si>
  <si>
    <t>CCTTCTGGGCTCACTATGCTGCCGCCCAGTGGGACTTTGGAAATAC</t>
  </si>
  <si>
    <t>CCT</t>
  </si>
  <si>
    <t>CTTCTGGGCTCACTATGCTGCCGCCC</t>
  </si>
  <si>
    <t>TACTGTCCCCTTACTAG</t>
  </si>
  <si>
    <t>TTCTGGGCTCACTATGCTG</t>
  </si>
  <si>
    <t>TTCTGGGCTCA</t>
  </si>
  <si>
    <t>CTGGGCTCACTATGCTGCCGCCC</t>
  </si>
  <si>
    <t>GGGCTCA</t>
  </si>
  <si>
    <t>TACTGTTTCCTTCTTACTGT</t>
  </si>
  <si>
    <t>TCTGGGCTC</t>
  </si>
  <si>
    <t>TCTGGG</t>
  </si>
  <si>
    <t>TTT</t>
  </si>
  <si>
    <t>CCTTCTGGGCTCACTATGCTGCCGCCCAGTGGGACTTTGGAAAT</t>
  </si>
  <si>
    <t>TTCTGGGCT</t>
  </si>
  <si>
    <t>ATGC</t>
  </si>
  <si>
    <t>CACAGCATGT</t>
  </si>
  <si>
    <t>TTTCCTTCTTACTGT</t>
  </si>
  <si>
    <t>TACTGGGCTTCTTACT</t>
  </si>
  <si>
    <t>ACATCT</t>
  </si>
  <si>
    <t>GTTTTTCCTTCC</t>
  </si>
  <si>
    <t>TACTGTCCCCTTACTGTTTC</t>
  </si>
  <si>
    <t>CCTTCCAAAGTCCCAC</t>
  </si>
  <si>
    <t>TACTGTCCCCTTACTGTTTCCTTCTTACTGTCCCCTTCCAA</t>
  </si>
  <si>
    <t>TACTG</t>
  </si>
  <si>
    <t>TACTGTGTTTCCTTCTTACTGTTTTTCCTTCTTACTG</t>
  </si>
  <si>
    <t>TACTGTTTTTCCTTCTTACTGTCCCCTTACT</t>
  </si>
  <si>
    <t>TCCC</t>
  </si>
  <si>
    <t>TCC</t>
  </si>
  <si>
    <t>TTACTTCTTACTGG</t>
  </si>
  <si>
    <t>CCCTTCTGGGCTCACTATGCTGCCGCCCAGT</t>
  </si>
  <si>
    <t>CTTCTGG</t>
  </si>
  <si>
    <t>CTTCTGGGCTCAC</t>
  </si>
  <si>
    <t>ATGTTTTTCCTGTTTTT</t>
  </si>
  <si>
    <t>TCAACTCT</t>
  </si>
  <si>
    <t>TGTTTTT</t>
  </si>
  <si>
    <t>TTTTCTTCTTGCTTC</t>
  </si>
  <si>
    <t>CCCCTTCTGGGCTCACTATGCTGCCGCCCAGTGGGACTTTGGAAATACAATGTGTCAACTCTTG</t>
  </si>
  <si>
    <t>CCCCTTCTGGGCTCACTATGCTGCCGCCCAGT</t>
  </si>
  <si>
    <t>CCCCTTCTGGGC</t>
  </si>
  <si>
    <t>CCCCTTCTG</t>
  </si>
  <si>
    <t>CCCCTTCT</t>
  </si>
  <si>
    <t>CTGCCGCCCAG</t>
  </si>
  <si>
    <t>TCTGGGCTCACT</t>
  </si>
  <si>
    <t>TGACTGGGGTTTCCTTCTTCC</t>
  </si>
  <si>
    <t>GGGCTCACTATGCTGCCGCCC</t>
  </si>
  <si>
    <t>ATGCTGCCGCCCAGTG</t>
  </si>
  <si>
    <t>CACTATGCTGAGCATAT</t>
  </si>
  <si>
    <t>TCCTGTCCC</t>
  </si>
  <si>
    <t>ACTTCTTACTTACTTTTTACTTTTTACTTTTTACTTTTTACTTTTTCCTT</t>
  </si>
  <si>
    <t>AAAAATATAA</t>
  </si>
  <si>
    <t>CACTATGCT</t>
  </si>
  <si>
    <t>GA</t>
  </si>
  <si>
    <t>TCCCCTTCTGGGCTCACTATGCTG</t>
  </si>
  <si>
    <t>TCCCCTTCTGGGCTCACTATG</t>
  </si>
  <si>
    <t>CCCCTTCTGGGCTCACTATGCTGCC</t>
  </si>
  <si>
    <t>CCTTCTG</t>
  </si>
  <si>
    <t>TGTCCCCTTCTGG</t>
  </si>
  <si>
    <t>CTGGGCTCACTAT</t>
  </si>
  <si>
    <t>CTTCTGGGCTC</t>
  </si>
  <si>
    <t>TGGGCTCACTATG</t>
  </si>
  <si>
    <t>TGTCCCCTTCTGGGCTCACTATGCTGCCGCCCAGT</t>
  </si>
  <si>
    <t>GTCCCCTT</t>
  </si>
  <si>
    <t>TCCCCTTCTGGGCTCACTATGCTGCCGCCCAGTGGGACTTTGGAAATACAATGTGTCAACTCTTG</t>
  </si>
  <si>
    <t>TCCCCTTCTG</t>
  </si>
  <si>
    <t>GCTCAC</t>
  </si>
  <si>
    <t>GACACATTGTATTTCCAAAGTCCCACTGGGCGGCAGCATAGT</t>
  </si>
  <si>
    <t>GTCCCCTTACTGTCCCCTTACT</t>
  </si>
  <si>
    <t>ACTATGCTGT</t>
  </si>
  <si>
    <t>GAGCATAGT</t>
  </si>
  <si>
    <t>CTGTCCCCTTCTGGGCTCACTATGCTGCCGCCCAGTGGGACTTTGGAAAT</t>
  </si>
  <si>
    <t>TCCCCTTCTGGG</t>
  </si>
  <si>
    <t>CCTTCTGGGCTC</t>
  </si>
  <si>
    <t>CTGGGCTCACTATGCTGCCGCCCAGTGGGACTT</t>
  </si>
  <si>
    <t>CCTTCTGG</t>
  </si>
  <si>
    <t>GTATTTCC</t>
  </si>
  <si>
    <t>CTGTCCCC</t>
  </si>
  <si>
    <t>GAGATCTAGAAGG</t>
  </si>
  <si>
    <t>TGTCCCCTTCTGGGCTCACTATGCTGCCGCCC</t>
  </si>
  <si>
    <t>CCCTTCTGGGCTCACTATGCTGCC</t>
  </si>
  <si>
    <t>CCCTTCTGGGCTC</t>
  </si>
  <si>
    <t>CCCTTCT</t>
  </si>
  <si>
    <t>GTCCCCTTCTGGGCTCACTATGCTGCCGCC</t>
  </si>
  <si>
    <t>TTTCCTTCTT</t>
  </si>
  <si>
    <t>TACTGTCCCCTTCTGGGCTCACT</t>
  </si>
  <si>
    <t>ACTGTCCCCTTCTGGGCTCACTATGCTGCCGCC</t>
  </si>
  <si>
    <t>TTACTGTCCCCTTCTGGGCTCACTATGCTGCC</t>
  </si>
  <si>
    <t>TTACTGTCCCCTTCTGGGCTC</t>
  </si>
  <si>
    <t>GTCCCCT</t>
  </si>
  <si>
    <t>ATGGGCT</t>
  </si>
  <si>
    <t>ACACTAGG</t>
  </si>
  <si>
    <t>CTGTCCCCTTCTGGGCTCACTATGCTGCCGCCCAGTGGGACTTTGGAAATACAATGTGTCAAC</t>
  </si>
  <si>
    <t>TACTGTT</t>
  </si>
  <si>
    <t>TTCTTACTGTCCCCTTCTGGGCTCACTATG</t>
  </si>
  <si>
    <t>TCTTACTGTCCCCTTCT</t>
  </si>
  <si>
    <t>TTCTTACTGTTC</t>
  </si>
  <si>
    <t>CTTCTGGGCTCACTATGC</t>
  </si>
  <si>
    <t>CTTCTTACTGTCCCCTTC</t>
  </si>
  <si>
    <t>CTTACTGTCCCCTTC</t>
  </si>
  <si>
    <t>TCCCCTTCTGG</t>
  </si>
  <si>
    <t>CCCCTTCTGGGCTCACTAT</t>
  </si>
  <si>
    <t>CCCTTCTGGGCTCACTATGC</t>
  </si>
  <si>
    <t>GGGCTCACTATGCTGCC</t>
  </si>
  <si>
    <t>CTTCTGGGCTCACTATGCTGCC</t>
  </si>
  <si>
    <t>GCCC</t>
  </si>
  <si>
    <t>CCTTCTTACTGTTTTTCCTTCTTACTGTCCTGTTTT</t>
  </si>
  <si>
    <t>GTCACACTCTTGATATTCCTCGTGCTAT</t>
  </si>
  <si>
    <t>GGGCTCACTATGCTGCCGCCCA</t>
  </si>
  <si>
    <t>ACTTA</t>
  </si>
  <si>
    <t>ATCTCTGACCTGTTTTTCCT</t>
  </si>
  <si>
    <t>GCTGCCGCCCAGTGGGACTTTGGAA</t>
  </si>
  <si>
    <t>GTGGGCTTTGGAAATACCATTTTGCTACTTTTTACCAGGCCTTATTTTTT</t>
  </si>
  <si>
    <t>CCTTCT</t>
  </si>
  <si>
    <t>GCCATCTCTGACCTGTTTTTCCTTCTT</t>
  </si>
  <si>
    <t>CCCTTCTGGGC</t>
  </si>
  <si>
    <t>ACCTGGCCATCTCTGACCTGTTTTTCCTTCTTACTGTCCCCTTCTGGGCTCACTATGCTGCCG</t>
  </si>
  <si>
    <t>GCTC</t>
  </si>
  <si>
    <t>CACTATGCAGCATAGT</t>
  </si>
  <si>
    <t>AACCTGGCCATCTCTGACCTGTTTTTCCTTCTTACTGTCCCCTTCTG</t>
  </si>
  <si>
    <t>CTGCTCAACCTGGCCATCTCTGACCTGTTTTTCCTTCTTACTGTCCCCTTCTGG</t>
  </si>
  <si>
    <t>CTTGCCAACCCGGCCATCTCTTAACTGGTTTTCCTTCTTACT</t>
  </si>
  <si>
    <t>TGTCTCTCTGCTGCCATACTTCTT</t>
  </si>
  <si>
    <t>CCTGCTCAACCTGGCCATCTCTGACCTGTTTTTCCTTCTTACTGTCCCCTTCT</t>
  </si>
  <si>
    <t>ACCTGCTCAACCTGGCCATCTCTGACCTGTTTTTCCTTCTTACTGTCCCCTTCTGG</t>
  </si>
  <si>
    <t>TGCTCAACCTGGCCATCTCTGACCTGTTTTTCCTTCTTACTGTCCCCTTCTGGGCTCACT</t>
  </si>
  <si>
    <t>TGGG</t>
  </si>
  <si>
    <t>TCTACCTGCTCAACCTGGCCATCTCTGACCTGTTTTTCCTTCTTACTGTCCCCTTCTG</t>
  </si>
  <si>
    <t>TTCCTTCTTACTGTCCCCTTCTGGGCTCACTATGCTGCCGC</t>
  </si>
  <si>
    <t>AAGGACAAATAAA</t>
  </si>
  <si>
    <t>ACTGTCCCCTTCTGGGCTCACTATGCTGCCGCCCAGTGGGACTT</t>
  </si>
  <si>
    <t>CTGCCGCCCAGTGG</t>
  </si>
  <si>
    <t>GGGCTCACTATGC</t>
  </si>
  <si>
    <t>GTGTCCCCTT</t>
  </si>
  <si>
    <t>TCCTGTCCCCTTCTTAC</t>
  </si>
  <si>
    <t>CACTTCTCACT</t>
  </si>
  <si>
    <t>GGGCTATCTGACCTGTTTTTCCTTCTTACTGTCCCTTCCA</t>
  </si>
  <si>
    <t>TTGTCG</t>
  </si>
  <si>
    <t>GCCACTGG</t>
  </si>
  <si>
    <t>CACATAGCGAGCTGTCCC</t>
  </si>
  <si>
    <t>CACTG</t>
  </si>
  <si>
    <t>GTTGCCCCCTTGTCTTTCCCAATTCCCCC</t>
  </si>
  <si>
    <t>AGTCCCCTTC</t>
  </si>
  <si>
    <t>TGTCCCCACTATGCTTCTTACT</t>
  </si>
  <si>
    <t>AACAGTAGAGCTTA</t>
  </si>
  <si>
    <t>TACTTCTTACTTCTTACTTCTTACTTCTTACTTCTTA</t>
  </si>
  <si>
    <t>TGGGCTCACTAT</t>
  </si>
  <si>
    <t>TGGCCATCTCTGACCTGTTTTTCCTTCTTACTGTCCCCTTCTGGGCTC</t>
  </si>
  <si>
    <t>CCCCTTCTGG</t>
  </si>
  <si>
    <t>CTTCTTACTG</t>
  </si>
  <si>
    <t>CACTATTCACT</t>
  </si>
  <si>
    <t>CTGG</t>
  </si>
  <si>
    <t>GGGCTCACTATGCTTCTGTCCCCACT</t>
  </si>
  <si>
    <t>TCCTTCTTACTGTCCCCTTCTGGGCTCACTATGCTGCCGCCCAGTGGG</t>
  </si>
  <si>
    <t>CCTTCTGGGCTCACTATGCTGCCGCCCAGTGGGACTT</t>
  </si>
  <si>
    <t>ATCTTTT</t>
  </si>
  <si>
    <t>TTTCCTTCTTACAGGCCTTCTCTGACCTGTTTTTCCTTCTTA</t>
  </si>
  <si>
    <t>TTCCTT</t>
  </si>
  <si>
    <t>CTATGCTGCCGCCCAGTGGGACTTTGGAAATACAATGTG</t>
  </si>
  <si>
    <t>GTCCCCTTCTGGGCTCACTATGCTGCCGCCCAGTGGGACTTTGGAAATACAATGTGTCAACTCTTGACAGGGCTCTATTTTATAGGCT</t>
  </si>
  <si>
    <t>TCCCCTTCTGGGCTC</t>
  </si>
  <si>
    <t>CCGCCCAGTGGGACTTTGGAAATACAATGTGTCAACTCTTGACAGGGCTCTATTTTATAGGCTTCTTCTCTGG</t>
  </si>
  <si>
    <t>TTCCTTGTGTCCAGGCTGAAATTAAACTCCTTTTATTTGG</t>
  </si>
  <si>
    <t>TGACCTGTTTTTCCTTCTTACTGTCCCCTTCTGGGCTCACTATGCTGCCGCCCAGTGGGACTTTGGAAATACAATGTGTCAACTCTTGAC</t>
  </si>
  <si>
    <t>GTTTTTCCTTCTTACTGTCCCCTTCTGGGCTCACTATGCTGCCGCCCAGTGGGACTTTGGAAATACAATGTGTCAACTCTTGACAGGGCT</t>
  </si>
  <si>
    <t>CTTCTGGGCTCACTATGCTGCCGCCCAGTGGGACTTTGGAAATACAATGTGTCAACTCTTGACAGGGCTCTATTTTATAGGCTTCTTCTC</t>
  </si>
  <si>
    <t>ACAA</t>
  </si>
  <si>
    <t>ACCACCACACTGAATCTCC</t>
  </si>
  <si>
    <t>TTGCCATGTAGACCCCTTGAAGAGGGGAGG</t>
  </si>
  <si>
    <t>CTTGCCATGTAGACC</t>
  </si>
  <si>
    <t>AACC</t>
  </si>
  <si>
    <t>GCA</t>
  </si>
  <si>
    <t>GGTCAATTTGGTAGACCCCTT</t>
  </si>
  <si>
    <t>ACAG</t>
  </si>
  <si>
    <t>ACC</t>
  </si>
  <si>
    <t>TGTAGTGT</t>
  </si>
  <si>
    <t>GCGCTATCGGTAGACCCCTTGAAGAGGGGAGGGG</t>
  </si>
  <si>
    <t>GGAC</t>
  </si>
  <si>
    <t>ATTCCGTAG</t>
  </si>
  <si>
    <t>GGT</t>
  </si>
  <si>
    <t>CAT</t>
  </si>
  <si>
    <t>TAG</t>
  </si>
  <si>
    <t>TGTA</t>
  </si>
  <si>
    <t>CTGATTAGCGTAGACCCCTTGAAGAGGGGACGGCCTAGGG</t>
  </si>
  <si>
    <t>CTCCTCACAGTTGCCATGTAGACCCC</t>
  </si>
  <si>
    <t>GTTG</t>
  </si>
  <si>
    <t>CAGTTGCCAT</t>
  </si>
  <si>
    <t>TCCTCACAGTTGCCAT</t>
  </si>
  <si>
    <t>ATCTCCCCTCCTCACAGTT</t>
  </si>
  <si>
    <t>TCTCCCCTCCTCACAGTTGCCATGTA</t>
  </si>
  <si>
    <t>ATCTCCCCTCCTCACAGTTGCCATGTAGACCCCTTGAAGA</t>
  </si>
  <si>
    <t>CTCCTCAC</t>
  </si>
  <si>
    <t>CCCCTTGAAG</t>
  </si>
  <si>
    <t>CGAACAAGGGGAGGGGCCTAGGGAGCCCCACCTTGT</t>
  </si>
  <si>
    <t>CCCTCCTCACAGTTGCCATGTAGACCCCTTGAAGAGGGGAGGGGCC</t>
  </si>
  <si>
    <t>CTCCTCACAGTTGCC</t>
  </si>
  <si>
    <t>CCTCACAGTTGCCATGTAGACCCCT</t>
  </si>
  <si>
    <t>CTCAC</t>
  </si>
  <si>
    <t>ACAGTTGCCATGTAGACCCC</t>
  </si>
  <si>
    <t>CAGTTGCCATGTAGACCCCTTGAA</t>
  </si>
  <si>
    <t>AGTT</t>
  </si>
  <si>
    <t>AGAG</t>
  </si>
  <si>
    <t>TGCCAT</t>
  </si>
  <si>
    <t>CACAGTTGCCATGTAGACCCCT</t>
  </si>
  <si>
    <t>CAGT</t>
  </si>
  <si>
    <t>CGTCGGTAGGCCCCTTGAAGAGGGGAGGGGCCTAG</t>
  </si>
  <si>
    <t>TCG</t>
  </si>
  <si>
    <t>CGTAA</t>
  </si>
  <si>
    <t>TAAAATTTGGTAGACC</t>
  </si>
  <si>
    <t>GTACC</t>
  </si>
  <si>
    <t>CGG</t>
  </si>
  <si>
    <t>TGTT</t>
  </si>
  <si>
    <t>TTCG</t>
  </si>
  <si>
    <t>CAGAAATTGGTAGACC</t>
  </si>
  <si>
    <t>CCTCCTCACAGTTGCC</t>
  </si>
  <si>
    <t>CCTCCTCACAGTTGCCATGTAGACCCCTTGAAGAGGGGAGGGGCC</t>
  </si>
  <si>
    <t>GTTGCC</t>
  </si>
  <si>
    <t>TTGAAGAGGGG</t>
  </si>
  <si>
    <t>GTAGG</t>
  </si>
  <si>
    <t>TAGA</t>
  </si>
  <si>
    <t>TCCTCACAGTTGCCATGTAGACC</t>
  </si>
  <si>
    <t>TCCTCACA</t>
  </si>
  <si>
    <t>CAGTTGCCA</t>
  </si>
  <si>
    <t>GTTGCCATGTAGACCCCTTG</t>
  </si>
  <si>
    <t>CACAGT</t>
  </si>
  <si>
    <t>AAG</t>
  </si>
  <si>
    <t>ATC</t>
  </si>
  <si>
    <t>GTGAGCCG</t>
  </si>
  <si>
    <t>CTCCCCTCCT</t>
  </si>
  <si>
    <t>GTTCCCCACCACA</t>
  </si>
  <si>
    <t>GATA</t>
  </si>
  <si>
    <t>CCTCCTCACAGTTGCCATGTAGACCCCTTGAAGA</t>
  </si>
  <si>
    <t>TCACAGTTGCC</t>
  </si>
  <si>
    <t>ACAGTTGCCATGTA</t>
  </si>
  <si>
    <t>TAAATACAGTAGACCCCT</t>
  </si>
  <si>
    <t>TTAAAAATCGTAGACCCCTTGAAGAGGGG</t>
  </si>
  <si>
    <t>TAGC</t>
  </si>
  <si>
    <t>TCACAGTTGCCATGTAGACC</t>
  </si>
  <si>
    <t>AGTTGCCATGTAGAC</t>
  </si>
  <si>
    <t>TTGCCATGTAGACCCCTTGAAGAGGGGAGGG</t>
  </si>
  <si>
    <t>CTGAATCTCCCCTCCTCAC</t>
  </si>
  <si>
    <t>GAAGAGAGAGACCCTCACTGCTGGGGAGTCCCCACCAC</t>
  </si>
  <si>
    <t>TAGG</t>
  </si>
  <si>
    <t>TCACAGTTGCCATGTAGA</t>
  </si>
  <si>
    <t>CCTCCTCACAGTTGCCATGT</t>
  </si>
  <si>
    <t>CCTCCTCAC</t>
  </si>
  <si>
    <t>TCCTCAC</t>
  </si>
  <si>
    <t>CCTCACAGTTGCCA</t>
  </si>
  <si>
    <t>AGTTGC</t>
  </si>
  <si>
    <t>AGTTG</t>
  </si>
  <si>
    <t>ACAAGAGGA</t>
  </si>
  <si>
    <t>TTGCC</t>
  </si>
  <si>
    <t>CCTCT</t>
  </si>
  <si>
    <t>CACAG</t>
  </si>
  <si>
    <t>CGTCC</t>
  </si>
  <si>
    <t>ATT</t>
  </si>
  <si>
    <t>CAGACGTG</t>
  </si>
  <si>
    <t>GTAGTA</t>
  </si>
  <si>
    <t>ATAGA</t>
  </si>
  <si>
    <t>TTCTACAA</t>
  </si>
  <si>
    <t>AGACCCCTTGAAGAG</t>
  </si>
  <si>
    <t>TCTC</t>
  </si>
  <si>
    <t>CTCT</t>
  </si>
  <si>
    <t>CCTCCTCACAGTTGCCA</t>
  </si>
  <si>
    <t>CCGT</t>
  </si>
  <si>
    <t>GTTGC</t>
  </si>
  <si>
    <t>TGTTTTTAAAAGTCCGTAGACC</t>
  </si>
  <si>
    <t>GCGCC</t>
  </si>
  <si>
    <t>TCTGCA</t>
  </si>
  <si>
    <t>AATCTCCCC</t>
  </si>
  <si>
    <t>TCAC</t>
  </si>
  <si>
    <t>ATCTCTCCT</t>
  </si>
  <si>
    <t>ACACTGAATCTCCCCTCCTCACAGTTGCCATGTAGACCCCT</t>
  </si>
  <si>
    <t>GTAGA</t>
  </si>
  <si>
    <t>TCGCCAACCGTAGACCCCTTGAAGAGGGG</t>
  </si>
  <si>
    <t>CCACACTCAGTCCCCCACCACACTGAATCTCCCCATG</t>
  </si>
  <si>
    <t>AATA</t>
  </si>
  <si>
    <t>CAAGC</t>
  </si>
  <si>
    <t>CGA</t>
  </si>
  <si>
    <t>TACG</t>
  </si>
  <si>
    <t>TATTCGTAGAC</t>
  </si>
  <si>
    <t>TGGCC</t>
  </si>
  <si>
    <t>TTTG</t>
  </si>
  <si>
    <t>ACAGTTGCCATGTAGACCC</t>
  </si>
  <si>
    <t>AATCTCCCCTCCTCACA</t>
  </si>
  <si>
    <t>ATATTGATGGTTCATGACAAGGTACTGAATCTCCCCTTGTGC</t>
  </si>
  <si>
    <t>ATGCCACACTCAGTCCCCCACCACACTGAATCTCCCCTCCT</t>
  </si>
  <si>
    <t>ATACG</t>
  </si>
  <si>
    <t>GGGT</t>
  </si>
  <si>
    <t>TGAATCTCCCCTCCTCACAGTTGCCATGTAGACCCCTTGA</t>
  </si>
  <si>
    <t>TAATCTCCCCT</t>
  </si>
  <si>
    <t>CATTTA</t>
  </si>
  <si>
    <t>GTAGACCCCTTGAATCCCC</t>
  </si>
  <si>
    <t>ATCG</t>
  </si>
  <si>
    <t>TGA</t>
  </si>
  <si>
    <t>TTAGC</t>
  </si>
  <si>
    <t>CCCCTCCTCACAGTT</t>
  </si>
  <si>
    <t>AGGGG</t>
  </si>
  <si>
    <t>ACAGTTGCCATGTAGAC</t>
  </si>
  <si>
    <t>TTTA</t>
  </si>
  <si>
    <t>GCG</t>
  </si>
  <si>
    <t>TACAAATCCGTAGACCCCTTGAAGAGGGGAGGGGC</t>
  </si>
  <si>
    <t>GTT</t>
  </si>
  <si>
    <t>ATAGTTGCAT</t>
  </si>
  <si>
    <t>AGTTGCC</t>
  </si>
  <si>
    <t>ATCA</t>
  </si>
  <si>
    <t>CTCACAGTTGCCAT</t>
  </si>
  <si>
    <t>TTACAAACGG</t>
  </si>
  <si>
    <t>GGAGC</t>
  </si>
  <si>
    <t>GTACCATCAATAAAGT</t>
  </si>
  <si>
    <t>AGTA</t>
  </si>
  <si>
    <t>CGACGGTAGACCCCTTGAAGAGGGGAGGGGCCTCG</t>
  </si>
  <si>
    <t>GGGCCTAGGGAGC</t>
  </si>
  <si>
    <t>GTACCATCAATAAAGTA</t>
  </si>
  <si>
    <t>ATCT</t>
  </si>
  <si>
    <t>CGATA</t>
  </si>
  <si>
    <t>ATGG</t>
  </si>
  <si>
    <t>ACTGAATCTCCCCTCCTCACA</t>
  </si>
  <si>
    <t>ACAC</t>
  </si>
  <si>
    <t>TGCCGGGGAGCCCCCACCACACTGAATCTCCCCTTGTGT</t>
  </si>
  <si>
    <t>TGGAA</t>
  </si>
  <si>
    <t>AACTCAGTCCCCCACCACACTGA</t>
  </si>
  <si>
    <t>TGTACTCACACAGCC</t>
  </si>
  <si>
    <t>CTGGGG</t>
  </si>
  <si>
    <t>CCTT</t>
  </si>
  <si>
    <t>ACACT</t>
  </si>
  <si>
    <t>GTACCATCA</t>
  </si>
  <si>
    <t>TTAGTTACAGT</t>
  </si>
  <si>
    <t>AACTCAGTCCCCCACCACACTGAATCTCCCCTTGT</t>
  </si>
  <si>
    <t>ACTGAATCTCCCCTTGTTCATC</t>
  </si>
  <si>
    <t>TGTACATTAGTC</t>
  </si>
  <si>
    <t>TTCC</t>
  </si>
  <si>
    <t>ATAGCG</t>
  </si>
  <si>
    <t>AGTG</t>
  </si>
  <si>
    <t>AGTTGCCATGT</t>
  </si>
  <si>
    <t>TGTGTACG</t>
  </si>
  <si>
    <t>ACCTC</t>
  </si>
  <si>
    <t>AGTGTGGTCCTCTCTG</t>
  </si>
  <si>
    <t>AGGA</t>
  </si>
  <si>
    <t>CCCATATCCGTACACCCCTTG</t>
  </si>
  <si>
    <t>TCTCTCTT</t>
  </si>
  <si>
    <t>AAGCTACCGTAGACCCC</t>
  </si>
  <si>
    <t>ATG</t>
  </si>
  <si>
    <t>TTTTGGTG</t>
  </si>
  <si>
    <t>CCTTCCCTCTCTTCCTCT</t>
  </si>
  <si>
    <t>ATTG</t>
  </si>
  <si>
    <t>TCCTCACAGTTGCCATGTAGACCC</t>
  </si>
  <si>
    <t>TCTCCCCT</t>
  </si>
  <si>
    <t>ATAGGCGATCGTAGACCCCTTGAAGAGGTGAGGGGCTCCC</t>
  </si>
  <si>
    <t>AGTTGCCATG</t>
  </si>
  <si>
    <t>TCAACAAGG</t>
  </si>
  <si>
    <t>CAGTGAGGGTCTCTCTCTTCC</t>
  </si>
  <si>
    <t>ATTTA</t>
  </si>
  <si>
    <t>GTTGCCATGT</t>
  </si>
  <si>
    <t>TTGG</t>
  </si>
  <si>
    <t>CTAGAGTA</t>
  </si>
  <si>
    <t>TGCTGGGGAGTCCCCGCCACACTGAATCTCCCCTTGT</t>
  </si>
  <si>
    <t>ACACA</t>
  </si>
  <si>
    <t>ACACTGAATCTCCCCTTGTTCTTT</t>
  </si>
  <si>
    <t>TTAGA</t>
  </si>
  <si>
    <t>CCCTCCTCAC</t>
  </si>
  <si>
    <t>CCGGCGTCCGTAGA</t>
  </si>
  <si>
    <t>ATGAATCTCCCCTTGTAC</t>
  </si>
  <si>
    <t>GGGGAGTCCCCACCACACTCAATCTCCCCTCCTCACA</t>
  </si>
  <si>
    <t>GGGGAGTCCCCACCACACTGAATCTCCCCTCCTCACA</t>
  </si>
  <si>
    <t>GGGGAGTCCCCGCCACACTGAATCTCCCCTCCTCACA</t>
  </si>
  <si>
    <t>CCTCCTCACAGTTGCCATGTAGACCCC</t>
  </si>
  <si>
    <t>CCCCTCCTCACAGTTGCCATGTAGACCCCTTGAAG</t>
  </si>
  <si>
    <t>AAGGAG</t>
  </si>
  <si>
    <t>GTAGACCC</t>
  </si>
  <si>
    <t>CTGATTAGCGTAGACCCCTTGAAGAGTGGACGGGGTAGT</t>
  </si>
  <si>
    <t>CTCACA</t>
  </si>
  <si>
    <t>ACATTG</t>
  </si>
  <si>
    <t>TGTAGA</t>
  </si>
  <si>
    <t>GAAGAGATCGTAG</t>
  </si>
  <si>
    <t>TACA</t>
  </si>
  <si>
    <t>TCGT</t>
  </si>
  <si>
    <t>TGTTCAGA</t>
  </si>
  <si>
    <t>CGTAGACCCCTTGAAGAGGGGAGGGGC</t>
  </si>
  <si>
    <t>AGACTCCTTG</t>
  </si>
  <si>
    <t>AAAGAGAGGGACCCTCACTGCTGGGG</t>
  </si>
  <si>
    <t>ATGTAGA</t>
  </si>
  <si>
    <t>CCCCTCCTCACAGTTGCCATGT</t>
  </si>
  <si>
    <t>CCTCACAGT</t>
  </si>
  <si>
    <t>ATCTCCCCTCCTCACAGTTGCCATGTAGA</t>
  </si>
  <si>
    <t>ATCCCCCACCACACTGAATCTCCCCTTGTA</t>
  </si>
  <si>
    <t>TCCTTATCGTACGGGTACTTTATTGATCGTACACG</t>
  </si>
  <si>
    <t>TCCTCACAGTTGCC</t>
  </si>
  <si>
    <t>CTCACAGT</t>
  </si>
  <si>
    <t>TATAAGGAATTG</t>
  </si>
  <si>
    <t>CACAGTTGCCATGTAGACCCCTT</t>
  </si>
  <si>
    <t>CTGCCGACCGT</t>
  </si>
  <si>
    <t>AATATAG</t>
  </si>
  <si>
    <t>ACGATAGTAGACCCCTTGAAGAGGGGAGGGG</t>
  </si>
  <si>
    <t>CCCTCCTCACAGTTGCCATGT</t>
  </si>
  <si>
    <t>CTAGAG</t>
  </si>
  <si>
    <t>TCCTTATCGTACGGGTACTCTATTGATGGTACATG</t>
  </si>
  <si>
    <t>CAACCGTACACCCCTTGAAGAGCGC</t>
  </si>
  <si>
    <t>AGTTGCCATGTAG</t>
  </si>
  <si>
    <t>GTGTA</t>
  </si>
  <si>
    <t>CAGTTTTCGTAGACCCCT</t>
  </si>
  <si>
    <t>TCCCTGTAGTAGACCCCTTGAAGAGGC</t>
  </si>
  <si>
    <t>CTTACC</t>
  </si>
  <si>
    <t>GCC</t>
  </si>
  <si>
    <t>GTAGACCCCTTGAAGAGGGGAGGG</t>
  </si>
  <si>
    <t>ACTC</t>
  </si>
  <si>
    <t>CTATGG</t>
  </si>
  <si>
    <t>TTCA</t>
  </si>
  <si>
    <t>GTTTT</t>
  </si>
  <si>
    <t>AAAGACCCTCACTGCTGGGGAGTCCC</t>
  </si>
  <si>
    <t>TAGGAGTAGACCCCTTGAAGAGGGGAG</t>
  </si>
  <si>
    <t>TCACAGTTGCCATGT</t>
  </si>
  <si>
    <t>AACACACCT</t>
  </si>
  <si>
    <t>TGAT</t>
  </si>
  <si>
    <t>CGCT</t>
  </si>
  <si>
    <t>TGTTCGCA</t>
  </si>
  <si>
    <t>CAGTAACAGT</t>
  </si>
  <si>
    <t>TTGCCATGTAGACCCCTTGAAGAGGGGAGGGG</t>
  </si>
  <si>
    <t>TGCAATAATCGTAGACCCCTTGAAGAGGGGAGGGGC</t>
  </si>
  <si>
    <t>AAGA</t>
  </si>
  <si>
    <t>CACACTGAATCT</t>
  </si>
  <si>
    <t>CAGTTGCC</t>
  </si>
  <si>
    <t>ACG</t>
  </si>
  <si>
    <t>TTCAAGGTGAATCTCCCCTCCTCACTTCAACGGTCTCTCTTCAA</t>
  </si>
  <si>
    <t>ATTAACGTACACTGAATCTCCCCT</t>
  </si>
  <si>
    <t>AGAGCG</t>
  </si>
  <si>
    <t>TGTTTACC</t>
  </si>
  <si>
    <t>TGCTGGGGAGCCCCCACCACACTGAATCTCCCCTTGTG</t>
  </si>
  <si>
    <t>CAGTTGCCATGTAGACCCCTTGAAGA</t>
  </si>
  <si>
    <t>CTCCC</t>
  </si>
  <si>
    <t>AAGTTGCCATGTAGACCCCTTGAAG</t>
  </si>
  <si>
    <t>ACACTGAATCTCCCCTCCTCACAGTTGCCATGTAGACCC</t>
  </si>
  <si>
    <t>ACTGAATCTCCCCTCCTCACAGTTGCCA</t>
  </si>
  <si>
    <t>CTGTAGACACTGT</t>
  </si>
  <si>
    <t>CACAGTTGCCAT</t>
  </si>
  <si>
    <t>ACTCAGTCCCCCACCACACTGAATCTCCCCTT</t>
  </si>
  <si>
    <t>AAACC</t>
  </si>
  <si>
    <t>TTGC</t>
  </si>
  <si>
    <t>AGGAGAG</t>
  </si>
  <si>
    <t>TCAGCTATCGTAGACCCCTTT</t>
  </si>
  <si>
    <t>GCGG</t>
  </si>
  <si>
    <t>TCCTAGTAGTAGACCCCTTGAAGGGGGG</t>
  </si>
  <si>
    <t>ACCTTG</t>
  </si>
  <si>
    <t>GGCCACCA</t>
  </si>
  <si>
    <t>TCAG</t>
  </si>
  <si>
    <t>TTAATTTTGGTAGACC</t>
  </si>
  <si>
    <t>AAGTACCTTGAC</t>
  </si>
  <si>
    <t>AGAGC</t>
  </si>
  <si>
    <t>AGAGAGACCCTCACTGCGGGGGAGTCCCTGCCACA</t>
  </si>
  <si>
    <t>TGCCATGT</t>
  </si>
  <si>
    <t>ACTGAATCTCCCCTCCTCACAGTT</t>
  </si>
  <si>
    <t>TCGGT</t>
  </si>
  <si>
    <t>AGTCAGTCCCCCACCACACTGAAACTCCCCTTG</t>
  </si>
  <si>
    <t>TGTGCGTACATATCA</t>
  </si>
  <si>
    <t>TGAATCTCCCCTTGTGCTTACATATGTTG</t>
  </si>
  <si>
    <t>TTCCCATTAGTAGACCCCTTGAAGAGGGGAGG</t>
  </si>
  <si>
    <t>AGTTGCCATGTAGACCCCTTGAAGAGGGGAGGGGCC</t>
  </si>
  <si>
    <t>AATC</t>
  </si>
  <si>
    <t>GGTC</t>
  </si>
  <si>
    <t>GTTTTGTA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</si>
</sst>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8" x14ac:knownFonts="1">
    <font>
      <sz val="11"/>
      <color theme="1"/>
      <name val="Aptos Narrow"/>
      <family val="2"/>
      <scheme val="minor"/>
    </font>
    <font>
      <b/>
      <sz val="14"/>
      <color rgb="FF000000"/>
      <name val="Calibri"/>
      <family val="2"/>
    </font>
    <font>
      <sz val="14"/>
      <color rgb="FF000000"/>
      <name val="Calibri"/>
      <family val="2"/>
    </font>
    <font>
      <sz val="11"/>
      <color rgb="FF000000"/>
      <name val="Calibri"/>
      <family val="2"/>
    </font>
    <font>
      <sz val="11"/>
      <color theme="1"/>
      <name val="Aptos Narrow"/>
      <family val="2"/>
      <scheme val="minor"/>
    </font>
    <font>
      <sz val="11"/>
      <color theme="0" tint="-0.249977111117893"/>
      <name val="Aptos Narrow"/>
      <family val="2"/>
      <scheme val="minor"/>
    </font>
    <font>
      <sz val="10"/>
      <color theme="0" tint="-0.249977111117893"/>
      <name val="Arial"/>
      <family val="2"/>
    </font>
    <font>
      <sz val="10"/>
      <color theme="1"/>
      <name val="Arial"/>
      <family val="2"/>
    </font>
    <font>
      <sz val="11"/>
      <color rgb="FFFF0000"/>
      <name val="Aptos Narrow"/>
      <family val="2"/>
      <scheme val="minor"/>
    </font>
    <font>
      <b/>
      <sz val="10"/>
      <color theme="1"/>
      <name val="Arial"/>
      <family val="2"/>
    </font>
    <font>
      <sz val="10"/>
      <name val="Arial"/>
      <family val="2"/>
    </font>
    <font>
      <sz val="1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1"/>
      <color rgb="FF9C6500"/>
      <name val="Aptos Narrow"/>
      <family val="2"/>
      <scheme val="minor"/>
    </font>
    <font>
      <sz val="11"/>
      <name val="Courier New"/>
      <family val="3"/>
    </font>
    <font>
      <b/>
      <sz val="11"/>
      <name val="Aptos Narrow"/>
      <family val="2"/>
      <scheme val="minor"/>
    </font>
    <font>
      <sz val="11"/>
      <color theme="1" tint="4.9989318521683403E-2"/>
      <name val="Aptos Narrow"/>
      <family val="2"/>
      <scheme val="minor"/>
    </font>
    <font>
      <b/>
      <sz val="11"/>
      <color theme="1" tint="4.9989318521683403E-2"/>
      <name val="Aptos Narrow"/>
      <family val="2"/>
      <scheme val="minor"/>
    </font>
    <font>
      <sz val="11"/>
      <color indexed="10"/>
      <name val="Aptos Narrow"/>
      <family val="2"/>
      <scheme val="minor"/>
    </font>
    <font>
      <sz val="10"/>
      <color rgb="FFFF0000"/>
      <name val="Aptos Narrow"/>
      <family val="2"/>
      <scheme val="minor"/>
    </font>
    <font>
      <sz val="10"/>
      <color theme="8" tint="-0.249977111117893"/>
      <name val="Arial"/>
      <family val="2"/>
    </font>
    <font>
      <b/>
      <sz val="12"/>
      <name val="Courier New"/>
      <family val="3"/>
    </font>
    <font>
      <b/>
      <sz val="10"/>
      <color theme="8" tint="-0.249977111117893"/>
      <name val="Aptos Narrow"/>
      <family val="2"/>
      <scheme val="minor"/>
    </font>
    <font>
      <sz val="11"/>
      <color theme="4" tint="0.59999389629810485"/>
      <name val="Aptos Narrow"/>
      <family val="2"/>
      <scheme val="minor"/>
    </font>
    <font>
      <b/>
      <sz val="10"/>
      <color theme="0"/>
      <name val="Arial"/>
      <family val="2"/>
    </font>
    <font>
      <sz val="10"/>
      <name val="Courier New"/>
      <family val="3"/>
    </font>
    <font>
      <b/>
      <sz val="10"/>
      <name val="Arial"/>
      <family val="2"/>
    </font>
    <font>
      <sz val="10"/>
      <color rgb="FFFF0000"/>
      <name val="Arial"/>
      <family val="2"/>
    </font>
    <font>
      <sz val="10"/>
      <color theme="8" tint="-0.249977111117893"/>
      <name val="Aptos Narrow"/>
      <family val="2"/>
      <scheme val="minor"/>
    </font>
    <font>
      <sz val="10"/>
      <color theme="0"/>
      <name val="Arial"/>
      <family val="2"/>
    </font>
    <font>
      <sz val="10"/>
      <color theme="0"/>
      <name val="Cooper Black"/>
      <family val="1"/>
    </font>
    <font>
      <b/>
      <sz val="12"/>
      <color rgb="FF0033CC"/>
      <name val="Courier New"/>
      <family val="3"/>
    </font>
    <font>
      <sz val="11"/>
      <name val="Cooper Black"/>
      <family val="1"/>
    </font>
    <font>
      <sz val="10"/>
      <color theme="7" tint="0.39997558519241921"/>
      <name val="Arial"/>
      <family val="2"/>
    </font>
    <font>
      <sz val="11"/>
      <color theme="0"/>
      <name val="Courier New"/>
      <family val="3"/>
    </font>
    <font>
      <sz val="11"/>
      <color rgb="FF3F3F76"/>
      <name val="Aptos Narrow"/>
      <family val="2"/>
      <scheme val="minor"/>
    </font>
    <font>
      <sz val="11"/>
      <color rgb="FF9C0006"/>
      <name val="Aptos Narrow"/>
      <family val="2"/>
      <scheme val="minor"/>
    </font>
    <font>
      <b/>
      <sz val="10"/>
      <color rgb="FF9C0006"/>
      <name val="Arial"/>
      <family val="2"/>
    </font>
    <font>
      <b/>
      <sz val="10"/>
      <color theme="4" tint="-0.499984740745262"/>
      <name val="Arial"/>
      <family val="2"/>
    </font>
    <font>
      <sz val="11"/>
      <color theme="9" tint="0.79998168889431442"/>
      <name val="Aptos Narrow"/>
      <family val="2"/>
      <scheme val="minor"/>
    </font>
    <font>
      <sz val="11"/>
      <color theme="8" tint="0.59999389629810485"/>
      <name val="Aptos Narrow"/>
      <family val="2"/>
      <scheme val="minor"/>
    </font>
    <font>
      <sz val="11"/>
      <color rgb="FF00642D"/>
      <name val="Aptos Narrow"/>
      <family val="2"/>
      <scheme val="minor"/>
    </font>
    <font>
      <sz val="11"/>
      <name val="Arial"/>
      <family val="2"/>
    </font>
    <font>
      <b/>
      <sz val="11"/>
      <color theme="4" tint="-0.499984740745262"/>
      <name val="Arial"/>
      <family val="2"/>
    </font>
    <font>
      <b/>
      <sz val="9"/>
      <color theme="0" tint="-0.499984740745262"/>
      <name val="Arial"/>
      <family val="2"/>
    </font>
    <font>
      <sz val="10"/>
      <color theme="0" tint="-0.499984740745262"/>
      <name val="Arial"/>
      <family val="2"/>
    </font>
    <font>
      <sz val="10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0"/>
      <color rgb="FF901A06"/>
      <name val="Arial"/>
      <family val="2"/>
    </font>
    <font>
      <sz val="11"/>
      <color rgb="FFF4AA78"/>
      <name val="Aptos Narrow"/>
      <family val="2"/>
      <scheme val="minor"/>
    </font>
    <font>
      <sz val="11"/>
      <color rgb="FFEF853D"/>
      <name val="Aptos Narrow"/>
      <family val="2"/>
      <scheme val="minor"/>
    </font>
    <font>
      <sz val="12"/>
      <name val="Courier New"/>
      <family val="1"/>
    </font>
    <font>
      <sz val="12"/>
      <name val="Courier New"/>
      <family val="3"/>
    </font>
    <font>
      <sz val="12"/>
      <color rgb="FFFF0000"/>
      <name val="Courier New"/>
      <family val="3"/>
    </font>
    <font>
      <sz val="12"/>
      <color theme="1"/>
      <name val="Courier New"/>
      <family val="1"/>
    </font>
    <font>
      <b/>
      <sz val="12"/>
      <color rgb="FF00FFFE"/>
      <name val="Courier New"/>
      <family val="1"/>
    </font>
    <font>
      <b/>
      <sz val="12"/>
      <color rgb="FFFFC000"/>
      <name val="Cooper Black"/>
      <family val="5"/>
    </font>
  </fonts>
  <fills count="82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715A31"/>
        <bgColor indexed="64"/>
      </patternFill>
    </fill>
    <fill>
      <patternFill patternType="solid">
        <fgColor rgb="FFD7EAF9"/>
        <bgColor indexed="64"/>
      </patternFill>
    </fill>
    <fill>
      <patternFill patternType="solid">
        <fgColor rgb="FFFFEEEB"/>
        <bgColor indexed="64"/>
      </patternFill>
    </fill>
    <fill>
      <patternFill patternType="solid">
        <fgColor rgb="FFB18D4D"/>
        <bgColor indexed="64"/>
      </patternFill>
    </fill>
    <fill>
      <patternFill patternType="solid">
        <fgColor rgb="FFBC9D64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D5CD"/>
        <bgColor indexed="64"/>
      </patternFill>
    </fill>
    <fill>
      <patternFill patternType="solid">
        <fgColor rgb="FFDECFB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AF9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8971"/>
        <bgColor indexed="64"/>
      </patternFill>
    </fill>
    <fill>
      <patternFill patternType="solid">
        <fgColor rgb="FFFF5353"/>
        <bgColor indexed="64"/>
      </patternFill>
    </fill>
    <fill>
      <patternFill patternType="solid">
        <fgColor rgb="FFFBDDCD"/>
        <bgColor indexed="64"/>
      </patternFill>
    </fill>
    <fill>
      <patternFill patternType="solid">
        <fgColor rgb="FFD1FFE6"/>
        <bgColor indexed="64"/>
      </patternFill>
    </fill>
    <fill>
      <patternFill patternType="solid">
        <fgColor rgb="FFFF694B"/>
        <bgColor indexed="64"/>
      </patternFill>
    </fill>
    <fill>
      <patternFill patternType="solid">
        <fgColor rgb="FF3F8DFF"/>
        <bgColor indexed="64"/>
      </patternFill>
    </fill>
    <fill>
      <patternFill patternType="solid">
        <fgColor rgb="FFC5DC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A30A2"/>
        <bgColor indexed="64"/>
      </patternFill>
    </fill>
    <fill>
      <patternFill patternType="solid">
        <fgColor rgb="FF00FFFE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1FFB1"/>
        <bgColor indexed="64"/>
      </patternFill>
    </fill>
    <fill>
      <patternFill patternType="solid">
        <fgColor rgb="FFFF3C15"/>
        <bgColor indexed="64"/>
      </patternFill>
    </fill>
    <fill>
      <patternFill patternType="solid">
        <fgColor rgb="FF43EA16"/>
        <bgColor indexed="64"/>
      </patternFill>
    </fill>
    <fill>
      <patternFill patternType="solid">
        <fgColor rgb="FFE6FCE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B452F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DA6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F5D9"/>
        <bgColor indexed="64"/>
      </patternFill>
    </fill>
    <fill>
      <patternFill patternType="solid">
        <fgColor rgb="FFFFFFB9"/>
        <bgColor indexed="64"/>
      </patternFill>
    </fill>
    <fill>
      <patternFill patternType="solid">
        <fgColor rgb="FFFCC5BC"/>
        <bgColor indexed="64"/>
      </patternFill>
    </fill>
    <fill>
      <patternFill patternType="solid">
        <fgColor rgb="FF009A46"/>
        <bgColor indexed="64"/>
      </patternFill>
    </fill>
    <fill>
      <patternFill patternType="solid">
        <fgColor rgb="FF0154CF"/>
        <bgColor indexed="64"/>
      </patternFill>
    </fill>
    <fill>
      <patternFill patternType="solid">
        <fgColor rgb="FFA568D2"/>
        <bgColor indexed="64"/>
      </patternFill>
    </fill>
    <fill>
      <patternFill patternType="solid">
        <fgColor rgb="FFECDFF5"/>
        <bgColor indexed="64"/>
      </patternFill>
    </fill>
    <fill>
      <patternFill patternType="solid">
        <fgColor rgb="FFFFFFE7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E5F0FF"/>
        <bgColor indexed="64"/>
      </patternFill>
    </fill>
    <fill>
      <patternFill patternType="solid">
        <fgColor rgb="FF007932"/>
        <bgColor indexed="64"/>
      </patternFill>
    </fill>
    <fill>
      <patternFill patternType="solid">
        <fgColor rgb="FFDDFFEE"/>
        <bgColor indexed="64"/>
      </patternFill>
    </fill>
    <fill>
      <patternFill patternType="solid">
        <fgColor rgb="FFFAD9C2"/>
        <bgColor indexed="64"/>
      </patternFill>
    </fill>
    <fill>
      <patternFill patternType="solid">
        <fgColor rgb="FFC9E0FF"/>
        <bgColor indexed="64"/>
      </patternFill>
    </fill>
    <fill>
      <patternFill patternType="solid">
        <fgColor rgb="FF03BFD3"/>
        <bgColor indexed="64"/>
      </patternFill>
    </fill>
    <fill>
      <patternFill patternType="solid">
        <fgColor rgb="FFBEF8FE"/>
        <bgColor indexed="64"/>
      </patternFill>
    </fill>
    <fill>
      <patternFill patternType="solid">
        <fgColor rgb="FFF4AD7C"/>
        <bgColor indexed="64"/>
      </patternFill>
    </fill>
    <fill>
      <patternFill patternType="solid">
        <fgColor rgb="FF97C4FF"/>
        <bgColor indexed="64"/>
      </patternFill>
    </fill>
    <fill>
      <patternFill patternType="solid">
        <fgColor rgb="FFEAB200"/>
        <bgColor indexed="64"/>
      </patternFill>
    </fill>
    <fill>
      <patternFill patternType="solid">
        <fgColor rgb="FFFFF3CD"/>
        <bgColor indexed="64"/>
      </patternFill>
    </fill>
    <fill>
      <patternFill patternType="solid">
        <fgColor rgb="FFEF853D"/>
        <bgColor indexed="64"/>
      </patternFill>
    </fill>
    <fill>
      <patternFill patternType="solid">
        <fgColor rgb="FF61A5FF"/>
        <bgColor indexed="64"/>
      </patternFill>
    </fill>
    <fill>
      <patternFill patternType="solid">
        <fgColor rgb="FFD1CC00"/>
        <bgColor indexed="64"/>
      </patternFill>
    </fill>
    <fill>
      <patternFill patternType="solid">
        <fgColor rgb="FFFFFED1"/>
        <bgColor indexed="64"/>
      </patternFill>
    </fill>
    <fill>
      <patternFill patternType="solid">
        <fgColor rgb="FFDF6613"/>
        <bgColor indexed="64"/>
      </patternFill>
    </fill>
    <fill>
      <patternFill patternType="solid">
        <fgColor rgb="FF2F88FF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9F480D"/>
        <bgColor indexed="64"/>
      </patternFill>
    </fill>
    <fill>
      <patternFill patternType="solid">
        <fgColor rgb="FF006BFA"/>
        <bgColor indexed="64"/>
      </patternFill>
    </fill>
    <fill>
      <patternFill patternType="solid">
        <fgColor rgb="FFDAE9F6"/>
        <bgColor indexed="64"/>
      </patternFill>
    </fill>
    <fill>
      <patternFill patternType="solid">
        <fgColor rgb="FF6D3109"/>
        <bgColor indexed="64"/>
      </patternFill>
    </fill>
    <fill>
      <patternFill patternType="solid">
        <fgColor rgb="FF005CD6"/>
        <bgColor indexed="64"/>
      </patternFill>
    </fill>
    <fill>
      <patternFill patternType="solid">
        <fgColor rgb="FFE54984"/>
        <bgColor indexed="64"/>
      </patternFill>
    </fill>
    <fill>
      <patternFill patternType="solid">
        <fgColor rgb="FFFADEE9"/>
        <bgColor indexed="64"/>
      </patternFill>
    </fill>
    <fill>
      <patternFill patternType="solid">
        <fgColor rgb="FF3D1C05"/>
        <bgColor indexed="64"/>
      </patternFill>
    </fill>
    <fill>
      <patternFill patternType="solid">
        <fgColor rgb="FF0045A2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7" tint="0.79998168889431442"/>
        <bgColor indexed="64"/>
      </patternFill>
    </fill>
  </fills>
  <borders count="6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rgb="FF6699FF"/>
      </top>
      <bottom style="thin">
        <color rgb="FF6699FF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rgb="FFFF8971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rgb="FFAF9375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rgb="FFFF8971"/>
      </top>
      <bottom style="thin">
        <color rgb="FFFF8971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theme="4"/>
      </left>
      <right style="thin">
        <color theme="0" tint="-0.249977111117893"/>
      </right>
      <top style="medium">
        <color theme="4"/>
      </top>
      <bottom style="thin">
        <color theme="0" tint="-0.249977111117893"/>
      </bottom>
      <diagonal/>
    </border>
    <border>
      <left/>
      <right style="medium">
        <color theme="4"/>
      </right>
      <top style="medium">
        <color theme="4"/>
      </top>
      <bottom style="thin">
        <color theme="0" tint="-0.249977111117893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theme="4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medium">
        <color theme="4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249977111117893"/>
      </bottom>
      <diagonal/>
    </border>
    <border>
      <left/>
      <right/>
      <top style="medium">
        <color indexed="64"/>
      </top>
      <bottom style="thin">
        <color theme="0" tint="-0.249977111117893"/>
      </bottom>
      <diagonal/>
    </border>
    <border>
      <left style="medium">
        <color indexed="64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 style="thin">
        <color theme="0" tint="-0.249977111117893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249977111117893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rgb="FF00B050"/>
      </bottom>
      <diagonal/>
    </border>
    <border>
      <left style="medium">
        <color indexed="64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medium">
        <color indexed="64"/>
      </right>
      <top style="thin">
        <color rgb="FF00B050"/>
      </top>
      <bottom style="thin">
        <color rgb="FF00B050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rgb="FF6699FF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theme="5"/>
      </bottom>
      <diagonal/>
    </border>
    <border>
      <left style="medium">
        <color theme="4"/>
      </left>
      <right style="thin">
        <color theme="0" tint="-0.249977111117893"/>
      </right>
      <top style="thin">
        <color theme="0" tint="-0.249977111117893"/>
      </top>
      <bottom style="medium">
        <color theme="4"/>
      </bottom>
      <diagonal/>
    </border>
    <border>
      <left/>
      <right style="medium">
        <color theme="4"/>
      </right>
      <top style="thin">
        <color theme="0" tint="-0.249977111117893"/>
      </top>
      <bottom style="medium">
        <color theme="4"/>
      </bottom>
      <diagonal/>
    </border>
    <border>
      <left style="thin">
        <color indexed="64"/>
      </left>
      <right style="medium">
        <color indexed="64"/>
      </right>
      <top style="thin">
        <color theme="5"/>
      </top>
      <bottom style="thin">
        <color theme="5"/>
      </bottom>
      <diagonal/>
    </border>
    <border>
      <left style="medium">
        <color theme="0" tint="-0.34998626667073579"/>
      </left>
      <right style="medium">
        <color theme="0" tint="-0.34998626667073579"/>
      </right>
      <top style="medium">
        <color theme="0" tint="-0.34998626667073579"/>
      </top>
      <bottom/>
      <diagonal/>
    </border>
    <border>
      <left style="medium">
        <color theme="5" tint="0.39997558519241921"/>
      </left>
      <right style="thin">
        <color theme="0" tint="-0.249977111117893"/>
      </right>
      <top style="medium">
        <color theme="5" tint="0.39997558519241921"/>
      </top>
      <bottom style="thin">
        <color theme="0" tint="-0.249977111117893"/>
      </bottom>
      <diagonal/>
    </border>
    <border>
      <left/>
      <right style="medium">
        <color theme="5" tint="0.39997558519241921"/>
      </right>
      <top style="medium">
        <color theme="5" tint="0.39997558519241921"/>
      </top>
      <bottom style="thin">
        <color theme="0" tint="-0.249977111117893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theme="0" tint="-0.34998626667073579"/>
      </bottom>
      <diagonal/>
    </border>
    <border>
      <left style="medium">
        <color theme="5" tint="0.39997558519241921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medium">
        <color theme="5" tint="0.39997558519241921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 style="medium">
        <color indexed="64"/>
      </right>
      <top style="thin">
        <color theme="0" tint="-0.249977111117893"/>
      </top>
      <bottom style="medium">
        <color indexed="64"/>
      </bottom>
      <diagonal/>
    </border>
    <border>
      <left/>
      <right/>
      <top style="thin">
        <color theme="0" tint="-0.249977111117893"/>
      </top>
      <bottom style="medium">
        <color indexed="64"/>
      </bottom>
      <diagonal/>
    </border>
    <border>
      <left style="medium">
        <color indexed="64"/>
      </left>
      <right style="thin">
        <color theme="0" tint="-0.249977111117893"/>
      </right>
      <top style="thin">
        <color theme="0" tint="-0.249977111117893"/>
      </top>
      <bottom style="medium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medium">
        <color indexed="64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medium">
        <color indexed="64"/>
      </bottom>
      <diagonal/>
    </border>
    <border>
      <left/>
      <right style="medium">
        <color indexed="64"/>
      </right>
      <top style="thin">
        <color theme="0" tint="-0.249977111117893"/>
      </top>
      <bottom style="medium">
        <color indexed="64"/>
      </bottom>
      <diagonal/>
    </border>
    <border>
      <left style="medium">
        <color theme="5" tint="0.39997558519241921"/>
      </left>
      <right style="thin">
        <color theme="0" tint="-0.249977111117893"/>
      </right>
      <top style="thin">
        <color theme="0" tint="-0.249977111117893"/>
      </top>
      <bottom style="medium">
        <color theme="5" tint="0.39997558519241921"/>
      </bottom>
      <diagonal/>
    </border>
    <border>
      <left/>
      <right style="medium">
        <color theme="5" tint="0.39997558519241921"/>
      </right>
      <top style="thin">
        <color theme="0" tint="-0.249977111117893"/>
      </top>
      <bottom style="medium">
        <color theme="5" tint="0.39997558519241921"/>
      </bottom>
      <diagonal/>
    </border>
    <border>
      <left style="thin">
        <color indexed="64"/>
      </left>
      <right style="medium">
        <color indexed="64"/>
      </right>
      <top style="thin">
        <color rgb="FF6699FF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6">
    <xf numFmtId="0" fontId="0" fillId="0" borderId="0"/>
    <xf numFmtId="0" fontId="37" fillId="2" borderId="0" applyNumberFormat="0" applyBorder="0" applyAlignment="0" applyProtection="0"/>
    <xf numFmtId="0" fontId="14" fillId="3" borderId="0" applyNumberFormat="0" applyBorder="0" applyAlignment="0" applyProtection="0"/>
    <xf numFmtId="0" fontId="36" fillId="4" borderId="1" applyNumberFormat="0" applyAlignment="0" applyProtection="0"/>
    <xf numFmtId="0" fontId="48" fillId="5" borderId="2" applyNumberFormat="0" applyAlignment="0" applyProtection="0"/>
    <xf numFmtId="0" fontId="4" fillId="6" borderId="3" applyNumberFormat="0" applyFont="0" applyAlignment="0" applyProtection="0"/>
  </cellStyleXfs>
  <cellXfs count="300">
    <xf numFmtId="0" fontId="0" fillId="0" borderId="0" xfId="0"/>
    <xf numFmtId="0" fontId="5" fillId="7" borderId="0" xfId="0" applyFont="1" applyFill="1" applyAlignment="1" applyProtection="1">
      <alignment horizontal="center"/>
      <protection locked="0"/>
    </xf>
    <xf numFmtId="0" fontId="6" fillId="7" borderId="0" xfId="0" applyFont="1" applyFill="1" applyAlignment="1" applyProtection="1">
      <alignment horizontal="left"/>
      <protection locked="0"/>
    </xf>
    <xf numFmtId="0" fontId="6" fillId="7" borderId="0" xfId="0" applyFont="1" applyFill="1" applyAlignment="1" applyProtection="1">
      <alignment horizontal="center" vertical="center"/>
      <protection locked="0"/>
    </xf>
    <xf numFmtId="0" fontId="6" fillId="7" borderId="0" xfId="0" applyFont="1" applyFill="1" applyAlignment="1" applyProtection="1">
      <alignment horizontal="left" vertical="center"/>
      <protection locked="0"/>
    </xf>
    <xf numFmtId="0" fontId="6" fillId="7" borderId="0" xfId="0" applyFont="1" applyFill="1" applyAlignment="1" applyProtection="1">
      <alignment horizontal="center"/>
      <protection locked="0"/>
    </xf>
    <xf numFmtId="0" fontId="7" fillId="7" borderId="0" xfId="0" applyFont="1" applyFill="1" applyAlignment="1" applyProtection="1">
      <alignment horizontal="center" vertical="center"/>
      <protection locked="0"/>
    </xf>
    <xf numFmtId="0" fontId="7" fillId="7" borderId="0" xfId="0" applyFont="1" applyFill="1" applyProtection="1">
      <protection locked="0"/>
    </xf>
    <xf numFmtId="0" fontId="7" fillId="0" borderId="0" xfId="0" applyFont="1" applyProtection="1">
      <protection locked="0"/>
    </xf>
    <xf numFmtId="0" fontId="0" fillId="0" borderId="0" xfId="0" applyProtection="1">
      <protection locked="0"/>
    </xf>
    <xf numFmtId="0" fontId="8" fillId="7" borderId="0" xfId="0" applyFont="1" applyFill="1" applyProtection="1">
      <protection locked="0"/>
    </xf>
    <xf numFmtId="0" fontId="9" fillId="7" borderId="0" xfId="0" applyFont="1" applyFill="1" applyAlignment="1" applyProtection="1">
      <alignment horizontal="center"/>
      <protection locked="0"/>
    </xf>
    <xf numFmtId="0" fontId="10" fillId="7" borderId="0" xfId="0" applyFont="1" applyFill="1" applyAlignment="1" applyProtection="1">
      <alignment horizontal="left" vertical="center"/>
      <protection locked="0"/>
    </xf>
    <xf numFmtId="0" fontId="10" fillId="7" borderId="0" xfId="0" applyFont="1" applyFill="1" applyAlignment="1" applyProtection="1">
      <alignment horizontal="left"/>
      <protection locked="0"/>
    </xf>
    <xf numFmtId="0" fontId="10" fillId="7" borderId="0" xfId="0" applyFont="1" applyFill="1" applyAlignment="1" applyProtection="1">
      <alignment horizontal="center" vertical="center"/>
      <protection locked="0"/>
    </xf>
    <xf numFmtId="0" fontId="10" fillId="7" borderId="0" xfId="0" applyFont="1" applyFill="1" applyProtection="1">
      <protection locked="0"/>
    </xf>
    <xf numFmtId="0" fontId="11" fillId="7" borderId="0" xfId="0" applyFont="1" applyFill="1" applyProtection="1">
      <protection locked="0"/>
    </xf>
    <xf numFmtId="0" fontId="12" fillId="7" borderId="0" xfId="0" applyFont="1" applyFill="1" applyProtection="1">
      <protection locked="0"/>
    </xf>
    <xf numFmtId="0" fontId="13" fillId="8" borderId="4" xfId="0" applyFont="1" applyFill="1" applyBorder="1" applyAlignment="1" applyProtection="1">
      <alignment horizontal="left"/>
      <protection locked="0"/>
    </xf>
    <xf numFmtId="0" fontId="13" fillId="8" borderId="5" xfId="0" applyFont="1" applyFill="1" applyBorder="1" applyAlignment="1" applyProtection="1">
      <alignment horizontal="center"/>
      <protection locked="0"/>
    </xf>
    <xf numFmtId="0" fontId="13" fillId="8" borderId="6" xfId="0" applyFont="1" applyFill="1" applyBorder="1" applyAlignment="1" applyProtection="1">
      <alignment horizontal="center"/>
      <protection locked="0"/>
    </xf>
    <xf numFmtId="0" fontId="13" fillId="9" borderId="4" xfId="0" applyFont="1" applyFill="1" applyBorder="1" applyProtection="1">
      <protection locked="0"/>
    </xf>
    <xf numFmtId="0" fontId="13" fillId="9" borderId="5" xfId="0" applyFont="1" applyFill="1" applyBorder="1" applyAlignment="1" applyProtection="1">
      <alignment horizontal="center" vertical="center"/>
      <protection locked="0"/>
    </xf>
    <xf numFmtId="0" fontId="13" fillId="9" borderId="6" xfId="0" applyFont="1" applyFill="1" applyBorder="1" applyAlignment="1" applyProtection="1">
      <alignment horizontal="center" vertical="center"/>
      <protection locked="0"/>
    </xf>
    <xf numFmtId="0" fontId="13" fillId="10" borderId="7" xfId="0" applyFont="1" applyFill="1" applyBorder="1" applyAlignment="1" applyProtection="1">
      <alignment horizontal="left"/>
      <protection locked="0"/>
    </xf>
    <xf numFmtId="0" fontId="13" fillId="10" borderId="8" xfId="0" applyFont="1" applyFill="1" applyBorder="1" applyAlignment="1" applyProtection="1">
      <alignment horizontal="center"/>
      <protection locked="0"/>
    </xf>
    <xf numFmtId="0" fontId="13" fillId="10" borderId="9" xfId="0" applyFont="1" applyFill="1" applyBorder="1" applyAlignment="1" applyProtection="1">
      <alignment horizontal="center"/>
      <protection locked="0"/>
    </xf>
    <xf numFmtId="0" fontId="7" fillId="7" borderId="0" xfId="2" applyFont="1" applyFill="1" applyProtection="1">
      <protection locked="0"/>
    </xf>
    <xf numFmtId="0" fontId="0" fillId="7" borderId="0" xfId="0" applyFill="1" applyProtection="1">
      <protection locked="0"/>
    </xf>
    <xf numFmtId="0" fontId="0" fillId="7" borderId="0" xfId="0" applyFill="1" applyAlignment="1" applyProtection="1">
      <alignment horizontal="center"/>
      <protection locked="0"/>
    </xf>
    <xf numFmtId="0" fontId="15" fillId="7" borderId="0" xfId="0" applyFont="1" applyFill="1" applyAlignment="1" applyProtection="1">
      <alignment horizontal="left" vertical="center"/>
      <protection locked="0"/>
    </xf>
    <xf numFmtId="0" fontId="15" fillId="7" borderId="0" xfId="0" applyFont="1" applyFill="1" applyAlignment="1" applyProtection="1">
      <alignment horizontal="center" vertical="center"/>
      <protection locked="0"/>
    </xf>
    <xf numFmtId="0" fontId="15" fillId="7" borderId="0" xfId="0" applyFont="1" applyFill="1" applyAlignment="1" applyProtection="1">
      <alignment vertical="center"/>
      <protection locked="0"/>
    </xf>
    <xf numFmtId="0" fontId="11" fillId="11" borderId="4" xfId="0" applyFont="1" applyFill="1" applyBorder="1" applyProtection="1">
      <protection locked="0"/>
    </xf>
    <xf numFmtId="0" fontId="16" fillId="11" borderId="10" xfId="0" applyFont="1" applyFill="1" applyBorder="1"/>
    <xf numFmtId="2" fontId="16" fillId="7" borderId="11" xfId="0" applyNumberFormat="1" applyFont="1" applyFill="1" applyBorder="1"/>
    <xf numFmtId="0" fontId="11" fillId="12" borderId="4" xfId="0" applyFont="1" applyFill="1" applyBorder="1"/>
    <xf numFmtId="0" fontId="11" fillId="12" borderId="10" xfId="0" applyFont="1" applyFill="1" applyBorder="1"/>
    <xf numFmtId="2" fontId="16" fillId="7" borderId="12" xfId="0" applyNumberFormat="1" applyFont="1" applyFill="1" applyBorder="1"/>
    <xf numFmtId="0" fontId="17" fillId="13" borderId="7" xfId="0" applyFont="1" applyFill="1" applyBorder="1"/>
    <xf numFmtId="0" fontId="11" fillId="14" borderId="13" xfId="0" applyFont="1" applyFill="1" applyBorder="1"/>
    <xf numFmtId="2" fontId="18" fillId="7" borderId="14" xfId="0" applyNumberFormat="1" applyFont="1" applyFill="1" applyBorder="1"/>
    <xf numFmtId="0" fontId="11" fillId="0" borderId="15" xfId="0" applyFont="1" applyBorder="1"/>
    <xf numFmtId="0" fontId="11" fillId="0" borderId="16" xfId="0" applyFont="1" applyBorder="1"/>
    <xf numFmtId="0" fontId="19" fillId="7" borderId="0" xfId="0" applyFont="1" applyFill="1" applyProtection="1">
      <protection locked="0"/>
    </xf>
    <xf numFmtId="0" fontId="7" fillId="7" borderId="0" xfId="0" applyFont="1" applyFill="1" applyAlignment="1" applyProtection="1">
      <alignment horizontal="left"/>
      <protection locked="0"/>
    </xf>
    <xf numFmtId="0" fontId="20" fillId="7" borderId="0" xfId="0" applyFont="1" applyFill="1" applyAlignment="1" applyProtection="1">
      <alignment horizontal="left"/>
      <protection locked="0"/>
    </xf>
    <xf numFmtId="0" fontId="7" fillId="7" borderId="0" xfId="0" applyFont="1" applyFill="1" applyAlignment="1" applyProtection="1">
      <alignment horizontal="left" vertical="center"/>
      <protection locked="0"/>
    </xf>
    <xf numFmtId="0" fontId="21" fillId="7" borderId="0" xfId="0" applyFont="1" applyFill="1" applyAlignment="1" applyProtection="1">
      <alignment horizontal="center" vertical="center"/>
      <protection locked="0"/>
    </xf>
    <xf numFmtId="0" fontId="22" fillId="7" borderId="0" xfId="0" applyFont="1" applyFill="1" applyAlignment="1" applyProtection="1">
      <alignment horizontal="left" vertical="center"/>
      <protection locked="0"/>
    </xf>
    <xf numFmtId="0" fontId="22" fillId="7" borderId="0" xfId="0" applyFont="1" applyFill="1" applyAlignment="1" applyProtection="1">
      <alignment horizontal="center" vertical="center"/>
      <protection locked="0"/>
    </xf>
    <xf numFmtId="0" fontId="11" fillId="15" borderId="17" xfId="0" applyFont="1" applyFill="1" applyBorder="1" applyProtection="1">
      <protection locked="0"/>
    </xf>
    <xf numFmtId="0" fontId="11" fillId="15" borderId="18" xfId="0" applyFont="1" applyFill="1" applyBorder="1"/>
    <xf numFmtId="0" fontId="11" fillId="16" borderId="17" xfId="0" applyFont="1" applyFill="1" applyBorder="1"/>
    <xf numFmtId="0" fontId="11" fillId="16" borderId="18" xfId="0" applyFont="1" applyFill="1" applyBorder="1"/>
    <xf numFmtId="2" fontId="16" fillId="7" borderId="19" xfId="0" applyNumberFormat="1" applyFont="1" applyFill="1" applyBorder="1"/>
    <xf numFmtId="0" fontId="17" fillId="17" borderId="7" xfId="0" applyFont="1" applyFill="1" applyBorder="1"/>
    <xf numFmtId="0" fontId="11" fillId="17" borderId="20" xfId="0" applyFont="1" applyFill="1" applyBorder="1"/>
    <xf numFmtId="2" fontId="16" fillId="7" borderId="21" xfId="0" applyNumberFormat="1" applyFont="1" applyFill="1" applyBorder="1"/>
    <xf numFmtId="0" fontId="0" fillId="0" borderId="4" xfId="0" applyBorder="1"/>
    <xf numFmtId="0" fontId="14" fillId="0" borderId="4" xfId="2" applyFill="1" applyBorder="1" applyProtection="1"/>
    <xf numFmtId="0" fontId="14" fillId="0" borderId="16" xfId="2" applyFill="1" applyBorder="1" applyProtection="1"/>
    <xf numFmtId="0" fontId="23" fillId="18" borderId="22" xfId="0" applyFont="1" applyFill="1" applyBorder="1" applyAlignment="1" applyProtection="1">
      <alignment horizontal="left" vertical="center"/>
      <protection locked="0"/>
    </xf>
    <xf numFmtId="0" fontId="15" fillId="18" borderId="23" xfId="0" applyFont="1" applyFill="1" applyBorder="1" applyAlignment="1" applyProtection="1">
      <alignment horizontal="left" vertical="center" wrapText="1"/>
      <protection locked="0"/>
    </xf>
    <xf numFmtId="0" fontId="10" fillId="7" borderId="0" xfId="0" applyFont="1" applyFill="1" applyAlignment="1" applyProtection="1">
      <alignment vertical="center"/>
      <protection locked="0"/>
    </xf>
    <xf numFmtId="0" fontId="24" fillId="19" borderId="24" xfId="0" applyFont="1" applyFill="1" applyBorder="1" applyProtection="1">
      <protection locked="0"/>
    </xf>
    <xf numFmtId="0" fontId="24" fillId="19" borderId="20" xfId="0" applyFont="1" applyFill="1" applyBorder="1"/>
    <xf numFmtId="0" fontId="11" fillId="20" borderId="17" xfId="0" applyFont="1" applyFill="1" applyBorder="1"/>
    <xf numFmtId="0" fontId="11" fillId="20" borderId="18" xfId="0" applyFont="1" applyFill="1" applyBorder="1"/>
    <xf numFmtId="0" fontId="13" fillId="10" borderId="4" xfId="0" applyFont="1" applyFill="1" applyBorder="1" applyAlignment="1">
      <alignment horizontal="left"/>
    </xf>
    <xf numFmtId="0" fontId="13" fillId="10" borderId="5" xfId="0" applyFont="1" applyFill="1" applyBorder="1" applyAlignment="1">
      <alignment horizontal="left"/>
    </xf>
    <xf numFmtId="0" fontId="13" fillId="10" borderId="6" xfId="0" applyFont="1" applyFill="1" applyBorder="1" applyAlignment="1">
      <alignment horizontal="center"/>
    </xf>
    <xf numFmtId="0" fontId="13" fillId="10" borderId="4" xfId="0" applyFont="1" applyFill="1" applyBorder="1" applyAlignment="1">
      <alignment horizontal="center"/>
    </xf>
    <xf numFmtId="0" fontId="13" fillId="10" borderId="6" xfId="0" applyFont="1" applyFill="1" applyBorder="1" applyAlignment="1" applyProtection="1">
      <alignment horizontal="center"/>
      <protection locked="0"/>
    </xf>
    <xf numFmtId="0" fontId="0" fillId="0" borderId="17" xfId="0" applyBorder="1"/>
    <xf numFmtId="0" fontId="14" fillId="0" borderId="17" xfId="2" applyFill="1" applyBorder="1" applyProtection="1"/>
    <xf numFmtId="0" fontId="14" fillId="0" borderId="25" xfId="2" applyFill="1" applyBorder="1" applyProtection="1"/>
    <xf numFmtId="0" fontId="23" fillId="18" borderId="26" xfId="0" applyFont="1" applyFill="1" applyBorder="1" applyAlignment="1" applyProtection="1">
      <alignment horizontal="left"/>
      <protection locked="0"/>
    </xf>
    <xf numFmtId="0" fontId="15" fillId="18" borderId="27" xfId="0" applyFont="1" applyFill="1" applyBorder="1" applyAlignment="1" applyProtection="1">
      <alignment horizontal="left" vertical="center" wrapText="1"/>
      <protection locked="0"/>
    </xf>
    <xf numFmtId="0" fontId="21" fillId="7" borderId="0" xfId="2" applyFont="1" applyFill="1" applyBorder="1" applyAlignment="1" applyProtection="1">
      <alignment horizontal="center" vertical="center"/>
      <protection locked="0"/>
    </xf>
    <xf numFmtId="0" fontId="13" fillId="21" borderId="4" xfId="0" applyFont="1" applyFill="1" applyBorder="1" applyAlignment="1" applyProtection="1">
      <alignment horizontal="left"/>
      <protection locked="0"/>
    </xf>
    <xf numFmtId="0" fontId="13" fillId="21" borderId="5" xfId="0" applyFont="1" applyFill="1" applyBorder="1" applyAlignment="1" applyProtection="1">
      <alignment horizontal="center"/>
      <protection locked="0"/>
    </xf>
    <xf numFmtId="0" fontId="13" fillId="21" borderId="6" xfId="0" applyFont="1" applyFill="1" applyBorder="1" applyAlignment="1" applyProtection="1">
      <alignment horizontal="center"/>
      <protection locked="0"/>
    </xf>
    <xf numFmtId="0" fontId="11" fillId="22" borderId="17" xfId="0" applyFont="1" applyFill="1" applyBorder="1"/>
    <xf numFmtId="0" fontId="11" fillId="22" borderId="18" xfId="0" applyFont="1" applyFill="1" applyBorder="1"/>
    <xf numFmtId="0" fontId="11" fillId="7" borderId="28" xfId="0" applyFont="1" applyFill="1" applyBorder="1" applyProtection="1">
      <protection locked="0"/>
    </xf>
    <xf numFmtId="0" fontId="25" fillId="23" borderId="29" xfId="0" applyFont="1" applyFill="1" applyBorder="1" applyAlignment="1">
      <alignment horizontal="left" vertical="center"/>
    </xf>
    <xf numFmtId="0" fontId="26" fillId="7" borderId="30" xfId="0" applyFont="1" applyFill="1" applyBorder="1" applyAlignment="1">
      <alignment horizontal="left" vertical="top" wrapText="1"/>
    </xf>
    <xf numFmtId="0" fontId="10" fillId="7" borderId="31" xfId="0" applyFont="1" applyFill="1" applyBorder="1" applyAlignment="1">
      <alignment horizontal="center" vertical="center"/>
    </xf>
    <xf numFmtId="2" fontId="27" fillId="7" borderId="32" xfId="0" applyNumberFormat="1" applyFont="1" applyFill="1" applyBorder="1" applyAlignment="1">
      <alignment horizontal="center" vertical="center"/>
    </xf>
    <xf numFmtId="0" fontId="10" fillId="7" borderId="30" xfId="0" applyFont="1" applyFill="1" applyBorder="1" applyAlignment="1" applyProtection="1">
      <alignment horizontal="center" vertical="center"/>
      <protection locked="0"/>
    </xf>
    <xf numFmtId="2" fontId="27" fillId="7" borderId="31" xfId="0" applyNumberFormat="1" applyFont="1" applyFill="1" applyBorder="1" applyAlignment="1">
      <alignment horizontal="center" vertical="center"/>
    </xf>
    <xf numFmtId="0" fontId="27" fillId="24" borderId="32" xfId="0" applyFont="1" applyFill="1" applyBorder="1" applyAlignment="1" applyProtection="1">
      <alignment horizontal="left" vertical="center"/>
      <protection locked="0"/>
    </xf>
    <xf numFmtId="0" fontId="11" fillId="7" borderId="33" xfId="2" applyFont="1" applyFill="1" applyBorder="1" applyProtection="1">
      <protection locked="0"/>
    </xf>
    <xf numFmtId="0" fontId="28" fillId="7" borderId="0" xfId="0" applyFont="1" applyFill="1" applyProtection="1">
      <protection locked="0"/>
    </xf>
    <xf numFmtId="0" fontId="29" fillId="18" borderId="26" xfId="0" applyFont="1" applyFill="1" applyBorder="1" applyAlignment="1" applyProtection="1">
      <alignment horizontal="left"/>
      <protection locked="0"/>
    </xf>
    <xf numFmtId="0" fontId="8" fillId="7" borderId="0" xfId="0" applyFont="1" applyFill="1" applyAlignment="1" applyProtection="1">
      <alignment horizontal="center"/>
      <protection locked="0"/>
    </xf>
    <xf numFmtId="0" fontId="11" fillId="7" borderId="0" xfId="0" applyFont="1" applyFill="1" applyAlignment="1" applyProtection="1">
      <alignment horizontal="left" vertical="center"/>
      <protection locked="0"/>
    </xf>
    <xf numFmtId="0" fontId="11" fillId="7" borderId="0" xfId="0" applyFont="1" applyFill="1" applyAlignment="1" applyProtection="1">
      <alignment horizontal="left"/>
      <protection locked="0"/>
    </xf>
    <xf numFmtId="0" fontId="11" fillId="7" borderId="0" xfId="0" applyFont="1" applyFill="1" applyAlignment="1" applyProtection="1">
      <alignment horizontal="center" vertical="center"/>
      <protection locked="0"/>
    </xf>
    <xf numFmtId="0" fontId="11" fillId="25" borderId="4" xfId="0" applyFont="1" applyFill="1" applyBorder="1" applyProtection="1">
      <protection locked="0"/>
    </xf>
    <xf numFmtId="0" fontId="11" fillId="25" borderId="10" xfId="0" applyFont="1" applyFill="1" applyBorder="1"/>
    <xf numFmtId="2" fontId="16" fillId="7" borderId="34" xfId="0" applyNumberFormat="1" applyFont="1" applyFill="1" applyBorder="1"/>
    <xf numFmtId="0" fontId="11" fillId="26" borderId="17" xfId="0" applyFont="1" applyFill="1" applyBorder="1"/>
    <xf numFmtId="0" fontId="11" fillId="26" borderId="18" xfId="0" applyFont="1" applyFill="1" applyBorder="1"/>
    <xf numFmtId="0" fontId="11" fillId="7" borderId="35" xfId="0" applyFont="1" applyFill="1" applyBorder="1" applyProtection="1">
      <protection locked="0"/>
    </xf>
    <xf numFmtId="0" fontId="25" fillId="27" borderId="36" xfId="0" applyFont="1" applyFill="1" applyBorder="1" applyAlignment="1">
      <alignment horizontal="left" vertical="center"/>
    </xf>
    <xf numFmtId="0" fontId="26" fillId="7" borderId="37" xfId="0" applyFont="1" applyFill="1" applyBorder="1" applyAlignment="1">
      <alignment horizontal="left" vertical="top" wrapText="1"/>
    </xf>
    <xf numFmtId="0" fontId="10" fillId="7" borderId="38" xfId="0" applyFont="1" applyFill="1" applyBorder="1" applyAlignment="1">
      <alignment horizontal="center" vertical="center"/>
    </xf>
    <xf numFmtId="2" fontId="27" fillId="7" borderId="39" xfId="0" applyNumberFormat="1" applyFont="1" applyFill="1" applyBorder="1" applyAlignment="1">
      <alignment horizontal="center" vertical="center"/>
    </xf>
    <xf numFmtId="0" fontId="10" fillId="7" borderId="37" xfId="0" applyFont="1" applyFill="1" applyBorder="1" applyAlignment="1" applyProtection="1">
      <alignment horizontal="center" vertical="center"/>
      <protection locked="0"/>
    </xf>
    <xf numFmtId="2" fontId="27" fillId="7" borderId="38" xfId="0" applyNumberFormat="1" applyFont="1" applyFill="1" applyBorder="1" applyAlignment="1">
      <alignment horizontal="center" vertical="center"/>
    </xf>
    <xf numFmtId="0" fontId="27" fillId="28" borderId="39" xfId="0" applyFont="1" applyFill="1" applyBorder="1" applyAlignment="1" applyProtection="1">
      <alignment horizontal="left" vertical="center"/>
      <protection locked="0"/>
    </xf>
    <xf numFmtId="0" fontId="11" fillId="7" borderId="40" xfId="0" applyFont="1" applyFill="1" applyBorder="1" applyProtection="1">
      <protection locked="0"/>
    </xf>
    <xf numFmtId="0" fontId="15" fillId="29" borderId="7" xfId="0" applyFont="1" applyFill="1" applyBorder="1" applyAlignment="1" applyProtection="1">
      <alignment horizontal="center" vertical="center"/>
      <protection locked="0"/>
    </xf>
    <xf numFmtId="0" fontId="30" fillId="30" borderId="8" xfId="0" applyFont="1" applyFill="1" applyBorder="1" applyAlignment="1" applyProtection="1">
      <alignment horizontal="center" vertical="center"/>
      <protection locked="0"/>
    </xf>
    <xf numFmtId="0" fontId="31" fillId="31" borderId="8" xfId="0" applyFont="1" applyFill="1" applyBorder="1" applyAlignment="1" applyProtection="1">
      <alignment horizontal="center" vertical="center"/>
      <protection locked="0"/>
    </xf>
    <xf numFmtId="0" fontId="25" fillId="32" borderId="8" xfId="0" applyFont="1" applyFill="1" applyBorder="1" applyAlignment="1" applyProtection="1">
      <alignment horizontal="center" vertical="center"/>
      <protection locked="0"/>
    </xf>
    <xf numFmtId="0" fontId="32" fillId="33" borderId="8" xfId="0" applyFont="1" applyFill="1" applyBorder="1" applyAlignment="1" applyProtection="1">
      <alignment horizontal="center" vertical="center"/>
      <protection locked="0"/>
    </xf>
    <xf numFmtId="0" fontId="33" fillId="34" borderId="9" xfId="0" applyFont="1" applyFill="1" applyBorder="1" applyAlignment="1" applyProtection="1">
      <alignment horizontal="center" vertical="center"/>
      <protection locked="0"/>
    </xf>
    <xf numFmtId="0" fontId="9" fillId="7" borderId="0" xfId="0" applyFont="1" applyFill="1" applyAlignment="1" applyProtection="1">
      <alignment horizontal="left" vertical="center"/>
      <protection locked="0"/>
    </xf>
    <xf numFmtId="0" fontId="9" fillId="7" borderId="0" xfId="0" applyFont="1" applyFill="1" applyAlignment="1" applyProtection="1">
      <alignment horizontal="left"/>
      <protection locked="0"/>
    </xf>
    <xf numFmtId="0" fontId="9" fillId="7" borderId="0" xfId="0" applyFont="1" applyFill="1" applyAlignment="1" applyProtection="1">
      <alignment horizontal="center" vertical="center"/>
      <protection locked="0"/>
    </xf>
    <xf numFmtId="0" fontId="10" fillId="7" borderId="0" xfId="0" applyFont="1" applyFill="1" applyAlignment="1" applyProtection="1">
      <alignment horizontal="right" vertical="center"/>
      <protection locked="0"/>
    </xf>
    <xf numFmtId="0" fontId="11" fillId="35" borderId="17" xfId="0" applyFont="1" applyFill="1" applyBorder="1" applyProtection="1">
      <protection locked="0"/>
    </xf>
    <xf numFmtId="0" fontId="11" fillId="35" borderId="18" xfId="0" applyFont="1" applyFill="1" applyBorder="1"/>
    <xf numFmtId="2" fontId="16" fillId="7" borderId="41" xfId="0" applyNumberFormat="1" applyFont="1" applyFill="1" applyBorder="1"/>
    <xf numFmtId="0" fontId="11" fillId="36" borderId="24" xfId="0" applyFont="1" applyFill="1" applyBorder="1"/>
    <xf numFmtId="0" fontId="11" fillId="36" borderId="20" xfId="0" applyFont="1" applyFill="1" applyBorder="1"/>
    <xf numFmtId="0" fontId="25" fillId="37" borderId="36" xfId="0" applyFont="1" applyFill="1" applyBorder="1" applyAlignment="1">
      <alignment horizontal="left" vertical="center"/>
    </xf>
    <xf numFmtId="0" fontId="27" fillId="38" borderId="39" xfId="0" applyFont="1" applyFill="1" applyBorder="1" applyAlignment="1" applyProtection="1">
      <alignment horizontal="left" vertical="center"/>
      <protection locked="0"/>
    </xf>
    <xf numFmtId="0" fontId="11" fillId="7" borderId="40" xfId="2" applyFont="1" applyFill="1" applyBorder="1" applyProtection="1">
      <protection locked="0"/>
    </xf>
    <xf numFmtId="0" fontId="34" fillId="39" borderId="7" xfId="2" applyFont="1" applyFill="1" applyBorder="1" applyAlignment="1" applyProtection="1">
      <alignment horizontal="center" vertical="center"/>
      <protection locked="0"/>
    </xf>
    <xf numFmtId="0" fontId="7" fillId="34" borderId="8" xfId="2" applyFont="1" applyFill="1" applyBorder="1" applyAlignment="1" applyProtection="1">
      <alignment horizontal="center" vertical="center"/>
      <protection locked="0"/>
    </xf>
    <xf numFmtId="0" fontId="7" fillId="40" borderId="8" xfId="2" applyFont="1" applyFill="1" applyBorder="1" applyAlignment="1" applyProtection="1">
      <alignment horizontal="center" vertical="center"/>
      <protection locked="0"/>
    </xf>
    <xf numFmtId="0" fontId="10" fillId="41" borderId="8" xfId="0" applyFont="1" applyFill="1" applyBorder="1" applyAlignment="1" applyProtection="1">
      <alignment horizontal="center" vertical="center"/>
      <protection locked="0"/>
    </xf>
    <xf numFmtId="0" fontId="30" fillId="30" borderId="9" xfId="0" applyFont="1" applyFill="1" applyBorder="1" applyAlignment="1" applyProtection="1">
      <alignment horizontal="center" vertical="center"/>
      <protection locked="0"/>
    </xf>
    <xf numFmtId="0" fontId="11" fillId="42" borderId="17" xfId="0" applyFont="1" applyFill="1" applyBorder="1" applyProtection="1">
      <protection locked="0"/>
    </xf>
    <xf numFmtId="0" fontId="11" fillId="42" borderId="18" xfId="0" applyFont="1" applyFill="1" applyBorder="1"/>
    <xf numFmtId="0" fontId="35" fillId="7" borderId="0" xfId="0" applyFont="1" applyFill="1" applyProtection="1">
      <protection locked="0"/>
    </xf>
    <xf numFmtId="0" fontId="25" fillId="43" borderId="36" xfId="0" applyFont="1" applyFill="1" applyBorder="1" applyAlignment="1">
      <alignment horizontal="left" vertical="center"/>
    </xf>
    <xf numFmtId="0" fontId="10" fillId="7" borderId="37" xfId="0" applyFont="1" applyFill="1" applyBorder="1" applyAlignment="1">
      <alignment horizontal="center" vertical="center"/>
    </xf>
    <xf numFmtId="0" fontId="27" fillId="44" borderId="39" xfId="0" applyFont="1" applyFill="1" applyBorder="1" applyAlignment="1">
      <alignment horizontal="center" vertical="center"/>
    </xf>
    <xf numFmtId="0" fontId="7" fillId="45" borderId="24" xfId="3" applyFont="1" applyFill="1" applyBorder="1" applyAlignment="1" applyProtection="1">
      <alignment horizontal="left" vertical="center"/>
      <protection locked="0"/>
    </xf>
    <xf numFmtId="0" fontId="38" fillId="46" borderId="42" xfId="1" applyFont="1" applyFill="1" applyBorder="1" applyAlignment="1" applyProtection="1">
      <alignment horizontal="center" vertical="center"/>
      <protection locked="0"/>
    </xf>
    <xf numFmtId="0" fontId="7" fillId="45" borderId="24" xfId="5" applyFont="1" applyFill="1" applyBorder="1" applyAlignment="1" applyProtection="1">
      <alignment horizontal="left" vertical="center"/>
      <protection locked="0"/>
    </xf>
    <xf numFmtId="0" fontId="39" fillId="18" borderId="27" xfId="0" applyFont="1" applyFill="1" applyBorder="1" applyAlignment="1" applyProtection="1">
      <alignment horizontal="left" vertical="center" wrapText="1"/>
      <protection locked="0"/>
    </xf>
    <xf numFmtId="0" fontId="40" fillId="47" borderId="24" xfId="0" applyFont="1" applyFill="1" applyBorder="1" applyProtection="1">
      <protection locked="0"/>
    </xf>
    <xf numFmtId="0" fontId="41" fillId="47" borderId="20" xfId="0" applyFont="1" applyFill="1" applyBorder="1"/>
    <xf numFmtId="0" fontId="42" fillId="7" borderId="0" xfId="0" applyFont="1" applyFill="1" applyProtection="1">
      <protection locked="0"/>
    </xf>
    <xf numFmtId="0" fontId="13" fillId="48" borderId="7" xfId="0" applyFont="1" applyFill="1" applyBorder="1" applyProtection="1">
      <protection locked="0"/>
    </xf>
    <xf numFmtId="0" fontId="13" fillId="48" borderId="8" xfId="0" applyFont="1" applyFill="1" applyBorder="1" applyAlignment="1" applyProtection="1">
      <alignment horizontal="center" vertical="center"/>
      <protection locked="0"/>
    </xf>
    <xf numFmtId="0" fontId="13" fillId="48" borderId="9" xfId="0" applyFont="1" applyFill="1" applyBorder="1" applyAlignment="1" applyProtection="1">
      <alignment horizontal="center" vertical="center"/>
      <protection locked="0"/>
    </xf>
    <xf numFmtId="0" fontId="25" fillId="49" borderId="36" xfId="0" applyFont="1" applyFill="1" applyBorder="1" applyAlignment="1">
      <alignment horizontal="left" vertical="center"/>
    </xf>
    <xf numFmtId="0" fontId="27" fillId="50" borderId="39" xfId="0" applyFont="1" applyFill="1" applyBorder="1" applyAlignment="1">
      <alignment horizontal="center" vertical="center"/>
    </xf>
    <xf numFmtId="0" fontId="10" fillId="45" borderId="7" xfId="0" applyFont="1" applyFill="1" applyBorder="1" applyAlignment="1" applyProtection="1">
      <alignment horizontal="left" vertical="center"/>
      <protection locked="0"/>
    </xf>
    <xf numFmtId="0" fontId="10" fillId="45" borderId="8" xfId="0" applyFont="1" applyFill="1" applyBorder="1" applyAlignment="1" applyProtection="1">
      <alignment horizontal="left" vertical="center"/>
      <protection locked="0"/>
    </xf>
    <xf numFmtId="0" fontId="27" fillId="46" borderId="8" xfId="0" applyFont="1" applyFill="1" applyBorder="1" applyAlignment="1" applyProtection="1">
      <alignment horizontal="center" vertical="center"/>
      <protection locked="0"/>
    </xf>
    <xf numFmtId="0" fontId="27" fillId="46" borderId="9" xfId="0" applyFont="1" applyFill="1" applyBorder="1" applyAlignment="1" applyProtection="1">
      <alignment horizontal="center" vertical="center"/>
      <protection locked="0"/>
    </xf>
    <xf numFmtId="0" fontId="43" fillId="7" borderId="0" xfId="0" applyFont="1" applyFill="1" applyAlignment="1" applyProtection="1">
      <alignment horizontal="right" vertical="center"/>
      <protection locked="0"/>
    </xf>
    <xf numFmtId="0" fontId="44" fillId="51" borderId="43" xfId="0" applyFont="1" applyFill="1" applyBorder="1" applyAlignment="1" applyProtection="1">
      <alignment horizontal="left" vertical="center" wrapText="1"/>
      <protection locked="0"/>
    </xf>
    <xf numFmtId="0" fontId="13" fillId="52" borderId="4" xfId="0" applyFont="1" applyFill="1" applyBorder="1" applyAlignment="1" applyProtection="1">
      <alignment horizontal="left"/>
      <protection locked="0"/>
    </xf>
    <xf numFmtId="0" fontId="13" fillId="52" borderId="5" xfId="0" applyFont="1" applyFill="1" applyBorder="1" applyAlignment="1" applyProtection="1">
      <alignment horizontal="center"/>
      <protection locked="0"/>
    </xf>
    <xf numFmtId="0" fontId="13" fillId="52" borderId="6" xfId="0" applyFont="1" applyFill="1" applyBorder="1" applyAlignment="1" applyProtection="1">
      <alignment horizontal="center"/>
      <protection locked="0"/>
    </xf>
    <xf numFmtId="0" fontId="11" fillId="53" borderId="4" xfId="0" applyFont="1" applyFill="1" applyBorder="1"/>
    <xf numFmtId="0" fontId="11" fillId="53" borderId="10" xfId="0" applyFont="1" applyFill="1" applyBorder="1"/>
    <xf numFmtId="2" fontId="16" fillId="7" borderId="44" xfId="0" applyNumberFormat="1" applyFont="1" applyFill="1" applyBorder="1"/>
    <xf numFmtId="0" fontId="25" fillId="54" borderId="36" xfId="0" applyFont="1" applyFill="1" applyBorder="1" applyAlignment="1">
      <alignment horizontal="left" vertical="center"/>
    </xf>
    <xf numFmtId="0" fontId="27" fillId="55" borderId="39" xfId="0" applyFont="1" applyFill="1" applyBorder="1" applyAlignment="1">
      <alignment horizontal="center" vertical="center"/>
    </xf>
    <xf numFmtId="0" fontId="11" fillId="56" borderId="4" xfId="0" quotePrefix="1" applyFont="1" applyFill="1" applyBorder="1" applyProtection="1">
      <protection locked="0"/>
    </xf>
    <xf numFmtId="0" fontId="17" fillId="56" borderId="10" xfId="0" quotePrefix="1" applyFont="1" applyFill="1" applyBorder="1"/>
    <xf numFmtId="2" fontId="18" fillId="7" borderId="45" xfId="0" applyNumberFormat="1" applyFont="1" applyFill="1" applyBorder="1"/>
    <xf numFmtId="0" fontId="11" fillId="57" borderId="17" xfId="0" applyFont="1" applyFill="1" applyBorder="1"/>
    <xf numFmtId="0" fontId="11" fillId="57" borderId="18" xfId="0" applyFont="1" applyFill="1" applyBorder="1"/>
    <xf numFmtId="0" fontId="25" fillId="58" borderId="36" xfId="0" applyFont="1" applyFill="1" applyBorder="1" applyAlignment="1">
      <alignment horizontal="left" vertical="center"/>
    </xf>
    <xf numFmtId="0" fontId="27" fillId="59" borderId="39" xfId="0" applyFont="1" applyFill="1" applyBorder="1" applyAlignment="1">
      <alignment horizontal="center" vertical="center"/>
    </xf>
    <xf numFmtId="0" fontId="29" fillId="18" borderId="46" xfId="0" applyFont="1" applyFill="1" applyBorder="1" applyAlignment="1" applyProtection="1">
      <alignment horizontal="left"/>
      <protection locked="0"/>
    </xf>
    <xf numFmtId="0" fontId="39" fillId="18" borderId="47" xfId="0" applyFont="1" applyFill="1" applyBorder="1" applyAlignment="1" applyProtection="1">
      <alignment horizontal="left" vertical="center" wrapText="1"/>
      <protection locked="0"/>
    </xf>
    <xf numFmtId="0" fontId="11" fillId="51" borderId="43" xfId="0" applyFont="1" applyFill="1" applyBorder="1" applyAlignment="1" applyProtection="1">
      <alignment horizontal="left"/>
      <protection locked="0"/>
    </xf>
    <xf numFmtId="0" fontId="11" fillId="60" borderId="17" xfId="0" quotePrefix="1" applyFont="1" applyFill="1" applyBorder="1" applyProtection="1">
      <protection locked="0"/>
    </xf>
    <xf numFmtId="0" fontId="17" fillId="60" borderId="18" xfId="0" quotePrefix="1" applyFont="1" applyFill="1" applyBorder="1"/>
    <xf numFmtId="2" fontId="18" fillId="7" borderId="48" xfId="0" applyNumberFormat="1" applyFont="1" applyFill="1" applyBorder="1"/>
    <xf numFmtId="0" fontId="11" fillId="61" borderId="17" xfId="0" applyFont="1" applyFill="1" applyBorder="1"/>
    <xf numFmtId="0" fontId="11" fillId="61" borderId="18" xfId="0" applyFont="1" applyFill="1" applyBorder="1"/>
    <xf numFmtId="0" fontId="25" fillId="62" borderId="36" xfId="0" applyFont="1" applyFill="1" applyBorder="1" applyAlignment="1">
      <alignment horizontal="left" vertical="center"/>
    </xf>
    <xf numFmtId="0" fontId="27" fillId="63" borderId="39" xfId="0" applyFont="1" applyFill="1" applyBorder="1" applyAlignment="1">
      <alignment horizontal="center" vertical="center"/>
    </xf>
    <xf numFmtId="0" fontId="29" fillId="7" borderId="0" xfId="0" applyFont="1" applyFill="1" applyAlignment="1" applyProtection="1">
      <alignment horizontal="left"/>
      <protection locked="0"/>
    </xf>
    <xf numFmtId="0" fontId="44" fillId="7" borderId="0" xfId="0" applyFont="1" applyFill="1" applyAlignment="1" applyProtection="1">
      <alignment horizontal="left" vertical="center" wrapText="1"/>
      <protection locked="0"/>
    </xf>
    <xf numFmtId="0" fontId="11" fillId="64" borderId="17" xfId="0" quotePrefix="1" applyFont="1" applyFill="1" applyBorder="1" applyProtection="1">
      <protection locked="0"/>
    </xf>
    <xf numFmtId="0" fontId="17" fillId="64" borderId="18" xfId="0" quotePrefix="1" applyFont="1" applyFill="1" applyBorder="1"/>
    <xf numFmtId="0" fontId="11" fillId="65" borderId="17" xfId="0" applyFont="1" applyFill="1" applyBorder="1"/>
    <xf numFmtId="0" fontId="11" fillId="65" borderId="18" xfId="0" applyFont="1" applyFill="1" applyBorder="1"/>
    <xf numFmtId="0" fontId="25" fillId="66" borderId="36" xfId="0" applyFont="1" applyFill="1" applyBorder="1" applyAlignment="1">
      <alignment horizontal="left" vertical="center"/>
    </xf>
    <xf numFmtId="0" fontId="27" fillId="67" borderId="39" xfId="0" applyFont="1" applyFill="1" applyBorder="1" applyAlignment="1">
      <alignment horizontal="center" vertical="center"/>
    </xf>
    <xf numFmtId="0" fontId="45" fillId="7" borderId="0" xfId="0" applyFont="1" applyFill="1" applyAlignment="1" applyProtection="1">
      <alignment horizontal="right"/>
      <protection locked="0"/>
    </xf>
    <xf numFmtId="0" fontId="46" fillId="51" borderId="49" xfId="0" applyFont="1" applyFill="1" applyBorder="1" applyAlignment="1" applyProtection="1">
      <alignment vertical="center"/>
      <protection locked="0"/>
    </xf>
    <xf numFmtId="0" fontId="47" fillId="45" borderId="50" xfId="1" applyFont="1" applyFill="1" applyBorder="1" applyAlignment="1" applyProtection="1">
      <alignment horizontal="left"/>
      <protection locked="0"/>
    </xf>
    <xf numFmtId="0" fontId="49" fillId="46" borderId="51" xfId="4" applyFont="1" applyFill="1" applyBorder="1" applyAlignment="1" applyProtection="1">
      <alignment horizontal="left" vertical="center" wrapText="1"/>
      <protection locked="0"/>
    </xf>
    <xf numFmtId="0" fontId="11" fillId="68" borderId="17" xfId="0" quotePrefix="1" applyFont="1" applyFill="1" applyBorder="1" applyProtection="1">
      <protection locked="0"/>
    </xf>
    <xf numFmtId="0" fontId="17" fillId="68" borderId="18" xfId="0" quotePrefix="1" applyFont="1" applyFill="1" applyBorder="1"/>
    <xf numFmtId="0" fontId="11" fillId="69" borderId="17" xfId="0" applyFont="1" applyFill="1" applyBorder="1"/>
    <xf numFmtId="0" fontId="11" fillId="69" borderId="18" xfId="0" applyFont="1" applyFill="1" applyBorder="1"/>
    <xf numFmtId="0" fontId="25" fillId="70" borderId="36" xfId="0" applyFont="1" applyFill="1" applyBorder="1" applyAlignment="1">
      <alignment horizontal="left" vertical="center"/>
    </xf>
    <xf numFmtId="0" fontId="46" fillId="51" borderId="52" xfId="0" applyFont="1" applyFill="1" applyBorder="1" applyAlignment="1" applyProtection="1">
      <alignment vertical="center"/>
      <protection locked="0"/>
    </xf>
    <xf numFmtId="0" fontId="47" fillId="45" borderId="53" xfId="1" applyFont="1" applyFill="1" applyBorder="1" applyAlignment="1" applyProtection="1">
      <alignment horizontal="left"/>
      <protection locked="0"/>
    </xf>
    <xf numFmtId="0" fontId="49" fillId="46" borderId="54" xfId="4" applyFont="1" applyFill="1" applyBorder="1" applyAlignment="1" applyProtection="1">
      <alignment horizontal="left" vertical="center" wrapText="1"/>
      <protection locked="0"/>
    </xf>
    <xf numFmtId="0" fontId="10" fillId="7" borderId="0" xfId="1" applyFont="1" applyFill="1" applyBorder="1" applyAlignment="1" applyProtection="1">
      <alignment horizontal="left" vertical="center"/>
      <protection locked="0"/>
    </xf>
    <xf numFmtId="0" fontId="50" fillId="71" borderId="17" xfId="0" quotePrefix="1" applyFont="1" applyFill="1" applyBorder="1"/>
    <xf numFmtId="0" fontId="50" fillId="71" borderId="18" xfId="0" quotePrefix="1" applyFont="1" applyFill="1" applyBorder="1"/>
    <xf numFmtId="0" fontId="11" fillId="72" borderId="17" xfId="0" applyFont="1" applyFill="1" applyBorder="1"/>
    <xf numFmtId="0" fontId="11" fillId="72" borderId="18" xfId="0" applyFont="1" applyFill="1" applyBorder="1"/>
    <xf numFmtId="0" fontId="25" fillId="19" borderId="36" xfId="0" applyFont="1" applyFill="1" applyBorder="1" applyAlignment="1">
      <alignment horizontal="left" vertical="center"/>
    </xf>
    <xf numFmtId="0" fontId="27" fillId="73" borderId="39" xfId="0" applyFont="1" applyFill="1" applyBorder="1" applyAlignment="1">
      <alignment horizontal="center" vertical="center"/>
    </xf>
    <xf numFmtId="0" fontId="49" fillId="46" borderId="54" xfId="4" applyFont="1" applyFill="1" applyBorder="1" applyAlignment="1" applyProtection="1">
      <alignment horizontal="left" vertical="center" wrapText="1"/>
    </xf>
    <xf numFmtId="0" fontId="11" fillId="7" borderId="0" xfId="0" applyFont="1" applyFill="1" applyAlignment="1" applyProtection="1">
      <alignment horizontal="center"/>
      <protection locked="0"/>
    </xf>
    <xf numFmtId="0" fontId="51" fillId="74" borderId="17" xfId="0" quotePrefix="1" applyFont="1" applyFill="1" applyBorder="1"/>
    <xf numFmtId="0" fontId="51" fillId="74" borderId="18" xfId="0" quotePrefix="1" applyFont="1" applyFill="1" applyBorder="1"/>
    <xf numFmtId="0" fontId="11" fillId="75" borderId="17" xfId="0" applyFont="1" applyFill="1" applyBorder="1"/>
    <xf numFmtId="0" fontId="11" fillId="75" borderId="18" xfId="0" applyFont="1" applyFill="1" applyBorder="1"/>
    <xf numFmtId="0" fontId="11" fillId="7" borderId="55" xfId="0" applyFont="1" applyFill="1" applyBorder="1" applyProtection="1">
      <protection locked="0"/>
    </xf>
    <xf numFmtId="0" fontId="25" fillId="76" borderId="56" xfId="0" applyFont="1" applyFill="1" applyBorder="1" applyAlignment="1">
      <alignment horizontal="left" vertical="center"/>
    </xf>
    <xf numFmtId="0" fontId="26" fillId="7" borderId="57" xfId="0" applyFont="1" applyFill="1" applyBorder="1" applyAlignment="1">
      <alignment horizontal="left" vertical="top" wrapText="1"/>
    </xf>
    <xf numFmtId="0" fontId="10" fillId="7" borderId="58" xfId="0" applyFont="1" applyFill="1" applyBorder="1" applyAlignment="1">
      <alignment horizontal="center" vertical="center"/>
    </xf>
    <xf numFmtId="2" fontId="27" fillId="7" borderId="59" xfId="0" applyNumberFormat="1" applyFont="1" applyFill="1" applyBorder="1" applyAlignment="1">
      <alignment horizontal="center" vertical="center"/>
    </xf>
    <xf numFmtId="0" fontId="10" fillId="7" borderId="57" xfId="0" applyFont="1" applyFill="1" applyBorder="1" applyAlignment="1">
      <alignment horizontal="center" vertical="center"/>
    </xf>
    <xf numFmtId="2" fontId="27" fillId="7" borderId="58" xfId="0" applyNumberFormat="1" applyFont="1" applyFill="1" applyBorder="1" applyAlignment="1">
      <alignment horizontal="center" vertical="center"/>
    </xf>
    <xf numFmtId="0" fontId="27" fillId="77" borderId="59" xfId="0" applyFont="1" applyFill="1" applyBorder="1" applyAlignment="1">
      <alignment horizontal="center" vertical="center"/>
    </xf>
    <xf numFmtId="0" fontId="11" fillId="7" borderId="60" xfId="2" applyFont="1" applyFill="1" applyBorder="1" applyProtection="1">
      <protection locked="0"/>
    </xf>
    <xf numFmtId="0" fontId="47" fillId="45" borderId="61" xfId="1" applyFont="1" applyFill="1" applyBorder="1" applyAlignment="1" applyProtection="1">
      <alignment horizontal="left"/>
      <protection locked="0"/>
    </xf>
    <xf numFmtId="0" fontId="49" fillId="46" borderId="62" xfId="4" applyFont="1" applyFill="1" applyBorder="1" applyAlignment="1" applyProtection="1">
      <alignment horizontal="left" vertical="center" wrapText="1"/>
      <protection locked="0"/>
    </xf>
    <xf numFmtId="0" fontId="51" fillId="78" borderId="24" xfId="0" quotePrefix="1" applyFont="1" applyFill="1" applyBorder="1"/>
    <xf numFmtId="0" fontId="51" fillId="78" borderId="20" xfId="0" quotePrefix="1" applyFont="1" applyFill="1" applyBorder="1"/>
    <xf numFmtId="2" fontId="18" fillId="7" borderId="21" xfId="0" applyNumberFormat="1" applyFont="1" applyFill="1" applyBorder="1"/>
    <xf numFmtId="0" fontId="24" fillId="79" borderId="24" xfId="0" applyFont="1" applyFill="1" applyBorder="1"/>
    <xf numFmtId="0" fontId="24" fillId="79" borderId="20" xfId="0" applyFont="1" applyFill="1" applyBorder="1"/>
    <xf numFmtId="2" fontId="16" fillId="7" borderId="63" xfId="0" applyNumberFormat="1" applyFont="1" applyFill="1" applyBorder="1"/>
    <xf numFmtId="0" fontId="10" fillId="80" borderId="7" xfId="0" applyFont="1" applyFill="1" applyBorder="1" applyAlignment="1">
      <alignment horizontal="left" vertical="center"/>
    </xf>
    <xf numFmtId="0" fontId="10" fillId="80" borderId="9" xfId="0" applyFont="1" applyFill="1" applyBorder="1" applyAlignment="1">
      <alignment horizontal="left" vertical="center"/>
    </xf>
    <xf numFmtId="0" fontId="10" fillId="7" borderId="64" xfId="0" applyFont="1" applyFill="1" applyBorder="1" applyAlignment="1">
      <alignment horizontal="center" vertical="center"/>
    </xf>
    <xf numFmtId="0" fontId="27" fillId="7" borderId="64" xfId="0" applyFont="1" applyFill="1" applyBorder="1" applyAlignment="1">
      <alignment horizontal="center" vertical="center"/>
    </xf>
    <xf numFmtId="0" fontId="0" fillId="7" borderId="0" xfId="0" applyFill="1"/>
    <xf numFmtId="0" fontId="14" fillId="7" borderId="0" xfId="2" applyFill="1" applyProtection="1">
      <protection locked="0"/>
    </xf>
    <xf numFmtId="0" fontId="11" fillId="7" borderId="64" xfId="2" applyFont="1" applyFill="1" applyBorder="1" applyProtection="1"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7" borderId="0" xfId="0" applyFont="1" applyFill="1"/>
    <xf numFmtId="0" fontId="7" fillId="7" borderId="0" xfId="0" applyFont="1" applyFill="1" applyAlignment="1" applyProtection="1">
      <alignment horizontal="center"/>
      <protection locked="0"/>
    </xf>
    <xf numFmtId="0" fontId="16" fillId="7" borderId="0" xfId="0" applyFont="1" applyFill="1" applyAlignment="1" applyProtection="1">
      <alignment horizontal="center" vertical="center"/>
      <protection locked="0"/>
    </xf>
    <xf numFmtId="0" fontId="27" fillId="0" borderId="15" xfId="0" applyFont="1" applyBorder="1" applyAlignment="1" applyProtection="1">
      <alignment horizontal="left"/>
      <protection locked="0"/>
    </xf>
    <xf numFmtId="0" fontId="27" fillId="0" borderId="9" xfId="0" applyFont="1" applyBorder="1" applyAlignment="1" applyProtection="1">
      <alignment horizontal="center" vertical="center"/>
      <protection locked="0"/>
    </xf>
    <xf numFmtId="0" fontId="27" fillId="0" borderId="8" xfId="0" applyFont="1" applyBorder="1" applyAlignment="1" applyProtection="1">
      <alignment horizontal="left" vertical="center"/>
      <protection locked="0"/>
    </xf>
    <xf numFmtId="0" fontId="27" fillId="0" borderId="7" xfId="0" applyFont="1" applyBorder="1" applyAlignment="1" applyProtection="1">
      <alignment horizontal="left"/>
      <protection locked="0"/>
    </xf>
    <xf numFmtId="0" fontId="27" fillId="0" borderId="7" xfId="0" applyFont="1" applyBorder="1" applyAlignment="1" applyProtection="1">
      <alignment horizontal="left" vertical="center"/>
      <protection locked="0"/>
    </xf>
    <xf numFmtId="0" fontId="27" fillId="0" borderId="15" xfId="0" applyFont="1" applyBorder="1" applyAlignment="1" applyProtection="1">
      <alignment horizontal="left" vertical="center"/>
      <protection locked="0"/>
    </xf>
    <xf numFmtId="0" fontId="27" fillId="0" borderId="15" xfId="0" applyFont="1" applyBorder="1" applyAlignment="1" applyProtection="1">
      <alignment vertical="center"/>
      <protection locked="0"/>
    </xf>
    <xf numFmtId="0" fontId="27" fillId="0" borderId="7" xfId="0" applyFont="1" applyBorder="1" applyAlignment="1" applyProtection="1">
      <alignment vertical="center"/>
      <protection locked="0"/>
    </xf>
    <xf numFmtId="0" fontId="16" fillId="0" borderId="15" xfId="0" applyFont="1" applyBorder="1" applyProtection="1">
      <protection locked="0"/>
    </xf>
    <xf numFmtId="0" fontId="16" fillId="0" borderId="0" xfId="0" applyFont="1" applyProtection="1">
      <protection locked="0"/>
    </xf>
    <xf numFmtId="0" fontId="11" fillId="0" borderId="0" xfId="0" applyFont="1" applyProtection="1">
      <protection locked="0"/>
    </xf>
    <xf numFmtId="0" fontId="12" fillId="0" borderId="0" xfId="0" applyFont="1" applyProtection="1">
      <protection locked="0"/>
    </xf>
    <xf numFmtId="0" fontId="0" fillId="0" borderId="25" xfId="0" applyBorder="1" applyAlignment="1" applyProtection="1">
      <alignment horizontal="left"/>
      <protection locked="0"/>
    </xf>
    <xf numFmtId="0" fontId="7" fillId="0" borderId="65" xfId="0" applyFont="1" applyBorder="1" applyAlignment="1" applyProtection="1">
      <alignment horizontal="center" vertical="center"/>
      <protection locked="0"/>
    </xf>
    <xf numFmtId="0" fontId="7" fillId="0" borderId="17" xfId="0" applyFont="1" applyBorder="1" applyAlignment="1" applyProtection="1">
      <alignment horizontal="left" vertical="center"/>
      <protection locked="0"/>
    </xf>
    <xf numFmtId="0" fontId="9" fillId="0" borderId="17" xfId="0" applyFont="1" applyBorder="1" applyAlignment="1" applyProtection="1">
      <alignment horizontal="center"/>
      <protection locked="0"/>
    </xf>
    <xf numFmtId="0" fontId="10" fillId="0" borderId="25" xfId="0" quotePrefix="1" applyFont="1" applyBorder="1" applyAlignment="1" applyProtection="1">
      <alignment horizontal="left" vertical="center"/>
      <protection locked="0"/>
    </xf>
    <xf numFmtId="0" fontId="10" fillId="0" borderId="0" xfId="0" applyFont="1" applyAlignment="1" applyProtection="1">
      <alignment horizontal="center" vertical="center"/>
      <protection locked="0"/>
    </xf>
    <xf numFmtId="0" fontId="10" fillId="0" borderId="25" xfId="0" applyFont="1" applyBorder="1" applyAlignment="1" applyProtection="1">
      <alignment horizontal="left" vertical="top"/>
      <protection locked="0"/>
    </xf>
    <xf numFmtId="0" fontId="11" fillId="0" borderId="17" xfId="0" applyFont="1" applyBorder="1" applyProtection="1">
      <protection locked="0"/>
    </xf>
    <xf numFmtId="2" fontId="11" fillId="0" borderId="25" xfId="0" applyNumberFormat="1" applyFont="1" applyBorder="1" applyProtection="1">
      <protection locked="0"/>
    </xf>
    <xf numFmtId="0" fontId="52" fillId="81" borderId="0" xfId="0" applyFont="1" applyFill="1" applyProtection="1">
      <protection locked="0"/>
    </xf>
    <xf numFmtId="0" fontId="8" fillId="0" borderId="0" xfId="0" applyFont="1" applyProtection="1">
      <protection locked="0"/>
    </xf>
    <xf numFmtId="0" fontId="35" fillId="0" borderId="0" xfId="0" applyFont="1" applyProtection="1">
      <protection locked="0"/>
    </xf>
    <xf numFmtId="0" fontId="15" fillId="0" borderId="0" xfId="0" applyFont="1" applyProtection="1">
      <protection locked="0"/>
    </xf>
    <xf numFmtId="0" fontId="53" fillId="0" borderId="0" xfId="0" applyFont="1" applyAlignment="1">
      <alignment horizontal="left"/>
    </xf>
    <xf numFmtId="0" fontId="52" fillId="0" borderId="0" xfId="0" applyFont="1" applyProtection="1">
      <protection locked="0"/>
    </xf>
    <xf numFmtId="0" fontId="54" fillId="0" borderId="0" xfId="0" applyFont="1" applyProtection="1">
      <protection locked="0"/>
    </xf>
    <xf numFmtId="0" fontId="53" fillId="0" borderId="0" xfId="0" applyFont="1" applyProtection="1">
      <protection locked="0"/>
    </xf>
    <xf numFmtId="0" fontId="55" fillId="0" borderId="0" xfId="0" applyFont="1"/>
    <xf numFmtId="0" fontId="11" fillId="0" borderId="0" xfId="0" applyFont="1" applyAlignment="1">
      <alignment horizontal="left"/>
    </xf>
    <xf numFmtId="0" fontId="14" fillId="0" borderId="17" xfId="2" applyFill="1" applyBorder="1"/>
    <xf numFmtId="0" fontId="14" fillId="0" borderId="25" xfId="2" applyFill="1" applyBorder="1"/>
    <xf numFmtId="0" fontId="0" fillId="0" borderId="24" xfId="0" applyBorder="1"/>
    <xf numFmtId="0" fontId="14" fillId="0" borderId="24" xfId="2" applyFill="1" applyBorder="1"/>
    <xf numFmtId="0" fontId="14" fillId="0" borderId="64" xfId="2" applyFill="1" applyBorder="1"/>
    <xf numFmtId="0" fontId="14" fillId="0" borderId="7" xfId="2" applyFill="1" applyBorder="1"/>
    <xf numFmtId="0" fontId="14" fillId="0" borderId="15" xfId="2" applyFill="1" applyBorder="1"/>
    <xf numFmtId="0" fontId="14" fillId="0" borderId="9" xfId="2" applyFill="1" applyBorder="1"/>
    <xf numFmtId="0" fontId="14" fillId="0" borderId="8" xfId="2" applyFill="1" applyBorder="1"/>
    <xf numFmtId="0" fontId="10" fillId="0" borderId="25" xfId="0" applyFont="1" applyBorder="1" applyAlignment="1" applyProtection="1">
      <alignment horizontal="left" vertical="center"/>
      <protection locked="0"/>
    </xf>
    <xf numFmtId="0" fontId="7" fillId="0" borderId="25" xfId="0" applyFont="1" applyBorder="1" applyAlignment="1" applyProtection="1">
      <alignment horizontal="left"/>
      <protection locked="0"/>
    </xf>
    <xf numFmtId="0" fontId="7" fillId="0" borderId="65" xfId="0" applyFont="1" applyBorder="1" applyAlignment="1" applyProtection="1">
      <alignment horizontal="center"/>
      <protection locked="0"/>
    </xf>
    <xf numFmtId="0" fontId="9" fillId="0" borderId="17" xfId="0" applyFont="1" applyBorder="1" applyAlignment="1" applyProtection="1">
      <alignment horizontal="center" vertical="center"/>
      <protection locked="0"/>
    </xf>
    <xf numFmtId="0" fontId="7" fillId="0" borderId="25" xfId="0" applyFont="1" applyBorder="1" applyAlignment="1" applyProtection="1">
      <alignment horizontal="left" vertical="center"/>
      <protection locked="0"/>
    </xf>
    <xf numFmtId="0" fontId="10" fillId="0" borderId="17" xfId="0" quotePrefix="1" applyFont="1" applyBorder="1" applyAlignment="1" applyProtection="1">
      <alignment horizontal="left" vertical="center"/>
      <protection locked="0"/>
    </xf>
    <xf numFmtId="0" fontId="10" fillId="0" borderId="17" xfId="0" applyFont="1" applyBorder="1" applyAlignment="1" applyProtection="1">
      <alignment horizontal="left" vertical="center"/>
      <protection locked="0"/>
    </xf>
    <xf numFmtId="0" fontId="10" fillId="0" borderId="25" xfId="0" applyFont="1" applyBorder="1" applyAlignment="1" applyProtection="1">
      <alignment vertical="center"/>
      <protection locked="0"/>
    </xf>
    <xf numFmtId="0" fontId="12" fillId="0" borderId="25" xfId="0" applyFont="1" applyBorder="1" applyProtection="1">
      <protection locked="0"/>
    </xf>
    <xf numFmtId="0" fontId="7" fillId="0" borderId="17" xfId="0" applyFont="1" applyBorder="1" applyAlignment="1" applyProtection="1">
      <alignment horizontal="left"/>
      <protection locked="0"/>
    </xf>
    <xf numFmtId="0" fontId="10" fillId="0" borderId="17" xfId="0" applyFont="1" applyBorder="1" applyAlignment="1" applyProtection="1">
      <alignment horizontal="center" vertical="center"/>
      <protection locked="0"/>
    </xf>
    <xf numFmtId="0" fontId="7" fillId="0" borderId="17" xfId="0" applyFont="1" applyBorder="1" applyAlignment="1" applyProtection="1">
      <alignment horizontal="center" vertical="center"/>
      <protection locked="0"/>
    </xf>
  </cellXfs>
  <cellStyles count="6">
    <cellStyle name="Bad" xfId="1" builtinId="27"/>
    <cellStyle name="Input" xfId="3" builtinId="20"/>
    <cellStyle name="Neutral" xfId="2" builtinId="28"/>
    <cellStyle name="Normal" xfId="0" builtinId="0"/>
    <cellStyle name="Note" xfId="5" builtinId="10"/>
    <cellStyle name="Output" xfId="4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139700</xdr:colOff>
          <xdr:row>0</xdr:row>
          <xdr:rowOff>165100</xdr:rowOff>
        </xdr:from>
        <xdr:to>
          <xdr:col>5</xdr:col>
          <xdr:colOff>558800</xdr:colOff>
          <xdr:row>4</xdr:row>
          <xdr:rowOff>127000</xdr:rowOff>
        </xdr:to>
        <xdr:sp macro="" textlink="">
          <xdr:nvSpPr>
            <xdr:cNvPr id="1025" name="Button_Analys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D671099F-55AC-E546-8FC0-4F4CBFA1BF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Analyse</a:t>
              </a:r>
              <a:endParaRPr lang="en-GB" sz="14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(Current worksheet)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635000</xdr:colOff>
          <xdr:row>0</xdr:row>
          <xdr:rowOff>165100</xdr:rowOff>
        </xdr:from>
        <xdr:to>
          <xdr:col>7</xdr:col>
          <xdr:colOff>457200</xdr:colOff>
          <xdr:row>4</xdr:row>
          <xdr:rowOff>127000</xdr:rowOff>
        </xdr:to>
        <xdr:sp macro="" textlink="">
          <xdr:nvSpPr>
            <xdr:cNvPr id="1026" name="Button_HouseKeeping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1A61577-AC2B-B141-B86F-96969693F3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Housekeeping!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508000</xdr:colOff>
          <xdr:row>0</xdr:row>
          <xdr:rowOff>165100</xdr:rowOff>
        </xdr:from>
        <xdr:to>
          <xdr:col>11</xdr:col>
          <xdr:colOff>279400</xdr:colOff>
          <xdr:row>4</xdr:row>
          <xdr:rowOff>127000</xdr:rowOff>
        </xdr:to>
        <xdr:sp macro="" textlink="">
          <xdr:nvSpPr>
            <xdr:cNvPr id="1027" name="Button_Select_Top10_Variant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ED975FCA-B56D-3F41-9A3C-752B0C17EB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Select alignment</a:t>
              </a:r>
              <a:r>
                <a:rPr lang="en-GB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(Top 10 variants)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508000</xdr:colOff>
          <xdr:row>5</xdr:row>
          <xdr:rowOff>0</xdr:rowOff>
        </xdr:from>
        <xdr:to>
          <xdr:col>11</xdr:col>
          <xdr:colOff>279400</xdr:colOff>
          <xdr:row>8</xdr:row>
          <xdr:rowOff>152400</xdr:rowOff>
        </xdr:to>
        <xdr:sp macro="" textlink="">
          <xdr:nvSpPr>
            <xdr:cNvPr id="1028" name="Button_Select_All_Variant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44C4FA85-300C-1F44-99AF-4795F34D39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Select alignment </a:t>
              </a:r>
              <a:endParaRPr lang="en-GB" sz="14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(All variants)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520700</xdr:colOff>
          <xdr:row>5</xdr:row>
          <xdr:rowOff>0</xdr:rowOff>
        </xdr:from>
        <xdr:to>
          <xdr:col>9</xdr:col>
          <xdr:colOff>444500</xdr:colOff>
          <xdr:row>8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A6BFF109-66CF-DA4B-AAF1-88E28F579B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Default settings</a:t>
              </a:r>
              <a:endParaRPr lang="en-GB" sz="14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(Excel's defaults settings)</a:t>
              </a:r>
            </a:p>
          </xdr:txBody>
        </xdr:sp>
        <xdr:clientData fPrintsWithSheet="0"/>
      </xdr:twoCellAnchor>
    </mc:Choice>
    <mc:Fallback/>
  </mc:AlternateContent>
  <xdr:twoCellAnchor>
    <xdr:from>
      <xdr:col>29</xdr:col>
      <xdr:colOff>171450</xdr:colOff>
      <xdr:row>4</xdr:row>
      <xdr:rowOff>171450</xdr:rowOff>
    </xdr:from>
    <xdr:to>
      <xdr:col>30</xdr:col>
      <xdr:colOff>489450</xdr:colOff>
      <xdr:row>6</xdr:row>
      <xdr:rowOff>42450</xdr:rowOff>
    </xdr:to>
    <xdr:sp macro="" textlink="">
      <xdr:nvSpPr>
        <xdr:cNvPr id="2" name="Shape1">
          <a:extLst>
            <a:ext uri="{FF2B5EF4-FFF2-40B4-BE49-F238E27FC236}">
              <a16:creationId xmlns:a16="http://schemas.microsoft.com/office/drawing/2014/main" id="{95341989-6A49-224B-80A7-1D7E34A270DD}"/>
            </a:ext>
          </a:extLst>
        </xdr:cNvPr>
        <xdr:cNvSpPr/>
      </xdr:nvSpPr>
      <xdr:spPr>
        <a:xfrm>
          <a:off x="24403050" y="933450"/>
          <a:ext cx="1410200" cy="252000"/>
        </a:xfrm>
        <a:prstGeom prst="plaque">
          <a:avLst>
            <a:gd name="adj" fmla="val 45000"/>
          </a:avLst>
        </a:prstGeom>
        <a:solidFill>
          <a:schemeClr val="bg2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>
              <a:solidFill>
                <a:sysClr val="windowText" lastClr="000000"/>
              </a:solidFill>
            </a:rPr>
            <a:t>Shape 1</a:t>
          </a:r>
        </a:p>
      </xdr:txBody>
    </xdr:sp>
    <xdr:clientData/>
  </xdr:twoCellAnchor>
  <xdr:twoCellAnchor>
    <xdr:from>
      <xdr:col>29</xdr:col>
      <xdr:colOff>171450</xdr:colOff>
      <xdr:row>7</xdr:row>
      <xdr:rowOff>18220</xdr:rowOff>
    </xdr:from>
    <xdr:to>
      <xdr:col>30</xdr:col>
      <xdr:colOff>489450</xdr:colOff>
      <xdr:row>8</xdr:row>
      <xdr:rowOff>79720</xdr:rowOff>
    </xdr:to>
    <xdr:sp macro="" textlink="">
      <xdr:nvSpPr>
        <xdr:cNvPr id="3" name="Shape2">
          <a:extLst>
            <a:ext uri="{FF2B5EF4-FFF2-40B4-BE49-F238E27FC236}">
              <a16:creationId xmlns:a16="http://schemas.microsoft.com/office/drawing/2014/main" id="{DD1E7109-F58D-BF4D-8BEF-1E2EF4E18B88}"/>
            </a:ext>
          </a:extLst>
        </xdr:cNvPr>
        <xdr:cNvSpPr/>
      </xdr:nvSpPr>
      <xdr:spPr>
        <a:xfrm>
          <a:off x="24403050" y="1351720"/>
          <a:ext cx="1410200" cy="252000"/>
        </a:xfrm>
        <a:prstGeom prst="leftRightArrowCallout">
          <a:avLst>
            <a:gd name="adj1" fmla="val 17157"/>
            <a:gd name="adj2" fmla="val 36099"/>
            <a:gd name="adj3" fmla="val 62715"/>
            <a:gd name="adj4" fmla="val 61803"/>
          </a:avLst>
        </a:prstGeom>
        <a:solidFill>
          <a:schemeClr val="bg2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>
              <a:solidFill>
                <a:sysClr val="windowText" lastClr="000000"/>
              </a:solidFill>
            </a:rPr>
            <a:t>Shape</a:t>
          </a:r>
          <a:r>
            <a:rPr lang="sv-SE" sz="1100" baseline="0">
              <a:solidFill>
                <a:sysClr val="windowText" lastClr="000000"/>
              </a:solidFill>
            </a:rPr>
            <a:t> 2</a:t>
          </a:r>
          <a:endParaRPr lang="sv-S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29</xdr:col>
      <xdr:colOff>171450</xdr:colOff>
      <xdr:row>9</xdr:row>
      <xdr:rowOff>55490</xdr:rowOff>
    </xdr:from>
    <xdr:to>
      <xdr:col>30</xdr:col>
      <xdr:colOff>489450</xdr:colOff>
      <xdr:row>10</xdr:row>
      <xdr:rowOff>116990</xdr:rowOff>
    </xdr:to>
    <xdr:sp macro="" textlink="">
      <xdr:nvSpPr>
        <xdr:cNvPr id="4" name="Shape3">
          <a:extLst>
            <a:ext uri="{FF2B5EF4-FFF2-40B4-BE49-F238E27FC236}">
              <a16:creationId xmlns:a16="http://schemas.microsoft.com/office/drawing/2014/main" id="{D7CC3F2B-CC03-E54E-8922-418652FD45B0}"/>
            </a:ext>
          </a:extLst>
        </xdr:cNvPr>
        <xdr:cNvSpPr/>
      </xdr:nvSpPr>
      <xdr:spPr>
        <a:xfrm>
          <a:off x="24403050" y="1769990"/>
          <a:ext cx="1410200" cy="252000"/>
        </a:xfrm>
        <a:prstGeom prst="snip2DiagRect">
          <a:avLst>
            <a:gd name="adj1" fmla="val 0"/>
            <a:gd name="adj2" fmla="val 50000"/>
          </a:avLst>
        </a:prstGeom>
        <a:solidFill>
          <a:schemeClr val="bg2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>
              <a:solidFill>
                <a:sysClr val="windowText" lastClr="000000"/>
              </a:solidFill>
            </a:rPr>
            <a:t>Shape</a:t>
          </a:r>
          <a:r>
            <a:rPr lang="sv-SE" sz="1100" baseline="0">
              <a:solidFill>
                <a:sysClr val="windowText" lastClr="000000"/>
              </a:solidFill>
            </a:rPr>
            <a:t> 3</a:t>
          </a:r>
          <a:endParaRPr lang="sv-S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29</xdr:col>
      <xdr:colOff>171450</xdr:colOff>
      <xdr:row>11</xdr:row>
      <xdr:rowOff>92760</xdr:rowOff>
    </xdr:from>
    <xdr:to>
      <xdr:col>30</xdr:col>
      <xdr:colOff>489450</xdr:colOff>
      <xdr:row>12</xdr:row>
      <xdr:rowOff>154260</xdr:rowOff>
    </xdr:to>
    <xdr:sp macro="" textlink="">
      <xdr:nvSpPr>
        <xdr:cNvPr id="5" name="Shape4">
          <a:extLst>
            <a:ext uri="{FF2B5EF4-FFF2-40B4-BE49-F238E27FC236}">
              <a16:creationId xmlns:a16="http://schemas.microsoft.com/office/drawing/2014/main" id="{2E531990-7245-504F-A6A6-67D45320645B}"/>
            </a:ext>
          </a:extLst>
        </xdr:cNvPr>
        <xdr:cNvSpPr/>
      </xdr:nvSpPr>
      <xdr:spPr>
        <a:xfrm>
          <a:off x="24403050" y="2188260"/>
          <a:ext cx="1410200" cy="252000"/>
        </a:xfrm>
        <a:prstGeom prst="homePlate">
          <a:avLst/>
        </a:prstGeom>
        <a:solidFill>
          <a:schemeClr val="bg2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>
              <a:solidFill>
                <a:sysClr val="windowText" lastClr="000000"/>
              </a:solidFill>
            </a:rPr>
            <a:t>Shapa 4</a:t>
          </a:r>
        </a:p>
      </xdr:txBody>
    </xdr:sp>
    <xdr:clientData/>
  </xdr:twoCellAnchor>
  <xdr:twoCellAnchor>
    <xdr:from>
      <xdr:col>29</xdr:col>
      <xdr:colOff>171450</xdr:colOff>
      <xdr:row>13</xdr:row>
      <xdr:rowOff>130028</xdr:rowOff>
    </xdr:from>
    <xdr:to>
      <xdr:col>30</xdr:col>
      <xdr:colOff>489450</xdr:colOff>
      <xdr:row>15</xdr:row>
      <xdr:rowOff>1028</xdr:rowOff>
    </xdr:to>
    <xdr:sp macro="" textlink="">
      <xdr:nvSpPr>
        <xdr:cNvPr id="6" name="Shape5">
          <a:extLst>
            <a:ext uri="{FF2B5EF4-FFF2-40B4-BE49-F238E27FC236}">
              <a16:creationId xmlns:a16="http://schemas.microsoft.com/office/drawing/2014/main" id="{C4BD6CD1-8E80-7642-B285-289E37137FFA}"/>
            </a:ext>
          </a:extLst>
        </xdr:cNvPr>
        <xdr:cNvSpPr/>
      </xdr:nvSpPr>
      <xdr:spPr>
        <a:xfrm>
          <a:off x="24403050" y="2606528"/>
          <a:ext cx="1410200" cy="252000"/>
        </a:xfrm>
        <a:prstGeom prst="roundRect">
          <a:avLst>
            <a:gd name="adj" fmla="val 50000"/>
          </a:avLst>
        </a:prstGeom>
        <a:solidFill>
          <a:schemeClr val="bg2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>
              <a:solidFill>
                <a:sysClr val="windowText" lastClr="000000"/>
              </a:solidFill>
            </a:rPr>
            <a:t>Shape 5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520700</xdr:colOff>
          <xdr:row>0</xdr:row>
          <xdr:rowOff>165100</xdr:rowOff>
        </xdr:from>
        <xdr:to>
          <xdr:col>9</xdr:col>
          <xdr:colOff>444500</xdr:colOff>
          <xdr:row>4</xdr:row>
          <xdr:rowOff>127000</xdr:rowOff>
        </xdr:to>
        <xdr:sp macro="" textlink="">
          <xdr:nvSpPr>
            <xdr:cNvPr id="1030" name="Button_Needle_Case_Check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D28445B5-4DBB-5640-AF17-7F01F7ECE2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Needleman</a:t>
              </a:r>
              <a:r>
                <a:rPr lang="en-GB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Alignment Case 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139700</xdr:colOff>
          <xdr:row>5</xdr:row>
          <xdr:rowOff>25400</xdr:rowOff>
        </xdr:from>
        <xdr:to>
          <xdr:col>7</xdr:col>
          <xdr:colOff>457200</xdr:colOff>
          <xdr:row>8</xdr:row>
          <xdr:rowOff>152400</xdr:rowOff>
        </xdr:to>
        <xdr:sp macro="" textlink="">
          <xdr:nvSpPr>
            <xdr:cNvPr id="1031" name="Button_Batch_RunMe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217D1762-1212-A44A-9BF7-22246D52B2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Batch 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(Analyze samples listed in Experiment)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0</xdr:colOff>
      <xdr:row>22</xdr:row>
      <xdr:rowOff>0</xdr:rowOff>
    </xdr:from>
    <xdr:to>
      <xdr:col>25</xdr:col>
      <xdr:colOff>76200</xdr:colOff>
      <xdr:row>22</xdr:row>
      <xdr:rowOff>165100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CE5EC535-35BD-FF4F-97FD-511D2DC131F0}"/>
            </a:ext>
          </a:extLst>
        </xdr:cNvPr>
        <xdr:cNvSpPr/>
      </xdr:nvSpPr>
      <xdr:spPr>
        <a:xfrm>
          <a:off x="10185400" y="4191000"/>
          <a:ext cx="10261600" cy="165100"/>
        </a:xfrm>
        <a:prstGeom prst="rect">
          <a:avLst/>
        </a:prstGeom>
        <a:solidFill>
          <a:srgbClr val="BFBFBF"/>
        </a:solidFill>
        <a:ln>
          <a:solidFill>
            <a:srgbClr val="BFBFB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14</xdr:col>
      <xdr:colOff>457200</xdr:colOff>
      <xdr:row>22</xdr:row>
      <xdr:rowOff>0</xdr:rowOff>
    </xdr:from>
    <xdr:to>
      <xdr:col>16</xdr:col>
      <xdr:colOff>0</xdr:colOff>
      <xdr:row>22</xdr:row>
      <xdr:rowOff>165100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FCDD5F51-D154-F242-942A-AA1DACFB52CC}"/>
            </a:ext>
          </a:extLst>
        </xdr:cNvPr>
        <xdr:cNvSpPr/>
      </xdr:nvSpPr>
      <xdr:spPr>
        <a:xfrm>
          <a:off x="12522200" y="4191000"/>
          <a:ext cx="558800" cy="1651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14</xdr:col>
      <xdr:colOff>457200</xdr:colOff>
      <xdr:row>22</xdr:row>
      <xdr:rowOff>54483</xdr:rowOff>
    </xdr:from>
    <xdr:to>
      <xdr:col>16</xdr:col>
      <xdr:colOff>0</xdr:colOff>
      <xdr:row>22</xdr:row>
      <xdr:rowOff>108966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C0D98234-58C5-6548-B34C-0D6BECA45E2A}"/>
            </a:ext>
          </a:extLst>
        </xdr:cNvPr>
        <xdr:cNvSpPr/>
      </xdr:nvSpPr>
      <xdr:spPr>
        <a:xfrm>
          <a:off x="12522200" y="4245483"/>
          <a:ext cx="558800" cy="54483"/>
        </a:xfrm>
        <a:prstGeom prst="rect">
          <a:avLst/>
        </a:prstGeom>
        <a:solidFill>
          <a:srgbClr val="00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14</xdr:col>
      <xdr:colOff>457200</xdr:colOff>
      <xdr:row>22</xdr:row>
      <xdr:rowOff>1651</xdr:rowOff>
    </xdr:from>
    <xdr:to>
      <xdr:col>14</xdr:col>
      <xdr:colOff>660400</xdr:colOff>
      <xdr:row>22</xdr:row>
      <xdr:rowOff>56134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50F1F974-F873-5441-AABF-46913B3C6579}"/>
            </a:ext>
          </a:extLst>
        </xdr:cNvPr>
        <xdr:cNvSpPr/>
      </xdr:nvSpPr>
      <xdr:spPr>
        <a:xfrm>
          <a:off x="12522200" y="4192651"/>
          <a:ext cx="203200" cy="54483"/>
        </a:xfrm>
        <a:prstGeom prst="rect">
          <a:avLst/>
        </a:prstGeom>
        <a:solidFill>
          <a:srgbClr val="00FFFE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0</xdr:colOff>
      <xdr:row>22</xdr:row>
      <xdr:rowOff>1651</xdr:rowOff>
    </xdr:from>
    <xdr:to>
      <xdr:col>16</xdr:col>
      <xdr:colOff>203200</xdr:colOff>
      <xdr:row>22</xdr:row>
      <xdr:rowOff>56134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3CB288BA-C63B-E749-92CC-6581B731808C}"/>
            </a:ext>
          </a:extLst>
        </xdr:cNvPr>
        <xdr:cNvSpPr/>
      </xdr:nvSpPr>
      <xdr:spPr>
        <a:xfrm>
          <a:off x="13081000" y="4192651"/>
          <a:ext cx="203200" cy="54483"/>
        </a:xfrm>
        <a:prstGeom prst="rect">
          <a:avLst/>
        </a:prstGeom>
        <a:solidFill>
          <a:srgbClr val="00FFFE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0</xdr:colOff>
      <xdr:row>23</xdr:row>
      <xdr:rowOff>0</xdr:rowOff>
    </xdr:from>
    <xdr:to>
      <xdr:col>25</xdr:col>
      <xdr:colOff>76200</xdr:colOff>
      <xdr:row>23</xdr:row>
      <xdr:rowOff>165100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140AF5DE-7F36-8145-8B77-D79543E23217}"/>
            </a:ext>
          </a:extLst>
        </xdr:cNvPr>
        <xdr:cNvSpPr/>
      </xdr:nvSpPr>
      <xdr:spPr>
        <a:xfrm>
          <a:off x="10185400" y="4381500"/>
          <a:ext cx="10261600" cy="165100"/>
        </a:xfrm>
        <a:prstGeom prst="rect">
          <a:avLst/>
        </a:prstGeom>
        <a:solidFill>
          <a:srgbClr val="BFBFBF"/>
        </a:solidFill>
        <a:ln>
          <a:solidFill>
            <a:srgbClr val="BFBFB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15</xdr:col>
      <xdr:colOff>127000</xdr:colOff>
      <xdr:row>23</xdr:row>
      <xdr:rowOff>0</xdr:rowOff>
    </xdr:from>
    <xdr:to>
      <xdr:col>16</xdr:col>
      <xdr:colOff>406400</xdr:colOff>
      <xdr:row>23</xdr:row>
      <xdr:rowOff>165100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7FC956A3-5EDB-A443-A37C-D5F55499F3BA}"/>
            </a:ext>
          </a:extLst>
        </xdr:cNvPr>
        <xdr:cNvSpPr/>
      </xdr:nvSpPr>
      <xdr:spPr>
        <a:xfrm>
          <a:off x="12877800" y="4381500"/>
          <a:ext cx="609600" cy="1651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15</xdr:col>
      <xdr:colOff>127000</xdr:colOff>
      <xdr:row>23</xdr:row>
      <xdr:rowOff>54483</xdr:rowOff>
    </xdr:from>
    <xdr:to>
      <xdr:col>16</xdr:col>
      <xdr:colOff>406400</xdr:colOff>
      <xdr:row>23</xdr:row>
      <xdr:rowOff>108966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2079A3FE-515A-EC49-BB7B-54F2230FEF7D}"/>
            </a:ext>
          </a:extLst>
        </xdr:cNvPr>
        <xdr:cNvSpPr/>
      </xdr:nvSpPr>
      <xdr:spPr>
        <a:xfrm>
          <a:off x="12877800" y="4435983"/>
          <a:ext cx="609600" cy="54483"/>
        </a:xfrm>
        <a:prstGeom prst="rect">
          <a:avLst/>
        </a:prstGeom>
        <a:solidFill>
          <a:srgbClr val="00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15</xdr:col>
      <xdr:colOff>127000</xdr:colOff>
      <xdr:row>23</xdr:row>
      <xdr:rowOff>1651</xdr:rowOff>
    </xdr:from>
    <xdr:to>
      <xdr:col>16</xdr:col>
      <xdr:colOff>0</xdr:colOff>
      <xdr:row>23</xdr:row>
      <xdr:rowOff>56134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11A7D48D-24B2-5341-B546-43ACDC2B35A6}"/>
            </a:ext>
          </a:extLst>
        </xdr:cNvPr>
        <xdr:cNvSpPr/>
      </xdr:nvSpPr>
      <xdr:spPr>
        <a:xfrm>
          <a:off x="12877800" y="4383151"/>
          <a:ext cx="203200" cy="54483"/>
        </a:xfrm>
        <a:prstGeom prst="rect">
          <a:avLst/>
        </a:prstGeom>
        <a:solidFill>
          <a:srgbClr val="00FFFE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406400</xdr:colOff>
      <xdr:row>23</xdr:row>
      <xdr:rowOff>1651</xdr:rowOff>
    </xdr:from>
    <xdr:to>
      <xdr:col>16</xdr:col>
      <xdr:colOff>609600</xdr:colOff>
      <xdr:row>23</xdr:row>
      <xdr:rowOff>56134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6553C5FA-1652-484A-8693-3118ABF63F2A}"/>
            </a:ext>
          </a:extLst>
        </xdr:cNvPr>
        <xdr:cNvSpPr/>
      </xdr:nvSpPr>
      <xdr:spPr>
        <a:xfrm>
          <a:off x="13487400" y="4383151"/>
          <a:ext cx="203200" cy="54483"/>
        </a:xfrm>
        <a:prstGeom prst="rect">
          <a:avLst/>
        </a:prstGeom>
        <a:solidFill>
          <a:srgbClr val="00FFFE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0</xdr:colOff>
      <xdr:row>24</xdr:row>
      <xdr:rowOff>0</xdr:rowOff>
    </xdr:from>
    <xdr:to>
      <xdr:col>25</xdr:col>
      <xdr:colOff>76200</xdr:colOff>
      <xdr:row>24</xdr:row>
      <xdr:rowOff>165100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45078783-BA28-A444-90FA-0747FA35A66D}"/>
            </a:ext>
          </a:extLst>
        </xdr:cNvPr>
        <xdr:cNvSpPr/>
      </xdr:nvSpPr>
      <xdr:spPr>
        <a:xfrm>
          <a:off x="10185400" y="4572000"/>
          <a:ext cx="10261600" cy="165100"/>
        </a:xfrm>
        <a:prstGeom prst="rect">
          <a:avLst/>
        </a:prstGeom>
        <a:solidFill>
          <a:srgbClr val="BFBFBF"/>
        </a:solidFill>
        <a:ln>
          <a:solidFill>
            <a:srgbClr val="BFBFB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15</xdr:col>
      <xdr:colOff>76200</xdr:colOff>
      <xdr:row>24</xdr:row>
      <xdr:rowOff>0</xdr:rowOff>
    </xdr:from>
    <xdr:to>
      <xdr:col>16</xdr:col>
      <xdr:colOff>0</xdr:colOff>
      <xdr:row>24</xdr:row>
      <xdr:rowOff>165100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4ADFC3DB-122F-8841-BE5B-1E9A919EC2EB}"/>
            </a:ext>
          </a:extLst>
        </xdr:cNvPr>
        <xdr:cNvSpPr/>
      </xdr:nvSpPr>
      <xdr:spPr>
        <a:xfrm>
          <a:off x="12827000" y="4572000"/>
          <a:ext cx="254000" cy="1651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15</xdr:col>
      <xdr:colOff>76200</xdr:colOff>
      <xdr:row>24</xdr:row>
      <xdr:rowOff>54483</xdr:rowOff>
    </xdr:from>
    <xdr:to>
      <xdr:col>16</xdr:col>
      <xdr:colOff>0</xdr:colOff>
      <xdr:row>24</xdr:row>
      <xdr:rowOff>108966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A05EB341-03D3-5748-B34C-0D790A6A07F6}"/>
            </a:ext>
          </a:extLst>
        </xdr:cNvPr>
        <xdr:cNvSpPr/>
      </xdr:nvSpPr>
      <xdr:spPr>
        <a:xfrm>
          <a:off x="12827000" y="4626483"/>
          <a:ext cx="254000" cy="54483"/>
        </a:xfrm>
        <a:prstGeom prst="rect">
          <a:avLst/>
        </a:prstGeom>
        <a:solidFill>
          <a:srgbClr val="00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15</xdr:col>
      <xdr:colOff>76200</xdr:colOff>
      <xdr:row>24</xdr:row>
      <xdr:rowOff>1651</xdr:rowOff>
    </xdr:from>
    <xdr:to>
      <xdr:col>15</xdr:col>
      <xdr:colOff>177800</xdr:colOff>
      <xdr:row>24</xdr:row>
      <xdr:rowOff>56134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B11C1EC5-D995-654E-A0B2-DC3CF8010B51}"/>
            </a:ext>
          </a:extLst>
        </xdr:cNvPr>
        <xdr:cNvSpPr/>
      </xdr:nvSpPr>
      <xdr:spPr>
        <a:xfrm>
          <a:off x="12827000" y="4573651"/>
          <a:ext cx="101600" cy="54483"/>
        </a:xfrm>
        <a:prstGeom prst="rect">
          <a:avLst/>
        </a:prstGeom>
        <a:solidFill>
          <a:srgbClr val="00FFFE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0</xdr:colOff>
      <xdr:row>24</xdr:row>
      <xdr:rowOff>1651</xdr:rowOff>
    </xdr:from>
    <xdr:to>
      <xdr:col>16</xdr:col>
      <xdr:colOff>101600</xdr:colOff>
      <xdr:row>24</xdr:row>
      <xdr:rowOff>56134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253F44FD-1AB6-7049-86AC-B2844C7F29D2}"/>
            </a:ext>
          </a:extLst>
        </xdr:cNvPr>
        <xdr:cNvSpPr/>
      </xdr:nvSpPr>
      <xdr:spPr>
        <a:xfrm>
          <a:off x="13081000" y="4573651"/>
          <a:ext cx="101600" cy="54483"/>
        </a:xfrm>
        <a:prstGeom prst="rect">
          <a:avLst/>
        </a:prstGeom>
        <a:solidFill>
          <a:srgbClr val="00FFFE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0</xdr:colOff>
      <xdr:row>25</xdr:row>
      <xdr:rowOff>0</xdr:rowOff>
    </xdr:from>
    <xdr:to>
      <xdr:col>25</xdr:col>
      <xdr:colOff>76200</xdr:colOff>
      <xdr:row>25</xdr:row>
      <xdr:rowOff>165100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D4A0DB15-844A-BD4D-93A3-FB64D3337EBE}"/>
            </a:ext>
          </a:extLst>
        </xdr:cNvPr>
        <xdr:cNvSpPr/>
      </xdr:nvSpPr>
      <xdr:spPr>
        <a:xfrm>
          <a:off x="10185400" y="4762500"/>
          <a:ext cx="10261600" cy="165100"/>
        </a:xfrm>
        <a:prstGeom prst="rect">
          <a:avLst/>
        </a:prstGeom>
        <a:solidFill>
          <a:srgbClr val="BFBFBF"/>
        </a:solidFill>
        <a:ln>
          <a:solidFill>
            <a:srgbClr val="BFBFB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15</xdr:col>
      <xdr:colOff>25400</xdr:colOff>
      <xdr:row>25</xdr:row>
      <xdr:rowOff>0</xdr:rowOff>
    </xdr:from>
    <xdr:to>
      <xdr:col>16</xdr:col>
      <xdr:colOff>203200</xdr:colOff>
      <xdr:row>25</xdr:row>
      <xdr:rowOff>165100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7D23E0AA-3D77-2B43-A9C9-71969A968720}"/>
            </a:ext>
          </a:extLst>
        </xdr:cNvPr>
        <xdr:cNvSpPr/>
      </xdr:nvSpPr>
      <xdr:spPr>
        <a:xfrm>
          <a:off x="12776200" y="4762500"/>
          <a:ext cx="508000" cy="1651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15</xdr:col>
      <xdr:colOff>25400</xdr:colOff>
      <xdr:row>25</xdr:row>
      <xdr:rowOff>54483</xdr:rowOff>
    </xdr:from>
    <xdr:to>
      <xdr:col>16</xdr:col>
      <xdr:colOff>203200</xdr:colOff>
      <xdr:row>25</xdr:row>
      <xdr:rowOff>108966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125AA375-59FE-4C48-B9BB-3F9AEBE706BA}"/>
            </a:ext>
          </a:extLst>
        </xdr:cNvPr>
        <xdr:cNvSpPr/>
      </xdr:nvSpPr>
      <xdr:spPr>
        <a:xfrm>
          <a:off x="12776200" y="4816983"/>
          <a:ext cx="508000" cy="54483"/>
        </a:xfrm>
        <a:prstGeom prst="rect">
          <a:avLst/>
        </a:prstGeom>
        <a:solidFill>
          <a:srgbClr val="00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15</xdr:col>
      <xdr:colOff>25400</xdr:colOff>
      <xdr:row>25</xdr:row>
      <xdr:rowOff>1651</xdr:rowOff>
    </xdr:from>
    <xdr:to>
      <xdr:col>15</xdr:col>
      <xdr:colOff>127000</xdr:colOff>
      <xdr:row>25</xdr:row>
      <xdr:rowOff>56134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9A6B2D29-1CB0-C04A-83AD-710F656B4AC9}"/>
            </a:ext>
          </a:extLst>
        </xdr:cNvPr>
        <xdr:cNvSpPr/>
      </xdr:nvSpPr>
      <xdr:spPr>
        <a:xfrm>
          <a:off x="12776200" y="4764151"/>
          <a:ext cx="101600" cy="54483"/>
        </a:xfrm>
        <a:prstGeom prst="rect">
          <a:avLst/>
        </a:prstGeom>
        <a:solidFill>
          <a:srgbClr val="00FFFE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203200</xdr:colOff>
      <xdr:row>25</xdr:row>
      <xdr:rowOff>1651</xdr:rowOff>
    </xdr:from>
    <xdr:to>
      <xdr:col>16</xdr:col>
      <xdr:colOff>304800</xdr:colOff>
      <xdr:row>25</xdr:row>
      <xdr:rowOff>56134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499B777D-D194-624C-812E-460C2ECE9982}"/>
            </a:ext>
          </a:extLst>
        </xdr:cNvPr>
        <xdr:cNvSpPr/>
      </xdr:nvSpPr>
      <xdr:spPr>
        <a:xfrm>
          <a:off x="13284200" y="4764151"/>
          <a:ext cx="101600" cy="54483"/>
        </a:xfrm>
        <a:prstGeom prst="rect">
          <a:avLst/>
        </a:prstGeom>
        <a:solidFill>
          <a:srgbClr val="00FFFE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0</xdr:colOff>
      <xdr:row>26</xdr:row>
      <xdr:rowOff>0</xdr:rowOff>
    </xdr:from>
    <xdr:to>
      <xdr:col>25</xdr:col>
      <xdr:colOff>76200</xdr:colOff>
      <xdr:row>26</xdr:row>
      <xdr:rowOff>165100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E3273CCE-01B2-C14F-B684-B8315D030184}"/>
            </a:ext>
          </a:extLst>
        </xdr:cNvPr>
        <xdr:cNvSpPr/>
      </xdr:nvSpPr>
      <xdr:spPr>
        <a:xfrm>
          <a:off x="10185400" y="4953000"/>
          <a:ext cx="10261600" cy="165100"/>
        </a:xfrm>
        <a:prstGeom prst="rect">
          <a:avLst/>
        </a:prstGeom>
        <a:solidFill>
          <a:srgbClr val="BFBFBF"/>
        </a:solidFill>
        <a:ln>
          <a:solidFill>
            <a:srgbClr val="BFBFB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15</xdr:col>
      <xdr:colOff>228600</xdr:colOff>
      <xdr:row>26</xdr:row>
      <xdr:rowOff>0</xdr:rowOff>
    </xdr:from>
    <xdr:to>
      <xdr:col>16</xdr:col>
      <xdr:colOff>0</xdr:colOff>
      <xdr:row>26</xdr:row>
      <xdr:rowOff>165100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ACFC78D1-DAD5-4646-87CC-2BA3A95A73B5}"/>
            </a:ext>
          </a:extLst>
        </xdr:cNvPr>
        <xdr:cNvSpPr/>
      </xdr:nvSpPr>
      <xdr:spPr>
        <a:xfrm>
          <a:off x="12979400" y="4953000"/>
          <a:ext cx="101600" cy="1651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15</xdr:col>
      <xdr:colOff>228600</xdr:colOff>
      <xdr:row>26</xdr:row>
      <xdr:rowOff>54483</xdr:rowOff>
    </xdr:from>
    <xdr:to>
      <xdr:col>16</xdr:col>
      <xdr:colOff>0</xdr:colOff>
      <xdr:row>26</xdr:row>
      <xdr:rowOff>108966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0C7AAA99-0145-424F-9A3A-B148A2DB9BF4}"/>
            </a:ext>
          </a:extLst>
        </xdr:cNvPr>
        <xdr:cNvSpPr/>
      </xdr:nvSpPr>
      <xdr:spPr>
        <a:xfrm>
          <a:off x="12979400" y="5007483"/>
          <a:ext cx="101600" cy="54483"/>
        </a:xfrm>
        <a:prstGeom prst="rect">
          <a:avLst/>
        </a:prstGeom>
        <a:solidFill>
          <a:srgbClr val="00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0</xdr:colOff>
      <xdr:row>27</xdr:row>
      <xdr:rowOff>0</xdr:rowOff>
    </xdr:from>
    <xdr:to>
      <xdr:col>25</xdr:col>
      <xdr:colOff>127000</xdr:colOff>
      <xdr:row>27</xdr:row>
      <xdr:rowOff>165100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198D6DAE-7BFA-704E-B926-607C7279710C}"/>
            </a:ext>
          </a:extLst>
        </xdr:cNvPr>
        <xdr:cNvSpPr/>
      </xdr:nvSpPr>
      <xdr:spPr>
        <a:xfrm>
          <a:off x="10185400" y="5143500"/>
          <a:ext cx="10312400" cy="165100"/>
        </a:xfrm>
        <a:prstGeom prst="rect">
          <a:avLst/>
        </a:prstGeom>
        <a:solidFill>
          <a:srgbClr val="BFBFBF"/>
        </a:solidFill>
        <a:ln>
          <a:solidFill>
            <a:srgbClr val="BFBFB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0</xdr:colOff>
      <xdr:row>27</xdr:row>
      <xdr:rowOff>0</xdr:rowOff>
    </xdr:from>
    <xdr:to>
      <xdr:col>16</xdr:col>
      <xdr:colOff>50800</xdr:colOff>
      <xdr:row>27</xdr:row>
      <xdr:rowOff>49530</xdr:rowOff>
    </xdr:to>
    <xdr:sp macro="" textlink="">
      <xdr:nvSpPr>
        <xdr:cNvPr id="31" name="Diamond 30">
          <a:extLst>
            <a:ext uri="{FF2B5EF4-FFF2-40B4-BE49-F238E27FC236}">
              <a16:creationId xmlns:a16="http://schemas.microsoft.com/office/drawing/2014/main" id="{544DA2C6-DF87-2C4D-87B2-2910E3DE59B5}"/>
            </a:ext>
          </a:extLst>
        </xdr:cNvPr>
        <xdr:cNvSpPr/>
      </xdr:nvSpPr>
      <xdr:spPr>
        <a:xfrm>
          <a:off x="13081000" y="5143500"/>
          <a:ext cx="50800" cy="49530"/>
        </a:xfrm>
        <a:prstGeom prst="diamond">
          <a:avLst/>
        </a:prstGeom>
        <a:solidFill>
          <a:srgbClr val="FFC000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15</xdr:col>
      <xdr:colOff>177800</xdr:colOff>
      <xdr:row>27</xdr:row>
      <xdr:rowOff>0</xdr:rowOff>
    </xdr:from>
    <xdr:to>
      <xdr:col>16</xdr:col>
      <xdr:colOff>203200</xdr:colOff>
      <xdr:row>28</xdr:row>
      <xdr:rowOff>7620</xdr:rowOff>
    </xdr:to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A99A58B8-8136-F244-987C-C2DECE67AEA8}"/>
            </a:ext>
          </a:extLst>
        </xdr:cNvPr>
        <xdr:cNvSpPr txBox="1"/>
      </xdr:nvSpPr>
      <xdr:spPr>
        <a:xfrm>
          <a:off x="12928600" y="5143500"/>
          <a:ext cx="355600" cy="19812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>
            <a:alpha val="0"/>
          </a:srgb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1300" b="1">
              <a:latin typeface="Courier New" panose="02070309020205020404" pitchFamily="49" charset="0"/>
            </a:rPr>
            <a:t>T</a:t>
          </a:r>
        </a:p>
      </xdr:txBody>
    </xdr:sp>
    <xdr:clientData/>
  </xdr:twoCellAnchor>
  <xdr:twoCellAnchor>
    <xdr:from>
      <xdr:col>14</xdr:col>
      <xdr:colOff>152400</xdr:colOff>
      <xdr:row>21</xdr:row>
      <xdr:rowOff>8890</xdr:rowOff>
    </xdr:from>
    <xdr:to>
      <xdr:col>16</xdr:col>
      <xdr:colOff>152400</xdr:colOff>
      <xdr:row>21</xdr:row>
      <xdr:rowOff>91440</xdr:rowOff>
    </xdr:to>
    <xdr:sp macro="" textlink="">
      <xdr:nvSpPr>
        <xdr:cNvPr id="33" name="Rectangle 1053_Tagged">
          <a:extLst>
            <a:ext uri="{FF2B5EF4-FFF2-40B4-BE49-F238E27FC236}">
              <a16:creationId xmlns:a16="http://schemas.microsoft.com/office/drawing/2014/main" id="{11811FBE-B267-A34F-B6C8-10BB80ADF8C1}"/>
            </a:ext>
          </a:extLst>
        </xdr:cNvPr>
        <xdr:cNvSpPr/>
      </xdr:nvSpPr>
      <xdr:spPr>
        <a:xfrm>
          <a:off x="12217400" y="4009390"/>
          <a:ext cx="1016000" cy="82550"/>
        </a:xfrm>
        <a:prstGeom prst="rect">
          <a:avLst/>
        </a:prstGeom>
        <a:solidFill>
          <a:srgbClr val="800080"/>
        </a:solidFill>
        <a:ln>
          <a:solidFill>
            <a:srgbClr val="800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0</xdr:colOff>
      <xdr:row>21</xdr:row>
      <xdr:rowOff>91440</xdr:rowOff>
    </xdr:from>
    <xdr:to>
      <xdr:col>16</xdr:col>
      <xdr:colOff>0</xdr:colOff>
      <xdr:row>28</xdr:row>
      <xdr:rowOff>3810</xdr:rowOff>
    </xdr:to>
    <xdr:cxnSp macro="">
      <xdr:nvCxnSpPr>
        <xdr:cNvPr id="34" name="Straight Connector 1054_Tagged">
          <a:extLst>
            <a:ext uri="{FF2B5EF4-FFF2-40B4-BE49-F238E27FC236}">
              <a16:creationId xmlns:a16="http://schemas.microsoft.com/office/drawing/2014/main" id="{5116F233-24F4-CD4F-8FD6-6039F3992C26}"/>
            </a:ext>
          </a:extLst>
        </xdr:cNvPr>
        <xdr:cNvCxnSpPr/>
      </xdr:nvCxnSpPr>
      <xdr:spPr>
        <a:xfrm>
          <a:off x="13081000" y="4091940"/>
          <a:ext cx="0" cy="1245870"/>
        </a:xfrm>
        <a:prstGeom prst="line">
          <a:avLst/>
        </a:prstGeom>
        <a:ln w="12700">
          <a:solidFill>
            <a:srgbClr val="000000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76200</xdr:colOff>
      <xdr:row>20</xdr:row>
      <xdr:rowOff>85090</xdr:rowOff>
    </xdr:from>
    <xdr:to>
      <xdr:col>16</xdr:col>
      <xdr:colOff>254000</xdr:colOff>
      <xdr:row>22</xdr:row>
      <xdr:rowOff>34290</xdr:rowOff>
    </xdr:to>
    <xdr:sp macro="" textlink="">
      <xdr:nvSpPr>
        <xdr:cNvPr id="35" name="TextBox 1055_Tagged">
          <a:extLst>
            <a:ext uri="{FF2B5EF4-FFF2-40B4-BE49-F238E27FC236}">
              <a16:creationId xmlns:a16="http://schemas.microsoft.com/office/drawing/2014/main" id="{82DC4390-5C66-E84A-9488-128E12B5D3DA}"/>
            </a:ext>
          </a:extLst>
        </xdr:cNvPr>
        <xdr:cNvSpPr txBox="1"/>
      </xdr:nvSpPr>
      <xdr:spPr>
        <a:xfrm>
          <a:off x="12827000" y="3895090"/>
          <a:ext cx="508000" cy="330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>
            <a:alpha val="0"/>
          </a:srgb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800">
              <a:solidFill>
                <a:srgbClr val="FAFAFA"/>
              </a:solidFill>
              <a:latin typeface="Courier New" panose="02070309020205020404" pitchFamily="49" charset="0"/>
            </a:rPr>
            <a:t>ATGT</a:t>
          </a:r>
        </a:p>
      </xdr:txBody>
    </xdr:sp>
    <xdr:clientData/>
  </xdr:twoCellAnchor>
  <xdr:twoCellAnchor>
    <xdr:from>
      <xdr:col>14</xdr:col>
      <xdr:colOff>152400</xdr:colOff>
      <xdr:row>21</xdr:row>
      <xdr:rowOff>8890</xdr:rowOff>
    </xdr:from>
    <xdr:to>
      <xdr:col>14</xdr:col>
      <xdr:colOff>152400</xdr:colOff>
      <xdr:row>28</xdr:row>
      <xdr:rowOff>3810</xdr:rowOff>
    </xdr:to>
    <xdr:cxnSp macro="">
      <xdr:nvCxnSpPr>
        <xdr:cNvPr id="36" name="Straight Connector 1056_Tagged">
          <a:extLst>
            <a:ext uri="{FF2B5EF4-FFF2-40B4-BE49-F238E27FC236}">
              <a16:creationId xmlns:a16="http://schemas.microsoft.com/office/drawing/2014/main" id="{6CD57308-F936-964E-BB98-07DF0CEB180C}"/>
            </a:ext>
          </a:extLst>
        </xdr:cNvPr>
        <xdr:cNvCxnSpPr/>
      </xdr:nvCxnSpPr>
      <xdr:spPr>
        <a:xfrm>
          <a:off x="12217400" y="4009390"/>
          <a:ext cx="0" cy="1328420"/>
        </a:xfrm>
        <a:prstGeom prst="line">
          <a:avLst/>
        </a:prstGeom>
        <a:ln w="15240">
          <a:solidFill>
            <a:srgbClr val="AF23F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21</xdr:row>
      <xdr:rowOff>8890</xdr:rowOff>
    </xdr:from>
    <xdr:to>
      <xdr:col>16</xdr:col>
      <xdr:colOff>152400</xdr:colOff>
      <xdr:row>28</xdr:row>
      <xdr:rowOff>3810</xdr:rowOff>
    </xdr:to>
    <xdr:cxnSp macro="">
      <xdr:nvCxnSpPr>
        <xdr:cNvPr id="37" name="Straight Connector 1057_Tagged">
          <a:extLst>
            <a:ext uri="{FF2B5EF4-FFF2-40B4-BE49-F238E27FC236}">
              <a16:creationId xmlns:a16="http://schemas.microsoft.com/office/drawing/2014/main" id="{C498733A-B4B0-9C48-9B7E-121C80E171C5}"/>
            </a:ext>
          </a:extLst>
        </xdr:cNvPr>
        <xdr:cNvCxnSpPr/>
      </xdr:nvCxnSpPr>
      <xdr:spPr>
        <a:xfrm>
          <a:off x="13233400" y="4009390"/>
          <a:ext cx="0" cy="1328420"/>
        </a:xfrm>
        <a:prstGeom prst="line">
          <a:avLst/>
        </a:prstGeom>
        <a:ln w="15240">
          <a:solidFill>
            <a:srgbClr val="AF23F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304800</xdr:colOff>
      <xdr:row>21</xdr:row>
      <xdr:rowOff>8890</xdr:rowOff>
    </xdr:from>
    <xdr:to>
      <xdr:col>16</xdr:col>
      <xdr:colOff>304800</xdr:colOff>
      <xdr:row>28</xdr:row>
      <xdr:rowOff>3810</xdr:rowOff>
    </xdr:to>
    <xdr:cxnSp macro="">
      <xdr:nvCxnSpPr>
        <xdr:cNvPr id="38" name="Straight Connector 1058_Tagged">
          <a:extLst>
            <a:ext uri="{FF2B5EF4-FFF2-40B4-BE49-F238E27FC236}">
              <a16:creationId xmlns:a16="http://schemas.microsoft.com/office/drawing/2014/main" id="{D7FAFAC4-3442-AC49-9D63-CC7B3E4D87F5}"/>
            </a:ext>
          </a:extLst>
        </xdr:cNvPr>
        <xdr:cNvCxnSpPr/>
      </xdr:nvCxnSpPr>
      <xdr:spPr>
        <a:xfrm>
          <a:off x="13385800" y="4009390"/>
          <a:ext cx="0" cy="1328420"/>
        </a:xfrm>
        <a:prstGeom prst="line">
          <a:avLst/>
        </a:prstGeom>
        <a:ln w="15240">
          <a:solidFill>
            <a:srgbClr val="FFD27D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152400</xdr:colOff>
      <xdr:row>21</xdr:row>
      <xdr:rowOff>8890</xdr:rowOff>
    </xdr:from>
    <xdr:to>
      <xdr:col>16</xdr:col>
      <xdr:colOff>304800</xdr:colOff>
      <xdr:row>21</xdr:row>
      <xdr:rowOff>91440</xdr:rowOff>
    </xdr:to>
    <xdr:sp macro="" textlink="">
      <xdr:nvSpPr>
        <xdr:cNvPr id="39" name="Rectangle 1059_Tagged">
          <a:extLst>
            <a:ext uri="{FF2B5EF4-FFF2-40B4-BE49-F238E27FC236}">
              <a16:creationId xmlns:a16="http://schemas.microsoft.com/office/drawing/2014/main" id="{036E0733-A811-9C4F-84B8-8856AD9E550B}"/>
            </a:ext>
          </a:extLst>
        </xdr:cNvPr>
        <xdr:cNvSpPr/>
      </xdr:nvSpPr>
      <xdr:spPr>
        <a:xfrm>
          <a:off x="13233400" y="4009390"/>
          <a:ext cx="152400" cy="82550"/>
        </a:xfrm>
        <a:prstGeom prst="rect">
          <a:avLst/>
        </a:prstGeom>
        <a:solidFill>
          <a:srgbClr val="FFC000"/>
        </a:solidFill>
        <a:ln>
          <a:solidFill>
            <a:srgbClr val="FFC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228600</xdr:colOff>
      <xdr:row>20</xdr:row>
      <xdr:rowOff>166370</xdr:rowOff>
    </xdr:from>
    <xdr:to>
      <xdr:col>17</xdr:col>
      <xdr:colOff>558800</xdr:colOff>
      <xdr:row>20</xdr:row>
      <xdr:rowOff>166370</xdr:rowOff>
    </xdr:to>
    <xdr:cxnSp macro="">
      <xdr:nvCxnSpPr>
        <xdr:cNvPr id="40" name="Straight Connector 1060_Tagged">
          <a:extLst>
            <a:ext uri="{FF2B5EF4-FFF2-40B4-BE49-F238E27FC236}">
              <a16:creationId xmlns:a16="http://schemas.microsoft.com/office/drawing/2014/main" id="{B518F18C-4EEE-3442-A560-F54DFD75A599}"/>
            </a:ext>
          </a:extLst>
        </xdr:cNvPr>
        <xdr:cNvCxnSpPr/>
      </xdr:nvCxnSpPr>
      <xdr:spPr>
        <a:xfrm>
          <a:off x="11557000" y="3976370"/>
          <a:ext cx="3048000" cy="0"/>
        </a:xfrm>
        <a:prstGeom prst="line">
          <a:avLst/>
        </a:prstGeom>
        <a:ln w="15240">
          <a:solidFill>
            <a:srgbClr val="000000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228600</xdr:colOff>
      <xdr:row>20</xdr:row>
      <xdr:rowOff>90170</xdr:rowOff>
    </xdr:from>
    <xdr:to>
      <xdr:col>13</xdr:col>
      <xdr:colOff>228600</xdr:colOff>
      <xdr:row>20</xdr:row>
      <xdr:rowOff>166370</xdr:rowOff>
    </xdr:to>
    <xdr:cxnSp macro="">
      <xdr:nvCxnSpPr>
        <xdr:cNvPr id="41" name="Straight Connector 1061_Tagged">
          <a:extLst>
            <a:ext uri="{FF2B5EF4-FFF2-40B4-BE49-F238E27FC236}">
              <a16:creationId xmlns:a16="http://schemas.microsoft.com/office/drawing/2014/main" id="{08B982E7-3C2A-CD4A-B062-17578B4F0CC1}"/>
            </a:ext>
          </a:extLst>
        </xdr:cNvPr>
        <xdr:cNvCxnSpPr/>
      </xdr:nvCxnSpPr>
      <xdr:spPr>
        <a:xfrm>
          <a:off x="11557000" y="3900170"/>
          <a:ext cx="0" cy="76200"/>
        </a:xfrm>
        <a:prstGeom prst="line">
          <a:avLst/>
        </a:prstGeom>
        <a:ln w="15240">
          <a:solidFill>
            <a:srgbClr val="000000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38100</xdr:colOff>
      <xdr:row>19</xdr:row>
      <xdr:rowOff>1270</xdr:rowOff>
    </xdr:from>
    <xdr:to>
      <xdr:col>13</xdr:col>
      <xdr:colOff>419100</xdr:colOff>
      <xdr:row>21</xdr:row>
      <xdr:rowOff>1270</xdr:rowOff>
    </xdr:to>
    <xdr:sp macro="" textlink="">
      <xdr:nvSpPr>
        <xdr:cNvPr id="42" name="TextBox 1062_Tagged">
          <a:extLst>
            <a:ext uri="{FF2B5EF4-FFF2-40B4-BE49-F238E27FC236}">
              <a16:creationId xmlns:a16="http://schemas.microsoft.com/office/drawing/2014/main" id="{ED3769D1-C6E9-0645-9A0F-217EE0FE9E81}"/>
            </a:ext>
          </a:extLst>
        </xdr:cNvPr>
        <xdr:cNvSpPr txBox="1"/>
      </xdr:nvSpPr>
      <xdr:spPr>
        <a:xfrm>
          <a:off x="11366500" y="3620770"/>
          <a:ext cx="381000" cy="381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8080" mc:Ignorable="a14" a14:legacySpreadsheetColorIndex="23">
            <a:alpha val="0"/>
          </a:srgb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C0C0C0" mc:Ignorable="a14" a14:legacySpreadsheetColorIndex="22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1000" b="1">
              <a:latin typeface="Arial" panose="020B0604020202020204" pitchFamily="34" charset="0"/>
            </a:rPr>
            <a:t>-30</a:t>
          </a:r>
        </a:p>
      </xdr:txBody>
    </xdr:sp>
    <xdr:clientData/>
  </xdr:twoCellAnchor>
  <xdr:twoCellAnchor>
    <xdr:from>
      <xdr:col>14</xdr:col>
      <xdr:colOff>0</xdr:colOff>
      <xdr:row>20</xdr:row>
      <xdr:rowOff>90170</xdr:rowOff>
    </xdr:from>
    <xdr:to>
      <xdr:col>14</xdr:col>
      <xdr:colOff>0</xdr:colOff>
      <xdr:row>20</xdr:row>
      <xdr:rowOff>166370</xdr:rowOff>
    </xdr:to>
    <xdr:cxnSp macro="">
      <xdr:nvCxnSpPr>
        <xdr:cNvPr id="43" name="Straight Connector 1063_Tagged">
          <a:extLst>
            <a:ext uri="{FF2B5EF4-FFF2-40B4-BE49-F238E27FC236}">
              <a16:creationId xmlns:a16="http://schemas.microsoft.com/office/drawing/2014/main" id="{1089070D-FC62-4145-8571-655036BBDE5A}"/>
            </a:ext>
          </a:extLst>
        </xdr:cNvPr>
        <xdr:cNvCxnSpPr/>
      </xdr:nvCxnSpPr>
      <xdr:spPr>
        <a:xfrm>
          <a:off x="12065000" y="3900170"/>
          <a:ext cx="0" cy="76200"/>
        </a:xfrm>
        <a:prstGeom prst="line">
          <a:avLst/>
        </a:prstGeom>
        <a:ln w="15240">
          <a:solidFill>
            <a:srgbClr val="000000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546100</xdr:colOff>
      <xdr:row>19</xdr:row>
      <xdr:rowOff>1270</xdr:rowOff>
    </xdr:from>
    <xdr:to>
      <xdr:col>14</xdr:col>
      <xdr:colOff>190500</xdr:colOff>
      <xdr:row>21</xdr:row>
      <xdr:rowOff>1270</xdr:rowOff>
    </xdr:to>
    <xdr:sp macro="" textlink="">
      <xdr:nvSpPr>
        <xdr:cNvPr id="44" name="TextBox 1064_Tagged">
          <a:extLst>
            <a:ext uri="{FF2B5EF4-FFF2-40B4-BE49-F238E27FC236}">
              <a16:creationId xmlns:a16="http://schemas.microsoft.com/office/drawing/2014/main" id="{B39802CC-13D9-604B-A498-A1312DFD4B61}"/>
            </a:ext>
          </a:extLst>
        </xdr:cNvPr>
        <xdr:cNvSpPr txBox="1"/>
      </xdr:nvSpPr>
      <xdr:spPr>
        <a:xfrm>
          <a:off x="11874500" y="3620770"/>
          <a:ext cx="381000" cy="381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8080" mc:Ignorable="a14" a14:legacySpreadsheetColorIndex="23">
            <a:alpha val="0"/>
          </a:srgb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C0C0C0" mc:Ignorable="a14" a14:legacySpreadsheetColorIndex="22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1000" b="1">
              <a:latin typeface="Arial" panose="020B0604020202020204" pitchFamily="34" charset="0"/>
            </a:rPr>
            <a:t>-20</a:t>
          </a:r>
        </a:p>
      </xdr:txBody>
    </xdr:sp>
    <xdr:clientData/>
  </xdr:twoCellAnchor>
  <xdr:twoCellAnchor>
    <xdr:from>
      <xdr:col>14</xdr:col>
      <xdr:colOff>508000</xdr:colOff>
      <xdr:row>20</xdr:row>
      <xdr:rowOff>90170</xdr:rowOff>
    </xdr:from>
    <xdr:to>
      <xdr:col>14</xdr:col>
      <xdr:colOff>508000</xdr:colOff>
      <xdr:row>20</xdr:row>
      <xdr:rowOff>166370</xdr:rowOff>
    </xdr:to>
    <xdr:cxnSp macro="">
      <xdr:nvCxnSpPr>
        <xdr:cNvPr id="45" name="Straight Connector 1065_Tagged">
          <a:extLst>
            <a:ext uri="{FF2B5EF4-FFF2-40B4-BE49-F238E27FC236}">
              <a16:creationId xmlns:a16="http://schemas.microsoft.com/office/drawing/2014/main" id="{D8EDB86A-632A-ED4A-98EE-6F3101D58DC0}"/>
            </a:ext>
          </a:extLst>
        </xdr:cNvPr>
        <xdr:cNvCxnSpPr/>
      </xdr:nvCxnSpPr>
      <xdr:spPr>
        <a:xfrm>
          <a:off x="12573000" y="3900170"/>
          <a:ext cx="0" cy="76200"/>
        </a:xfrm>
        <a:prstGeom prst="line">
          <a:avLst/>
        </a:prstGeom>
        <a:ln w="15240">
          <a:solidFill>
            <a:srgbClr val="000000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317500</xdr:colOff>
      <xdr:row>19</xdr:row>
      <xdr:rowOff>1270</xdr:rowOff>
    </xdr:from>
    <xdr:to>
      <xdr:col>15</xdr:col>
      <xdr:colOff>12700</xdr:colOff>
      <xdr:row>21</xdr:row>
      <xdr:rowOff>1270</xdr:rowOff>
    </xdr:to>
    <xdr:sp macro="" textlink="">
      <xdr:nvSpPr>
        <xdr:cNvPr id="46" name="TextBox 1066_Tagged">
          <a:extLst>
            <a:ext uri="{FF2B5EF4-FFF2-40B4-BE49-F238E27FC236}">
              <a16:creationId xmlns:a16="http://schemas.microsoft.com/office/drawing/2014/main" id="{050156AB-E07A-3243-8012-383B9183AB1D}"/>
            </a:ext>
          </a:extLst>
        </xdr:cNvPr>
        <xdr:cNvSpPr txBox="1"/>
      </xdr:nvSpPr>
      <xdr:spPr>
        <a:xfrm>
          <a:off x="12382500" y="3620770"/>
          <a:ext cx="381000" cy="381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8080" mc:Ignorable="a14" a14:legacySpreadsheetColorIndex="23">
            <a:alpha val="0"/>
          </a:srgb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C0C0C0" mc:Ignorable="a14" a14:legacySpreadsheetColorIndex="22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1000" b="1">
              <a:latin typeface="Arial" panose="020B0604020202020204" pitchFamily="34" charset="0"/>
            </a:rPr>
            <a:t>-10</a:t>
          </a:r>
        </a:p>
      </xdr:txBody>
    </xdr:sp>
    <xdr:clientData/>
  </xdr:twoCellAnchor>
  <xdr:twoCellAnchor>
    <xdr:from>
      <xdr:col>16</xdr:col>
      <xdr:colOff>0</xdr:colOff>
      <xdr:row>20</xdr:row>
      <xdr:rowOff>90170</xdr:rowOff>
    </xdr:from>
    <xdr:to>
      <xdr:col>16</xdr:col>
      <xdr:colOff>0</xdr:colOff>
      <xdr:row>20</xdr:row>
      <xdr:rowOff>166370</xdr:rowOff>
    </xdr:to>
    <xdr:cxnSp macro="">
      <xdr:nvCxnSpPr>
        <xdr:cNvPr id="47" name="Straight Connector 1067_Tagged">
          <a:extLst>
            <a:ext uri="{FF2B5EF4-FFF2-40B4-BE49-F238E27FC236}">
              <a16:creationId xmlns:a16="http://schemas.microsoft.com/office/drawing/2014/main" id="{E75F97C7-73F4-2B43-8EB3-5B5F679F6C08}"/>
            </a:ext>
          </a:extLst>
        </xdr:cNvPr>
        <xdr:cNvCxnSpPr/>
      </xdr:nvCxnSpPr>
      <xdr:spPr>
        <a:xfrm>
          <a:off x="13081000" y="3900170"/>
          <a:ext cx="0" cy="76200"/>
        </a:xfrm>
        <a:prstGeom prst="line">
          <a:avLst/>
        </a:prstGeom>
        <a:ln w="15240">
          <a:solidFill>
            <a:srgbClr val="000000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139700</xdr:colOff>
      <xdr:row>19</xdr:row>
      <xdr:rowOff>1270</xdr:rowOff>
    </xdr:from>
    <xdr:to>
      <xdr:col>16</xdr:col>
      <xdr:colOff>190500</xdr:colOff>
      <xdr:row>21</xdr:row>
      <xdr:rowOff>1270</xdr:rowOff>
    </xdr:to>
    <xdr:sp macro="" textlink="">
      <xdr:nvSpPr>
        <xdr:cNvPr id="48" name="TextBox 1068_Tagged">
          <a:extLst>
            <a:ext uri="{FF2B5EF4-FFF2-40B4-BE49-F238E27FC236}">
              <a16:creationId xmlns:a16="http://schemas.microsoft.com/office/drawing/2014/main" id="{27949CFB-B777-AC4D-9C41-1E7028341419}"/>
            </a:ext>
          </a:extLst>
        </xdr:cNvPr>
        <xdr:cNvSpPr txBox="1"/>
      </xdr:nvSpPr>
      <xdr:spPr>
        <a:xfrm>
          <a:off x="12890500" y="3620770"/>
          <a:ext cx="381000" cy="381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8080" mc:Ignorable="a14" a14:legacySpreadsheetColorIndex="23">
            <a:alpha val="0"/>
          </a:srgb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C0C0C0" mc:Ignorable="a14" a14:legacySpreadsheetColorIndex="22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1000" b="1">
              <a:latin typeface="Arial" panose="020B0604020202020204" pitchFamily="34" charset="0"/>
            </a:rPr>
            <a:t>0</a:t>
          </a:r>
        </a:p>
      </xdr:txBody>
    </xdr:sp>
    <xdr:clientData/>
  </xdr:twoCellAnchor>
  <xdr:twoCellAnchor>
    <xdr:from>
      <xdr:col>16</xdr:col>
      <xdr:colOff>508000</xdr:colOff>
      <xdr:row>20</xdr:row>
      <xdr:rowOff>90170</xdr:rowOff>
    </xdr:from>
    <xdr:to>
      <xdr:col>16</xdr:col>
      <xdr:colOff>508000</xdr:colOff>
      <xdr:row>20</xdr:row>
      <xdr:rowOff>166370</xdr:rowOff>
    </xdr:to>
    <xdr:cxnSp macro="">
      <xdr:nvCxnSpPr>
        <xdr:cNvPr id="49" name="Straight Connector 1069_Tagged">
          <a:extLst>
            <a:ext uri="{FF2B5EF4-FFF2-40B4-BE49-F238E27FC236}">
              <a16:creationId xmlns:a16="http://schemas.microsoft.com/office/drawing/2014/main" id="{266A9A86-A7B8-5C4B-932F-468607ED4F59}"/>
            </a:ext>
          </a:extLst>
        </xdr:cNvPr>
        <xdr:cNvCxnSpPr/>
      </xdr:nvCxnSpPr>
      <xdr:spPr>
        <a:xfrm>
          <a:off x="13589000" y="3900170"/>
          <a:ext cx="0" cy="76200"/>
        </a:xfrm>
        <a:prstGeom prst="line">
          <a:avLst/>
        </a:prstGeom>
        <a:ln w="15240">
          <a:solidFill>
            <a:srgbClr val="000000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317500</xdr:colOff>
      <xdr:row>19</xdr:row>
      <xdr:rowOff>1270</xdr:rowOff>
    </xdr:from>
    <xdr:to>
      <xdr:col>16</xdr:col>
      <xdr:colOff>698500</xdr:colOff>
      <xdr:row>21</xdr:row>
      <xdr:rowOff>1270</xdr:rowOff>
    </xdr:to>
    <xdr:sp macro="" textlink="">
      <xdr:nvSpPr>
        <xdr:cNvPr id="50" name="TextBox 1070_Tagged">
          <a:extLst>
            <a:ext uri="{FF2B5EF4-FFF2-40B4-BE49-F238E27FC236}">
              <a16:creationId xmlns:a16="http://schemas.microsoft.com/office/drawing/2014/main" id="{BD5B794D-27E6-6D44-9EBB-EC341E455005}"/>
            </a:ext>
          </a:extLst>
        </xdr:cNvPr>
        <xdr:cNvSpPr txBox="1"/>
      </xdr:nvSpPr>
      <xdr:spPr>
        <a:xfrm>
          <a:off x="13398500" y="3620770"/>
          <a:ext cx="381000" cy="381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8080" mc:Ignorable="a14" a14:legacySpreadsheetColorIndex="23">
            <a:alpha val="0"/>
          </a:srgb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C0C0C0" mc:Ignorable="a14" a14:legacySpreadsheetColorIndex="22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1000" b="1">
              <a:latin typeface="Arial" panose="020B0604020202020204" pitchFamily="34" charset="0"/>
            </a:rPr>
            <a:t>10</a:t>
          </a:r>
        </a:p>
      </xdr:txBody>
    </xdr:sp>
    <xdr:clientData/>
  </xdr:twoCellAnchor>
  <xdr:twoCellAnchor>
    <xdr:from>
      <xdr:col>17</xdr:col>
      <xdr:colOff>50800</xdr:colOff>
      <xdr:row>20</xdr:row>
      <xdr:rowOff>90170</xdr:rowOff>
    </xdr:from>
    <xdr:to>
      <xdr:col>17</xdr:col>
      <xdr:colOff>50800</xdr:colOff>
      <xdr:row>20</xdr:row>
      <xdr:rowOff>166370</xdr:rowOff>
    </xdr:to>
    <xdr:cxnSp macro="">
      <xdr:nvCxnSpPr>
        <xdr:cNvPr id="51" name="Straight Connector 1071_Tagged">
          <a:extLst>
            <a:ext uri="{FF2B5EF4-FFF2-40B4-BE49-F238E27FC236}">
              <a16:creationId xmlns:a16="http://schemas.microsoft.com/office/drawing/2014/main" id="{CD7033BD-F680-F94F-9F8C-0D9DAAD2E1B8}"/>
            </a:ext>
          </a:extLst>
        </xdr:cNvPr>
        <xdr:cNvCxnSpPr/>
      </xdr:nvCxnSpPr>
      <xdr:spPr>
        <a:xfrm>
          <a:off x="14097000" y="3900170"/>
          <a:ext cx="0" cy="76200"/>
        </a:xfrm>
        <a:prstGeom prst="line">
          <a:avLst/>
        </a:prstGeom>
        <a:ln w="15240">
          <a:solidFill>
            <a:srgbClr val="000000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825500</xdr:colOff>
      <xdr:row>19</xdr:row>
      <xdr:rowOff>1270</xdr:rowOff>
    </xdr:from>
    <xdr:to>
      <xdr:col>17</xdr:col>
      <xdr:colOff>241300</xdr:colOff>
      <xdr:row>21</xdr:row>
      <xdr:rowOff>1270</xdr:rowOff>
    </xdr:to>
    <xdr:sp macro="" textlink="">
      <xdr:nvSpPr>
        <xdr:cNvPr id="52" name="TextBox 1072_Tagged">
          <a:extLst>
            <a:ext uri="{FF2B5EF4-FFF2-40B4-BE49-F238E27FC236}">
              <a16:creationId xmlns:a16="http://schemas.microsoft.com/office/drawing/2014/main" id="{74417719-952F-1148-A77A-8C7E01F18BC9}"/>
            </a:ext>
          </a:extLst>
        </xdr:cNvPr>
        <xdr:cNvSpPr txBox="1"/>
      </xdr:nvSpPr>
      <xdr:spPr>
        <a:xfrm>
          <a:off x="13906500" y="3620770"/>
          <a:ext cx="381000" cy="381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8080" mc:Ignorable="a14" a14:legacySpreadsheetColorIndex="23">
            <a:alpha val="0"/>
          </a:srgb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C0C0C0" mc:Ignorable="a14" a14:legacySpreadsheetColorIndex="22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1000" b="1">
              <a:latin typeface="Arial" panose="020B0604020202020204" pitchFamily="34" charset="0"/>
            </a:rPr>
            <a:t>20</a:t>
          </a:r>
        </a:p>
      </xdr:txBody>
    </xdr:sp>
    <xdr:clientData/>
  </xdr:twoCellAnchor>
  <xdr:twoCellAnchor>
    <xdr:from>
      <xdr:col>17</xdr:col>
      <xdr:colOff>558800</xdr:colOff>
      <xdr:row>20</xdr:row>
      <xdr:rowOff>90170</xdr:rowOff>
    </xdr:from>
    <xdr:to>
      <xdr:col>17</xdr:col>
      <xdr:colOff>558800</xdr:colOff>
      <xdr:row>20</xdr:row>
      <xdr:rowOff>166370</xdr:rowOff>
    </xdr:to>
    <xdr:cxnSp macro="">
      <xdr:nvCxnSpPr>
        <xdr:cNvPr id="53" name="Straight Connector 1073_Tagged">
          <a:extLst>
            <a:ext uri="{FF2B5EF4-FFF2-40B4-BE49-F238E27FC236}">
              <a16:creationId xmlns:a16="http://schemas.microsoft.com/office/drawing/2014/main" id="{7D928436-3FC2-BB4E-B59D-923395505E29}"/>
            </a:ext>
          </a:extLst>
        </xdr:cNvPr>
        <xdr:cNvCxnSpPr/>
      </xdr:nvCxnSpPr>
      <xdr:spPr>
        <a:xfrm>
          <a:off x="14605000" y="3900170"/>
          <a:ext cx="0" cy="76200"/>
        </a:xfrm>
        <a:prstGeom prst="line">
          <a:avLst/>
        </a:prstGeom>
        <a:ln w="15240">
          <a:solidFill>
            <a:srgbClr val="000000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368300</xdr:colOff>
      <xdr:row>19</xdr:row>
      <xdr:rowOff>1270</xdr:rowOff>
    </xdr:from>
    <xdr:to>
      <xdr:col>18</xdr:col>
      <xdr:colOff>12700</xdr:colOff>
      <xdr:row>21</xdr:row>
      <xdr:rowOff>1270</xdr:rowOff>
    </xdr:to>
    <xdr:sp macro="" textlink="">
      <xdr:nvSpPr>
        <xdr:cNvPr id="54" name="TextBox 1074_Tagged">
          <a:extLst>
            <a:ext uri="{FF2B5EF4-FFF2-40B4-BE49-F238E27FC236}">
              <a16:creationId xmlns:a16="http://schemas.microsoft.com/office/drawing/2014/main" id="{9996A829-7FED-024A-9836-A33D80E5D053}"/>
            </a:ext>
          </a:extLst>
        </xdr:cNvPr>
        <xdr:cNvSpPr txBox="1"/>
      </xdr:nvSpPr>
      <xdr:spPr>
        <a:xfrm>
          <a:off x="14414500" y="3620770"/>
          <a:ext cx="381000" cy="381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808080" mc:Ignorable="a14" a14:legacySpreadsheetColorIndex="23">
            <a:alpha val="0"/>
          </a:srgb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C0C0C0" mc:Ignorable="a14" a14:legacySpreadsheetColorIndex="22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1000" b="1">
              <a:latin typeface="Arial" panose="020B0604020202020204" pitchFamily="34" charset="0"/>
            </a:rPr>
            <a:t>30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mir/Documents/GitHub/ATG_CRISPRess2_to_RIMA2/test_data/RIMA2_v20240420_ran_on_test_data.xlsm" TargetMode="External"/><Relationship Id="rId1" Type="http://schemas.openxmlformats.org/officeDocument/2006/relationships/externalLinkPath" Target="/Users/amir/Documents/GitHub/ATG_CRISPRess2_to_RIMA2/test_data/RIMA2_v20240420_ran_on_test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azcollaboration-my.sharepoint.com/Users/kftg820/OneDrive%20-%20AZCollaboration/New%20MyDoc/Programming/Last%20Versions/RIMA2/RIMA2_2019110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periment"/>
      <sheetName val="Single"/>
      <sheetName val="BatchAnalysis"/>
      <sheetName val="BatchShapes"/>
      <sheetName val="Log"/>
      <sheetName val="Info"/>
    </sheetNames>
    <definedNames>
      <definedName name="BatchImportAndAnalysis"/>
      <definedName name="Defaulter"/>
      <definedName name="Housekeeping"/>
      <definedName name="Needle_Case_Check"/>
      <definedName name="Top10VisualizedVariants"/>
      <definedName name="VisualizedVariants"/>
      <definedName name="VisualVar"/>
    </defined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periment"/>
      <sheetName val="Single"/>
      <sheetName val="BatchAnalysis"/>
      <sheetName val="BatchShapes"/>
      <sheetName val="Log"/>
      <sheetName val="Info"/>
    </sheetNames>
    <sheetDataSet>
      <sheetData sheetId="0"/>
      <sheetData sheetId="1">
        <row r="3">
          <cell r="N3"/>
        </row>
      </sheetData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86909-9CAD-344C-9E67-AB7EA5E00E93}">
  <sheetPr codeName="Sheet1">
    <tabColor theme="5" tint="0.59999389629810485"/>
    <pageSetUpPr fitToPage="1"/>
  </sheetPr>
  <dimension ref="A1:AW16419"/>
  <sheetViews>
    <sheetView showGridLines="0" tabSelected="1" zoomScale="109" zoomScaleNormal="85" workbookViewId="0">
      <selection activeCell="N21" sqref="N21"/>
    </sheetView>
  </sheetViews>
  <sheetFormatPr baseColWidth="10" defaultColWidth="9.33203125" defaultRowHeight="15" customHeight="1" x14ac:dyDescent="0.2"/>
  <cols>
    <col min="1" max="1" width="2.33203125" style="9" customWidth="1" collapsed="1"/>
    <col min="2" max="2" width="12.33203125" style="289" customWidth="1" collapsed="1"/>
    <col min="3" max="3" width="17" style="261" customWidth="1" collapsed="1"/>
    <col min="4" max="4" width="12.33203125" style="244" customWidth="1" collapsed="1"/>
    <col min="5" max="5" width="10.6640625" style="263" customWidth="1" collapsed="1"/>
    <col min="6" max="6" width="12.33203125" style="294" customWidth="1" collapsed="1"/>
    <col min="7" max="7" width="10.6640625" style="294" customWidth="1" collapsed="1"/>
    <col min="8" max="8" width="12.33203125" style="298" customWidth="1" collapsed="1"/>
    <col min="9" max="9" width="13.33203125" style="295" customWidth="1" collapsed="1"/>
    <col min="10" max="10" width="11.6640625" style="267" customWidth="1" collapsed="1"/>
    <col min="11" max="11" width="12.33203125" style="296" customWidth="1" collapsed="1"/>
    <col min="12" max="12" width="6.33203125" style="258" customWidth="1" collapsed="1"/>
    <col min="13" max="13" width="15" style="258" bestFit="1" customWidth="1" collapsed="1"/>
    <col min="14" max="14" width="9.6640625" style="259" bestFit="1" customWidth="1" collapsed="1"/>
    <col min="15" max="15" width="9" style="259" customWidth="1" collapsed="1"/>
    <col min="16" max="16" width="4.33203125" style="259" customWidth="1" collapsed="1"/>
    <col min="17" max="17" width="12.6640625" style="271" bestFit="1" customWidth="1" collapsed="1"/>
    <col min="18" max="18" width="9.6640625" style="259" bestFit="1" customWidth="1" collapsed="1"/>
    <col min="19" max="19" width="8.6640625" style="259" customWidth="1" collapsed="1"/>
    <col min="20" max="20" width="4.6640625" style="259" customWidth="1" collapsed="1"/>
    <col min="21" max="22" width="12.6640625" style="259" customWidth="1" collapsed="1"/>
    <col min="23" max="23" width="8.6640625" style="259" customWidth="1" collapsed="1"/>
    <col min="24" max="24" width="13.33203125" style="259" bestFit="1" customWidth="1" collapsed="1"/>
    <col min="25" max="29" width="12.6640625" style="259" customWidth="1" collapsed="1"/>
    <col min="30" max="30" width="14.33203125" style="259" customWidth="1" collapsed="1"/>
    <col min="31" max="31" width="12.6640625" style="259" customWidth="1" collapsed="1"/>
    <col min="32" max="32" width="9.6640625" style="259" customWidth="1" collapsed="1"/>
    <col min="33" max="33" width="12.33203125" style="259" customWidth="1" collapsed="1"/>
    <col min="34" max="34" width="10.33203125" style="259" customWidth="1" collapsed="1"/>
    <col min="35" max="35" width="11.33203125" style="259" customWidth="1" collapsed="1"/>
    <col min="36" max="36" width="14.33203125" style="259" bestFit="1" customWidth="1" collapsed="1"/>
    <col min="37" max="37" width="14.83203125" style="259" customWidth="1" collapsed="1"/>
    <col min="38" max="38" width="12.33203125" style="259" customWidth="1" collapsed="1"/>
    <col min="39" max="39" width="14.33203125" style="259" bestFit="1" customWidth="1" collapsed="1"/>
    <col min="40" max="40" width="10" style="259" customWidth="1" collapsed="1"/>
    <col min="41" max="41" width="11.33203125" style="259" customWidth="1" collapsed="1"/>
    <col min="42" max="42" width="10.6640625" style="259" customWidth="1" collapsed="1"/>
    <col min="43" max="43" width="11" style="270" customWidth="1" collapsed="1"/>
    <col min="44" max="44" width="10.33203125" style="270" customWidth="1" collapsed="1"/>
    <col min="45" max="45" width="11" style="270" customWidth="1" collapsed="1"/>
    <col min="46" max="46" width="11.33203125" style="270" customWidth="1" collapsed="1"/>
    <col min="47" max="47" width="10.33203125" style="270" customWidth="1" collapsed="1"/>
    <col min="48" max="48" width="13.33203125" style="270" customWidth="1" collapsed="1"/>
    <col min="49" max="49" width="10.33203125" style="9" customWidth="1" collapsed="1"/>
    <col min="50" max="50" width="37.33203125" style="9" bestFit="1" customWidth="1" collapsed="1"/>
    <col min="51" max="16384" width="9.33203125" style="9" collapsed="1"/>
  </cols>
  <sheetData>
    <row r="1" spans="1:49" ht="15" customHeight="1" thickBot="1" x14ac:dyDescent="0.25">
      <c r="A1" s="1"/>
      <c r="B1" s="2"/>
      <c r="C1" s="2"/>
      <c r="D1" s="2"/>
      <c r="E1" s="3"/>
      <c r="F1" s="4"/>
      <c r="G1" s="4"/>
      <c r="H1" s="4"/>
      <c r="I1" s="4"/>
      <c r="J1" s="4"/>
      <c r="K1" s="4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5"/>
      <c r="AC1" s="3"/>
      <c r="AD1" s="5"/>
      <c r="AE1" s="3"/>
      <c r="AF1" s="5"/>
      <c r="AG1" s="3"/>
      <c r="AH1" s="5"/>
      <c r="AI1" s="3"/>
      <c r="AJ1" s="5"/>
      <c r="AK1" s="3"/>
      <c r="AL1" s="5"/>
      <c r="AM1" s="3"/>
      <c r="AN1" s="5"/>
      <c r="AO1" s="6"/>
      <c r="AP1" s="7"/>
      <c r="AQ1" s="6"/>
      <c r="AR1" s="7"/>
      <c r="AS1" s="7"/>
      <c r="AT1" s="6"/>
      <c r="AU1" s="7"/>
      <c r="AV1" s="6"/>
      <c r="AW1" s="8"/>
    </row>
    <row r="2" spans="1:49" ht="15" customHeight="1" thickBot="1" x14ac:dyDescent="0.25">
      <c r="A2" s="10"/>
      <c r="B2" s="2"/>
      <c r="C2" s="2"/>
      <c r="D2" s="2"/>
      <c r="E2" s="11"/>
      <c r="F2" s="12"/>
      <c r="G2" s="13"/>
      <c r="H2" s="14"/>
      <c r="I2" s="15"/>
      <c r="J2" s="16" t="s">
        <v>0</v>
      </c>
      <c r="K2" s="17"/>
      <c r="L2" s="16"/>
      <c r="M2" s="18" t="s">
        <v>1</v>
      </c>
      <c r="N2" s="19" t="s">
        <v>2</v>
      </c>
      <c r="O2" s="20" t="s">
        <v>3</v>
      </c>
      <c r="P2" s="17"/>
      <c r="Q2" s="21" t="s">
        <v>4</v>
      </c>
      <c r="R2" s="22" t="s">
        <v>2</v>
      </c>
      <c r="S2" s="23" t="s">
        <v>3</v>
      </c>
      <c r="T2" s="17"/>
      <c r="U2" s="17"/>
      <c r="V2" s="17"/>
      <c r="W2" s="24" t="s">
        <v>5</v>
      </c>
      <c r="X2" s="25" t="s">
        <v>2</v>
      </c>
      <c r="Y2" s="26" t="s">
        <v>3</v>
      </c>
      <c r="Z2" s="17"/>
      <c r="AA2" s="17"/>
      <c r="AB2" s="17"/>
      <c r="AC2" s="17"/>
      <c r="AD2" s="17"/>
      <c r="AE2" s="27"/>
      <c r="AF2" s="17"/>
      <c r="AG2" s="17"/>
      <c r="AH2" s="17"/>
      <c r="AI2" s="17"/>
      <c r="AJ2" s="17"/>
      <c r="AK2" s="17"/>
      <c r="AL2" s="17"/>
      <c r="AM2" s="7"/>
      <c r="AN2" s="7"/>
      <c r="AO2" s="7"/>
      <c r="AP2" s="7"/>
      <c r="AQ2" s="7"/>
      <c r="AR2" s="7"/>
      <c r="AS2" s="7"/>
      <c r="AT2" s="7"/>
      <c r="AU2" s="7"/>
      <c r="AV2" s="7"/>
      <c r="AW2" s="8"/>
    </row>
    <row r="3" spans="1:49" ht="15" customHeight="1" thickBot="1" x14ac:dyDescent="0.25">
      <c r="A3" s="28"/>
      <c r="B3" s="2"/>
      <c r="C3" s="2"/>
      <c r="D3" s="2"/>
      <c r="E3" s="29"/>
      <c r="F3" s="30"/>
      <c r="G3" s="30"/>
      <c r="H3" s="31"/>
      <c r="I3" s="32"/>
      <c r="J3" s="16" t="s">
        <v>0</v>
      </c>
      <c r="K3" s="17"/>
      <c r="L3" s="16"/>
      <c r="M3" s="33" t="s">
        <v>6</v>
      </c>
      <c r="N3" s="34">
        <v>103</v>
      </c>
      <c r="O3" s="35">
        <f>IFERROR(TotalReads/MappedReads*100,0)</f>
        <v>57.222222222222221</v>
      </c>
      <c r="P3" s="17"/>
      <c r="Q3" s="36" t="s">
        <v>7</v>
      </c>
      <c r="R3" s="37">
        <f>AR4</f>
        <v>5</v>
      </c>
      <c r="S3" s="38">
        <f t="shared" ref="S3:S8" si="0">IFERROR(R3/Suminsreads*100,0)</f>
        <v>100</v>
      </c>
      <c r="T3" s="17"/>
      <c r="U3" s="17"/>
      <c r="V3" s="17"/>
      <c r="W3" s="39" t="s">
        <v>8</v>
      </c>
      <c r="X3" s="40">
        <v>90</v>
      </c>
      <c r="Y3" s="41">
        <f>IFERROR(X3/TotalReads*100,0)</f>
        <v>87.378640776699029</v>
      </c>
      <c r="Z3" s="17"/>
      <c r="AA3" s="17"/>
      <c r="AB3" s="17"/>
      <c r="AC3" s="17"/>
      <c r="AD3" s="9"/>
      <c r="AE3" s="7"/>
      <c r="AF3" s="9"/>
      <c r="AG3" s="9"/>
      <c r="AH3" s="9"/>
      <c r="AI3" s="28"/>
      <c r="AJ3" s="28"/>
      <c r="AK3" s="28"/>
      <c r="AL3" s="28"/>
      <c r="AM3" s="28"/>
      <c r="AN3" s="28"/>
      <c r="AO3" s="42" t="s">
        <v>9</v>
      </c>
      <c r="AP3" s="42" t="s">
        <v>10</v>
      </c>
      <c r="AQ3" s="42" t="s">
        <v>11</v>
      </c>
      <c r="AR3" s="42" t="s">
        <v>12</v>
      </c>
      <c r="AS3" s="42" t="s">
        <v>13</v>
      </c>
      <c r="AT3" s="42" t="s">
        <v>14</v>
      </c>
      <c r="AU3" s="43" t="s">
        <v>15</v>
      </c>
      <c r="AV3" s="43" t="s">
        <v>16</v>
      </c>
    </row>
    <row r="4" spans="1:49" ht="15" customHeight="1" thickBot="1" x14ac:dyDescent="0.25">
      <c r="A4" s="44"/>
      <c r="B4" s="45"/>
      <c r="C4" s="46" t="s">
        <v>17</v>
      </c>
      <c r="D4" s="47"/>
      <c r="E4" s="48"/>
      <c r="F4" s="49"/>
      <c r="G4" s="30"/>
      <c r="H4" s="50"/>
      <c r="I4" s="32"/>
      <c r="J4" s="16" t="s">
        <v>0</v>
      </c>
      <c r="K4" s="17"/>
      <c r="L4" s="16"/>
      <c r="M4" s="51" t="s">
        <v>18</v>
      </c>
      <c r="N4" s="52">
        <v>19</v>
      </c>
      <c r="O4" s="35">
        <f>IFERROR(inFrameReads/TotalReads*100,0)</f>
        <v>18.446601941747574</v>
      </c>
      <c r="P4" s="17"/>
      <c r="Q4" s="53" t="s">
        <v>19</v>
      </c>
      <c r="R4" s="54">
        <f>AR5</f>
        <v>0</v>
      </c>
      <c r="S4" s="55">
        <f t="shared" si="0"/>
        <v>0</v>
      </c>
      <c r="T4" s="17"/>
      <c r="U4" s="17"/>
      <c r="V4" s="17"/>
      <c r="W4" s="56" t="s">
        <v>20</v>
      </c>
      <c r="X4" s="57">
        <v>13</v>
      </c>
      <c r="Y4" s="58">
        <f>IFERROR(X4/TotalReads*100,0)</f>
        <v>12.621359223300971</v>
      </c>
      <c r="Z4" s="17"/>
      <c r="AA4" s="17"/>
      <c r="AB4" s="17"/>
      <c r="AC4" s="17"/>
      <c r="AD4" s="17"/>
      <c r="AE4" s="27"/>
      <c r="AF4" s="17"/>
      <c r="AG4" s="17"/>
      <c r="AH4" s="17"/>
      <c r="AI4" s="17"/>
      <c r="AJ4" s="17"/>
      <c r="AK4" s="17"/>
      <c r="AL4" s="17"/>
      <c r="AM4" s="17"/>
      <c r="AN4" s="17"/>
      <c r="AO4" s="59">
        <v>1</v>
      </c>
      <c r="AP4" s="60">
        <v>5</v>
      </c>
      <c r="AQ4" s="60"/>
      <c r="AR4" s="60">
        <v>5</v>
      </c>
      <c r="AS4" s="61"/>
      <c r="AT4" s="60"/>
      <c r="AU4" s="60"/>
      <c r="AV4" s="61">
        <v>5</v>
      </c>
    </row>
    <row r="5" spans="1:49" ht="15" customHeight="1" thickBot="1" x14ac:dyDescent="0.25">
      <c r="A5" s="44"/>
      <c r="B5" s="45"/>
      <c r="C5" s="62" t="s">
        <v>21</v>
      </c>
      <c r="D5" s="63" t="s">
        <v>22</v>
      </c>
      <c r="E5" s="11"/>
      <c r="F5" s="12"/>
      <c r="G5" s="12"/>
      <c r="H5" s="14"/>
      <c r="I5" s="64"/>
      <c r="J5" s="16" t="s">
        <v>0</v>
      </c>
      <c r="K5" s="17"/>
      <c r="L5" s="16"/>
      <c r="M5" s="65" t="s">
        <v>23</v>
      </c>
      <c r="N5" s="66">
        <v>84</v>
      </c>
      <c r="O5" s="35">
        <f>IFERROR(OutFrameReads/TotalReads*100,0)</f>
        <v>81.553398058252426</v>
      </c>
      <c r="P5" s="17"/>
      <c r="Q5" s="67" t="s">
        <v>24</v>
      </c>
      <c r="R5" s="68">
        <f>AR6</f>
        <v>0</v>
      </c>
      <c r="S5" s="55">
        <f t="shared" si="0"/>
        <v>0</v>
      </c>
      <c r="T5" s="17"/>
      <c r="U5" s="69" t="s">
        <v>25</v>
      </c>
      <c r="V5" s="69" t="s">
        <v>26</v>
      </c>
      <c r="W5" s="69" t="s">
        <v>27</v>
      </c>
      <c r="X5" s="70" t="s">
        <v>28</v>
      </c>
      <c r="Y5" s="71" t="s">
        <v>3</v>
      </c>
      <c r="Z5" s="72" t="s">
        <v>29</v>
      </c>
      <c r="AA5" s="71" t="s">
        <v>3</v>
      </c>
      <c r="AB5" s="73" t="s">
        <v>30</v>
      </c>
      <c r="AC5" s="73" t="s">
        <v>31</v>
      </c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74">
        <v>2</v>
      </c>
      <c r="AP5" s="75">
        <v>8</v>
      </c>
      <c r="AQ5" s="75">
        <v>8</v>
      </c>
      <c r="AR5" s="75"/>
      <c r="AS5" s="76"/>
      <c r="AT5" s="75"/>
      <c r="AU5" s="75"/>
      <c r="AV5" s="76"/>
    </row>
    <row r="6" spans="1:49" ht="15" customHeight="1" thickBot="1" x14ac:dyDescent="0.25">
      <c r="A6" s="28"/>
      <c r="B6" s="45"/>
      <c r="C6" s="77" t="s">
        <v>32</v>
      </c>
      <c r="D6" s="78" t="s">
        <v>33</v>
      </c>
      <c r="E6" s="79"/>
      <c r="F6" s="12"/>
      <c r="G6" s="12"/>
      <c r="H6" s="14"/>
      <c r="I6" s="64"/>
      <c r="J6" s="16" t="s">
        <v>0</v>
      </c>
      <c r="K6" s="17"/>
      <c r="L6" s="16"/>
      <c r="M6" s="80" t="s">
        <v>34</v>
      </c>
      <c r="N6" s="81" t="s">
        <v>2</v>
      </c>
      <c r="O6" s="82" t="s">
        <v>3</v>
      </c>
      <c r="P6" s="17"/>
      <c r="Q6" s="83" t="s">
        <v>35</v>
      </c>
      <c r="R6" s="84">
        <f>AR7</f>
        <v>0</v>
      </c>
      <c r="S6" s="55">
        <f t="shared" si="0"/>
        <v>0</v>
      </c>
      <c r="T6" s="17"/>
      <c r="U6" s="85" t="s">
        <v>36</v>
      </c>
      <c r="V6" s="86" t="s">
        <v>37</v>
      </c>
      <c r="W6" s="87" t="s">
        <v>38</v>
      </c>
      <c r="X6" s="88"/>
      <c r="Y6" s="89">
        <f t="shared" ref="Y6:Y17" si="1">IFERROR(X6/TotalReads*100,0)</f>
        <v>0</v>
      </c>
      <c r="Z6" s="90"/>
      <c r="AA6" s="91">
        <f t="shared" ref="AA6:AA17" si="2">IFERROR(Z6/TotalReads*100,0)</f>
        <v>0</v>
      </c>
      <c r="AB6" s="92" t="s">
        <v>37</v>
      </c>
      <c r="AC6" s="93" t="s">
        <v>39</v>
      </c>
      <c r="AD6" s="17"/>
      <c r="AE6" s="17"/>
      <c r="AF6" s="94" t="s">
        <v>40</v>
      </c>
      <c r="AG6" s="7"/>
      <c r="AH6" s="7"/>
      <c r="AI6" s="7"/>
      <c r="AJ6" s="7"/>
      <c r="AK6" s="7"/>
      <c r="AL6" s="17"/>
      <c r="AM6" s="17"/>
      <c r="AN6" s="7"/>
      <c r="AO6" s="74">
        <v>3</v>
      </c>
      <c r="AP6" s="75"/>
      <c r="AQ6" s="75"/>
      <c r="AR6" s="75"/>
      <c r="AS6" s="76"/>
      <c r="AT6" s="75"/>
      <c r="AU6" s="75"/>
      <c r="AV6" s="76"/>
    </row>
    <row r="7" spans="1:49" ht="15" customHeight="1" thickBot="1" x14ac:dyDescent="0.25">
      <c r="A7" s="28"/>
      <c r="B7" s="45"/>
      <c r="C7" s="95" t="s">
        <v>41</v>
      </c>
      <c r="D7" s="78" t="s">
        <v>42</v>
      </c>
      <c r="E7" s="96"/>
      <c r="F7" s="97"/>
      <c r="G7" s="98"/>
      <c r="H7" s="99"/>
      <c r="I7" s="16"/>
      <c r="J7" s="16" t="s">
        <v>0</v>
      </c>
      <c r="K7" s="17"/>
      <c r="L7" s="16"/>
      <c r="M7" s="100" t="s">
        <v>43</v>
      </c>
      <c r="N7" s="101">
        <f>Sumdelreads</f>
        <v>98</v>
      </c>
      <c r="O7" s="102">
        <f>IFERROR(N7/TotalReads*100,0)</f>
        <v>95.145631067961162</v>
      </c>
      <c r="P7" s="17"/>
      <c r="Q7" s="103" t="s">
        <v>44</v>
      </c>
      <c r="R7" s="104">
        <f>AR8</f>
        <v>0</v>
      </c>
      <c r="S7" s="55">
        <f t="shared" si="0"/>
        <v>0</v>
      </c>
      <c r="T7" s="17"/>
      <c r="U7" s="105" t="s">
        <v>45</v>
      </c>
      <c r="V7" s="106" t="s">
        <v>46</v>
      </c>
      <c r="W7" s="107" t="s">
        <v>47</v>
      </c>
      <c r="X7" s="108"/>
      <c r="Y7" s="109">
        <f t="shared" si="1"/>
        <v>0</v>
      </c>
      <c r="Z7" s="110"/>
      <c r="AA7" s="111">
        <f t="shared" si="2"/>
        <v>0</v>
      </c>
      <c r="AB7" s="112" t="s">
        <v>46</v>
      </c>
      <c r="AC7" s="113" t="s">
        <v>48</v>
      </c>
      <c r="AD7" s="17"/>
      <c r="AE7" s="17"/>
      <c r="AF7" s="114" t="s">
        <v>49</v>
      </c>
      <c r="AG7" s="115" t="s">
        <v>11</v>
      </c>
      <c r="AH7" s="116" t="s">
        <v>12</v>
      </c>
      <c r="AI7" s="117" t="s">
        <v>50</v>
      </c>
      <c r="AJ7" s="118" t="s">
        <v>15</v>
      </c>
      <c r="AK7" s="119" t="s">
        <v>51</v>
      </c>
      <c r="AL7" s="17"/>
      <c r="AM7" s="17"/>
      <c r="AN7" s="7"/>
      <c r="AO7" s="74">
        <v>4</v>
      </c>
      <c r="AP7" s="75"/>
      <c r="AQ7" s="75"/>
      <c r="AR7" s="75"/>
      <c r="AS7" s="76"/>
      <c r="AT7" s="75"/>
      <c r="AU7" s="75"/>
      <c r="AV7" s="76"/>
    </row>
    <row r="8" spans="1:49" ht="15" customHeight="1" thickBot="1" x14ac:dyDescent="0.25">
      <c r="A8" s="28"/>
      <c r="B8" s="45"/>
      <c r="C8" s="95" t="s">
        <v>52</v>
      </c>
      <c r="D8" s="78">
        <v>77</v>
      </c>
      <c r="E8" s="11"/>
      <c r="F8" s="120"/>
      <c r="G8" s="121"/>
      <c r="H8" s="122"/>
      <c r="I8" s="123"/>
      <c r="J8" s="17"/>
      <c r="K8" s="17"/>
      <c r="L8" s="16"/>
      <c r="M8" s="124" t="s">
        <v>53</v>
      </c>
      <c r="N8" s="125">
        <f>Suminsreads</f>
        <v>5</v>
      </c>
      <c r="O8" s="126">
        <f>IFERROR(N8/TotalReads*100,0)</f>
        <v>4.8543689320388346</v>
      </c>
      <c r="P8" s="17"/>
      <c r="Q8" s="127" t="s">
        <v>54</v>
      </c>
      <c r="R8" s="128">
        <f>SUM(AR9:AR102)</f>
        <v>0</v>
      </c>
      <c r="S8" s="58">
        <f t="shared" si="0"/>
        <v>0</v>
      </c>
      <c r="T8" s="17"/>
      <c r="U8" s="105" t="s">
        <v>15</v>
      </c>
      <c r="V8" s="129" t="s">
        <v>55</v>
      </c>
      <c r="W8" s="107" t="s">
        <v>56</v>
      </c>
      <c r="X8" s="108"/>
      <c r="Y8" s="109">
        <f t="shared" si="1"/>
        <v>0</v>
      </c>
      <c r="Z8" s="110"/>
      <c r="AA8" s="111">
        <f t="shared" si="2"/>
        <v>0</v>
      </c>
      <c r="AB8" s="130" t="s">
        <v>55</v>
      </c>
      <c r="AC8" s="131" t="s">
        <v>57</v>
      </c>
      <c r="AD8" s="17"/>
      <c r="AE8" s="17"/>
      <c r="AF8" s="132" t="s">
        <v>58</v>
      </c>
      <c r="AG8" s="133" t="s">
        <v>59</v>
      </c>
      <c r="AH8" s="134" t="s">
        <v>60</v>
      </c>
      <c r="AI8" s="135" t="s">
        <v>61</v>
      </c>
      <c r="AJ8" s="136" t="s">
        <v>62</v>
      </c>
      <c r="AK8" s="17"/>
      <c r="AL8" s="17"/>
      <c r="AM8" s="17"/>
      <c r="AN8" s="7"/>
      <c r="AO8" s="74">
        <v>5</v>
      </c>
      <c r="AP8" s="75">
        <v>16</v>
      </c>
      <c r="AQ8" s="75">
        <v>16</v>
      </c>
      <c r="AR8" s="75"/>
      <c r="AS8" s="76"/>
      <c r="AT8" s="75"/>
      <c r="AU8" s="75">
        <v>16</v>
      </c>
      <c r="AV8" s="76"/>
    </row>
    <row r="9" spans="1:49" ht="15" customHeight="1" thickBot="1" x14ac:dyDescent="0.25">
      <c r="A9" s="28"/>
      <c r="B9" s="121"/>
      <c r="C9" s="95" t="s">
        <v>63</v>
      </c>
      <c r="D9" s="78">
        <v>6</v>
      </c>
      <c r="E9" s="11"/>
      <c r="F9" s="120"/>
      <c r="G9" s="121"/>
      <c r="H9" s="122"/>
      <c r="I9" s="123"/>
      <c r="J9" s="17"/>
      <c r="K9" s="16" t="s">
        <v>0</v>
      </c>
      <c r="L9" s="17"/>
      <c r="M9" s="137" t="s">
        <v>64</v>
      </c>
      <c r="N9" s="138">
        <f>SumMNVreads</f>
        <v>0</v>
      </c>
      <c r="O9" s="126">
        <f>IFERROR(N9/TotalReads*100,0)</f>
        <v>0</v>
      </c>
      <c r="P9" s="17"/>
      <c r="Q9" s="139"/>
      <c r="R9" s="17"/>
      <c r="S9" s="17"/>
      <c r="T9" s="17"/>
      <c r="U9" s="105"/>
      <c r="V9" s="140" t="s">
        <v>65</v>
      </c>
      <c r="W9" s="107"/>
      <c r="X9" s="108"/>
      <c r="Y9" s="109">
        <f t="shared" si="1"/>
        <v>0</v>
      </c>
      <c r="Z9" s="141"/>
      <c r="AA9" s="111">
        <f t="shared" si="2"/>
        <v>0</v>
      </c>
      <c r="AB9" s="142" t="s">
        <v>65</v>
      </c>
      <c r="AC9" s="131" t="s">
        <v>66</v>
      </c>
      <c r="AD9" s="17"/>
      <c r="AE9" s="17"/>
      <c r="AF9" s="143" t="s">
        <v>67</v>
      </c>
      <c r="AG9" s="144">
        <v>4</v>
      </c>
      <c r="AH9" s="145" t="s">
        <v>68</v>
      </c>
      <c r="AI9" s="144">
        <v>13</v>
      </c>
      <c r="AJ9" s="7"/>
      <c r="AK9" s="7"/>
      <c r="AL9" s="17"/>
      <c r="AM9" s="17"/>
      <c r="AN9" s="7"/>
      <c r="AO9" s="74">
        <v>6</v>
      </c>
      <c r="AP9" s="75"/>
      <c r="AQ9" s="75"/>
      <c r="AR9" s="75"/>
      <c r="AS9" s="76"/>
      <c r="AT9" s="75"/>
      <c r="AU9" s="75"/>
      <c r="AV9" s="76"/>
    </row>
    <row r="10" spans="1:49" ht="15" customHeight="1" thickBot="1" x14ac:dyDescent="0.25">
      <c r="A10" s="28"/>
      <c r="B10" s="45"/>
      <c r="C10" s="77" t="s">
        <v>69</v>
      </c>
      <c r="D10" s="146">
        <v>180</v>
      </c>
      <c r="E10" s="16"/>
      <c r="F10" s="16"/>
      <c r="G10" s="16"/>
      <c r="H10" s="16"/>
      <c r="I10" s="16"/>
      <c r="J10" s="16"/>
      <c r="K10" s="16"/>
      <c r="L10" s="16"/>
      <c r="M10" s="147" t="s">
        <v>70</v>
      </c>
      <c r="N10" s="148">
        <f>Sum_Other_Indel_Reads</f>
        <v>0</v>
      </c>
      <c r="O10" s="58">
        <f>IFERROR(N10/TotalReads*100,0)</f>
        <v>0</v>
      </c>
      <c r="P10" s="149"/>
      <c r="Q10" s="150" t="s">
        <v>71</v>
      </c>
      <c r="R10" s="151" t="s">
        <v>2</v>
      </c>
      <c r="S10" s="152" t="s">
        <v>3</v>
      </c>
      <c r="T10" s="17"/>
      <c r="U10" s="105"/>
      <c r="V10" s="153" t="s">
        <v>72</v>
      </c>
      <c r="W10" s="107"/>
      <c r="X10" s="108"/>
      <c r="Y10" s="109">
        <f t="shared" si="1"/>
        <v>0</v>
      </c>
      <c r="Z10" s="141"/>
      <c r="AA10" s="111">
        <f t="shared" si="2"/>
        <v>0</v>
      </c>
      <c r="AB10" s="154" t="s">
        <v>72</v>
      </c>
      <c r="AC10" s="131" t="s">
        <v>39</v>
      </c>
      <c r="AD10" s="17"/>
      <c r="AE10" s="17"/>
      <c r="AF10" s="155" t="s">
        <v>73</v>
      </c>
      <c r="AG10" s="156"/>
      <c r="AH10" s="157">
        <v>10</v>
      </c>
      <c r="AI10" s="158">
        <v>10</v>
      </c>
      <c r="AJ10" s="7"/>
      <c r="AK10" s="17"/>
      <c r="AL10" s="17"/>
      <c r="AM10" s="17"/>
      <c r="AN10" s="7"/>
      <c r="AO10" s="74">
        <v>7</v>
      </c>
      <c r="AP10" s="75"/>
      <c r="AQ10" s="75"/>
      <c r="AR10" s="75"/>
      <c r="AS10" s="76"/>
      <c r="AT10" s="75"/>
      <c r="AU10" s="75"/>
      <c r="AV10" s="76"/>
    </row>
    <row r="11" spans="1:49" ht="15" customHeight="1" thickBot="1" x14ac:dyDescent="0.25">
      <c r="A11" s="28"/>
      <c r="B11" s="45"/>
      <c r="C11" s="95" t="s">
        <v>74</v>
      </c>
      <c r="D11" s="146">
        <v>8</v>
      </c>
      <c r="E11" s="11"/>
      <c r="F11" s="120"/>
      <c r="G11" s="120"/>
      <c r="H11" s="16"/>
      <c r="I11" s="64"/>
      <c r="J11" s="159" t="s">
        <v>75</v>
      </c>
      <c r="K11" s="160">
        <v>1E-3</v>
      </c>
      <c r="L11" s="16"/>
      <c r="M11" s="161" t="s">
        <v>76</v>
      </c>
      <c r="N11" s="162" t="s">
        <v>2</v>
      </c>
      <c r="O11" s="163" t="s">
        <v>3</v>
      </c>
      <c r="P11" s="17"/>
      <c r="Q11" s="164" t="s">
        <v>77</v>
      </c>
      <c r="R11" s="165">
        <f>AQ4</f>
        <v>0</v>
      </c>
      <c r="S11" s="166">
        <f t="shared" ref="S11:S18" si="3">IFERROR(R11/Sumdelreads*100,0)</f>
        <v>0</v>
      </c>
      <c r="T11" s="17"/>
      <c r="U11" s="105"/>
      <c r="V11" s="167" t="s">
        <v>78</v>
      </c>
      <c r="W11" s="107"/>
      <c r="X11" s="108"/>
      <c r="Y11" s="109">
        <f t="shared" si="1"/>
        <v>0</v>
      </c>
      <c r="Z11" s="141"/>
      <c r="AA11" s="111">
        <f t="shared" si="2"/>
        <v>0</v>
      </c>
      <c r="AB11" s="168" t="s">
        <v>78</v>
      </c>
      <c r="AC11" s="131" t="s">
        <v>48</v>
      </c>
      <c r="AD11" s="17"/>
      <c r="AE11" s="17"/>
      <c r="AF11" s="17"/>
      <c r="AG11" s="17"/>
      <c r="AH11" s="17"/>
      <c r="AI11" s="17"/>
      <c r="AJ11" s="17"/>
      <c r="AK11" s="17"/>
      <c r="AL11" s="17"/>
      <c r="AM11" s="17"/>
      <c r="AN11" s="7"/>
      <c r="AO11" s="74">
        <v>8</v>
      </c>
      <c r="AP11" s="75"/>
      <c r="AQ11" s="75"/>
      <c r="AR11" s="75"/>
      <c r="AS11" s="76"/>
      <c r="AT11" s="75"/>
      <c r="AU11" s="75"/>
      <c r="AV11" s="76"/>
    </row>
    <row r="12" spans="1:49" ht="15" customHeight="1" thickBot="1" x14ac:dyDescent="0.25">
      <c r="A12" s="28"/>
      <c r="B12" s="45"/>
      <c r="C12" s="95" t="s">
        <v>79</v>
      </c>
      <c r="D12" s="146">
        <v>1</v>
      </c>
      <c r="E12" s="11"/>
      <c r="F12" s="120"/>
      <c r="G12" s="120"/>
      <c r="H12" s="16"/>
      <c r="I12" s="64"/>
      <c r="J12" s="159" t="s">
        <v>80</v>
      </c>
      <c r="K12" s="160">
        <v>1</v>
      </c>
      <c r="L12" s="10"/>
      <c r="M12" s="169" t="s">
        <v>81</v>
      </c>
      <c r="N12" s="170">
        <f>AP4</f>
        <v>5</v>
      </c>
      <c r="O12" s="171">
        <f t="shared" ref="O12:O18" si="4">IFERROR(N12/Sumindelreads*100,0)</f>
        <v>4.8543689320388346</v>
      </c>
      <c r="P12" s="17"/>
      <c r="Q12" s="172" t="s">
        <v>82</v>
      </c>
      <c r="R12" s="173">
        <f>AQ5</f>
        <v>8</v>
      </c>
      <c r="S12" s="35">
        <f t="shared" si="3"/>
        <v>8.1632653061224492</v>
      </c>
      <c r="T12" s="17"/>
      <c r="U12" s="105"/>
      <c r="V12" s="174" t="s">
        <v>83</v>
      </c>
      <c r="W12" s="107"/>
      <c r="X12" s="108"/>
      <c r="Y12" s="109">
        <f t="shared" si="1"/>
        <v>0</v>
      </c>
      <c r="Z12" s="141"/>
      <c r="AA12" s="111">
        <f t="shared" si="2"/>
        <v>0</v>
      </c>
      <c r="AB12" s="175" t="s">
        <v>83</v>
      </c>
      <c r="AC12" s="131" t="s">
        <v>57</v>
      </c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7"/>
      <c r="AO12" s="74">
        <v>9</v>
      </c>
      <c r="AP12" s="75"/>
      <c r="AQ12" s="75"/>
      <c r="AR12" s="75"/>
      <c r="AS12" s="76"/>
      <c r="AT12" s="75"/>
      <c r="AU12" s="75"/>
      <c r="AV12" s="76"/>
    </row>
    <row r="13" spans="1:49" ht="15" customHeight="1" thickBot="1" x14ac:dyDescent="0.25">
      <c r="A13" s="28"/>
      <c r="B13" s="45"/>
      <c r="C13" s="176" t="s">
        <v>84</v>
      </c>
      <c r="D13" s="177">
        <v>1</v>
      </c>
      <c r="E13" s="11"/>
      <c r="F13" s="120"/>
      <c r="G13" s="120"/>
      <c r="H13" s="16"/>
      <c r="I13" s="64"/>
      <c r="J13" s="159" t="s">
        <v>85</v>
      </c>
      <c r="K13" s="178" t="b">
        <v>1</v>
      </c>
      <c r="L13" s="10"/>
      <c r="M13" s="179" t="s">
        <v>86</v>
      </c>
      <c r="N13" s="180">
        <f>AP5</f>
        <v>8</v>
      </c>
      <c r="O13" s="181">
        <f t="shared" si="4"/>
        <v>7.7669902912621351</v>
      </c>
      <c r="P13" s="17"/>
      <c r="Q13" s="182" t="s">
        <v>87</v>
      </c>
      <c r="R13" s="183">
        <f>AQ6</f>
        <v>0</v>
      </c>
      <c r="S13" s="35">
        <f t="shared" si="3"/>
        <v>0</v>
      </c>
      <c r="T13" s="17"/>
      <c r="U13" s="105"/>
      <c r="V13" s="184" t="s">
        <v>88</v>
      </c>
      <c r="W13" s="107"/>
      <c r="X13" s="108"/>
      <c r="Y13" s="109">
        <f t="shared" si="1"/>
        <v>0</v>
      </c>
      <c r="Z13" s="141"/>
      <c r="AA13" s="111">
        <f t="shared" si="2"/>
        <v>0</v>
      </c>
      <c r="AB13" s="185" t="s">
        <v>88</v>
      </c>
      <c r="AC13" s="131" t="s">
        <v>66</v>
      </c>
      <c r="AD13" s="17"/>
      <c r="AE13" s="17"/>
      <c r="AF13" s="94" t="s">
        <v>89</v>
      </c>
      <c r="AG13" s="17"/>
      <c r="AH13" s="7"/>
      <c r="AI13" s="17"/>
      <c r="AJ13" s="17"/>
      <c r="AK13" s="17"/>
      <c r="AL13" s="17"/>
      <c r="AM13" s="17"/>
      <c r="AN13" s="7"/>
      <c r="AO13" s="74">
        <v>10</v>
      </c>
      <c r="AP13" s="75">
        <v>15</v>
      </c>
      <c r="AQ13" s="75">
        <v>15</v>
      </c>
      <c r="AR13" s="75"/>
      <c r="AS13" s="76"/>
      <c r="AT13" s="75"/>
      <c r="AU13" s="75">
        <v>15</v>
      </c>
      <c r="AV13" s="76"/>
    </row>
    <row r="14" spans="1:49" ht="15" customHeight="1" thickBot="1" x14ac:dyDescent="0.25">
      <c r="A14" s="28"/>
      <c r="B14" s="45"/>
      <c r="C14" s="186"/>
      <c r="D14" s="187"/>
      <c r="E14" s="11"/>
      <c r="F14" s="120"/>
      <c r="G14" s="120"/>
      <c r="H14" s="122"/>
      <c r="I14" s="64"/>
      <c r="J14" s="159" t="s">
        <v>90</v>
      </c>
      <c r="K14" s="160">
        <v>20</v>
      </c>
      <c r="L14" s="16"/>
      <c r="M14" s="188" t="s">
        <v>91</v>
      </c>
      <c r="N14" s="189">
        <f>SUM(AP6:AP8)</f>
        <v>16</v>
      </c>
      <c r="O14" s="181">
        <f t="shared" si="4"/>
        <v>15.53398058252427</v>
      </c>
      <c r="P14" s="17"/>
      <c r="Q14" s="190" t="s">
        <v>92</v>
      </c>
      <c r="R14" s="191">
        <f>AQ7</f>
        <v>0</v>
      </c>
      <c r="S14" s="35">
        <f t="shared" si="3"/>
        <v>0</v>
      </c>
      <c r="T14" s="17"/>
      <c r="U14" s="105"/>
      <c r="V14" s="192" t="s">
        <v>93</v>
      </c>
      <c r="W14" s="107"/>
      <c r="X14" s="108"/>
      <c r="Y14" s="109">
        <f t="shared" si="1"/>
        <v>0</v>
      </c>
      <c r="Z14" s="141"/>
      <c r="AA14" s="111">
        <f t="shared" si="2"/>
        <v>0</v>
      </c>
      <c r="AB14" s="193" t="s">
        <v>93</v>
      </c>
      <c r="AC14" s="131" t="s">
        <v>39</v>
      </c>
      <c r="AD14" s="17"/>
      <c r="AE14" s="17"/>
      <c r="AF14" s="7"/>
      <c r="AG14" s="194" t="s">
        <v>94</v>
      </c>
      <c r="AH14" s="195" t="b">
        <v>0</v>
      </c>
      <c r="AI14" s="17"/>
      <c r="AJ14" s="17"/>
      <c r="AK14" s="17"/>
      <c r="AL14" s="17"/>
      <c r="AM14" s="17"/>
      <c r="AN14" s="7"/>
      <c r="AO14" s="74">
        <v>11</v>
      </c>
      <c r="AP14" s="75">
        <v>40</v>
      </c>
      <c r="AQ14" s="75">
        <v>40</v>
      </c>
      <c r="AR14" s="75"/>
      <c r="AS14" s="76"/>
      <c r="AT14" s="75"/>
      <c r="AU14" s="75">
        <v>40</v>
      </c>
      <c r="AV14" s="76"/>
    </row>
    <row r="15" spans="1:49" ht="15" customHeight="1" thickBot="1" x14ac:dyDescent="0.25">
      <c r="A15" s="28"/>
      <c r="B15" s="45"/>
      <c r="C15" s="196" t="s">
        <v>95</v>
      </c>
      <c r="D15" s="197">
        <v>57</v>
      </c>
      <c r="E15" s="11"/>
      <c r="F15" s="97"/>
      <c r="G15" s="97"/>
      <c r="H15" s="97"/>
      <c r="I15" s="64"/>
      <c r="J15" s="159" t="s">
        <v>96</v>
      </c>
      <c r="K15" s="178" t="b">
        <v>1</v>
      </c>
      <c r="L15" s="16"/>
      <c r="M15" s="198" t="s">
        <v>97</v>
      </c>
      <c r="N15" s="199">
        <f>SUM(AP9:AP13)</f>
        <v>15</v>
      </c>
      <c r="O15" s="181">
        <f t="shared" si="4"/>
        <v>14.563106796116504</v>
      </c>
      <c r="P15" s="17"/>
      <c r="Q15" s="200" t="s">
        <v>98</v>
      </c>
      <c r="R15" s="201">
        <f>AQ8</f>
        <v>16</v>
      </c>
      <c r="S15" s="35">
        <f t="shared" si="3"/>
        <v>16.326530612244898</v>
      </c>
      <c r="T15" s="17"/>
      <c r="U15" s="105"/>
      <c r="V15" s="202" t="s">
        <v>99</v>
      </c>
      <c r="W15" s="107"/>
      <c r="X15" s="108"/>
      <c r="Y15" s="109">
        <f t="shared" si="1"/>
        <v>0</v>
      </c>
      <c r="Z15" s="141"/>
      <c r="AA15" s="111">
        <f t="shared" si="2"/>
        <v>0</v>
      </c>
      <c r="AB15" s="154" t="s">
        <v>99</v>
      </c>
      <c r="AC15" s="131" t="s">
        <v>48</v>
      </c>
      <c r="AD15" s="17"/>
      <c r="AE15" s="17"/>
      <c r="AF15" s="27"/>
      <c r="AG15" s="194" t="s">
        <v>100</v>
      </c>
      <c r="AH15" s="203">
        <v>2</v>
      </c>
      <c r="AI15" s="17"/>
      <c r="AJ15" s="17"/>
      <c r="AK15" s="17"/>
      <c r="AL15" s="17"/>
      <c r="AM15" s="7"/>
      <c r="AN15" s="7"/>
      <c r="AO15" s="74">
        <v>12</v>
      </c>
      <c r="AP15" s="75">
        <v>19</v>
      </c>
      <c r="AQ15" s="75">
        <v>19</v>
      </c>
      <c r="AR15" s="75"/>
      <c r="AS15" s="76"/>
      <c r="AT15" s="75"/>
      <c r="AU15" s="75">
        <v>19</v>
      </c>
      <c r="AV15" s="76"/>
    </row>
    <row r="16" spans="1:49" ht="15" customHeight="1" thickBot="1" x14ac:dyDescent="0.25">
      <c r="A16" s="28"/>
      <c r="B16" s="45"/>
      <c r="C16" s="204" t="s">
        <v>101</v>
      </c>
      <c r="D16" s="205" t="s">
        <v>102</v>
      </c>
      <c r="E16" s="11"/>
      <c r="F16" s="97"/>
      <c r="G16" s="206"/>
      <c r="H16" s="122"/>
      <c r="I16" s="64"/>
      <c r="J16" s="159" t="s">
        <v>103</v>
      </c>
      <c r="K16" s="178" t="b">
        <v>1</v>
      </c>
      <c r="L16" s="16"/>
      <c r="M16" s="207" t="s">
        <v>104</v>
      </c>
      <c r="N16" s="208">
        <f>SUM(AP14:AP23)</f>
        <v>59</v>
      </c>
      <c r="O16" s="181">
        <f t="shared" si="4"/>
        <v>57.28155339805825</v>
      </c>
      <c r="P16" s="17"/>
      <c r="Q16" s="209" t="s">
        <v>105</v>
      </c>
      <c r="R16" s="210">
        <f>SUM(AQ9:AQ13)</f>
        <v>15</v>
      </c>
      <c r="S16" s="35">
        <f t="shared" si="3"/>
        <v>15.306122448979592</v>
      </c>
      <c r="T16" s="17"/>
      <c r="U16" s="105"/>
      <c r="V16" s="211" t="s">
        <v>106</v>
      </c>
      <c r="W16" s="107"/>
      <c r="X16" s="108"/>
      <c r="Y16" s="109">
        <f t="shared" si="1"/>
        <v>0</v>
      </c>
      <c r="Z16" s="141"/>
      <c r="AA16" s="111">
        <f t="shared" si="2"/>
        <v>0</v>
      </c>
      <c r="AB16" s="212" t="s">
        <v>106</v>
      </c>
      <c r="AC16" s="131" t="s">
        <v>57</v>
      </c>
      <c r="AD16" s="17"/>
      <c r="AE16" s="17"/>
      <c r="AF16" s="17"/>
      <c r="AG16" s="17"/>
      <c r="AH16" s="17"/>
      <c r="AI16" s="17"/>
      <c r="AJ16" s="17"/>
      <c r="AK16" s="17"/>
      <c r="AL16" s="17"/>
      <c r="AM16" s="7"/>
      <c r="AN16" s="7"/>
      <c r="AO16" s="74">
        <v>13</v>
      </c>
      <c r="AP16" s="75"/>
      <c r="AQ16" s="75"/>
      <c r="AR16" s="75"/>
      <c r="AS16" s="76"/>
      <c r="AT16" s="75"/>
      <c r="AU16" s="75"/>
      <c r="AV16" s="76"/>
    </row>
    <row r="17" spans="1:48" ht="15" customHeight="1" thickBot="1" x14ac:dyDescent="0.25">
      <c r="A17" s="28"/>
      <c r="B17" s="45"/>
      <c r="C17" s="204" t="s">
        <v>107</v>
      </c>
      <c r="D17" s="213" t="s">
        <v>108</v>
      </c>
      <c r="E17" s="214"/>
      <c r="F17" s="97"/>
      <c r="G17" s="12"/>
      <c r="H17" s="122"/>
      <c r="I17" s="64"/>
      <c r="J17" s="159" t="s">
        <v>109</v>
      </c>
      <c r="K17" s="178" t="s">
        <v>110</v>
      </c>
      <c r="L17" s="16"/>
      <c r="M17" s="215" t="s">
        <v>111</v>
      </c>
      <c r="N17" s="216">
        <f>SUM(AP24:AP33)</f>
        <v>0</v>
      </c>
      <c r="O17" s="181">
        <f t="shared" si="4"/>
        <v>0</v>
      </c>
      <c r="P17" s="17"/>
      <c r="Q17" s="217" t="s">
        <v>112</v>
      </c>
      <c r="R17" s="218">
        <f>SUM(AQ14:AQ23)</f>
        <v>59</v>
      </c>
      <c r="S17" s="35">
        <f t="shared" si="3"/>
        <v>60.204081632653065</v>
      </c>
      <c r="T17" s="17"/>
      <c r="U17" s="219"/>
      <c r="V17" s="220" t="s">
        <v>113</v>
      </c>
      <c r="W17" s="221"/>
      <c r="X17" s="222"/>
      <c r="Y17" s="223">
        <f t="shared" si="1"/>
        <v>0</v>
      </c>
      <c r="Z17" s="224"/>
      <c r="AA17" s="225">
        <f t="shared" si="2"/>
        <v>0</v>
      </c>
      <c r="AB17" s="226" t="s">
        <v>113</v>
      </c>
      <c r="AC17" s="227" t="s">
        <v>66</v>
      </c>
      <c r="AD17" s="17"/>
      <c r="AE17" s="17"/>
      <c r="AF17" s="17"/>
      <c r="AG17" s="17"/>
      <c r="AH17" s="17"/>
      <c r="AI17" s="17"/>
      <c r="AJ17" s="17"/>
      <c r="AK17" s="17"/>
      <c r="AL17" s="17"/>
      <c r="AM17" s="7"/>
      <c r="AN17" s="7"/>
      <c r="AO17" s="74">
        <v>14</v>
      </c>
      <c r="AP17" s="75"/>
      <c r="AQ17" s="75"/>
      <c r="AR17" s="75"/>
      <c r="AS17" s="76"/>
      <c r="AT17" s="75"/>
      <c r="AU17" s="75"/>
      <c r="AV17" s="76"/>
    </row>
    <row r="18" spans="1:48" ht="15" customHeight="1" thickBot="1" x14ac:dyDescent="0.25">
      <c r="A18" s="28"/>
      <c r="B18" s="45"/>
      <c r="C18" s="228" t="s">
        <v>114</v>
      </c>
      <c r="D18" s="229">
        <v>6</v>
      </c>
      <c r="E18" s="214"/>
      <c r="F18" s="97"/>
      <c r="G18" s="97"/>
      <c r="H18" s="122"/>
      <c r="I18" s="64"/>
      <c r="J18" s="159" t="s">
        <v>115</v>
      </c>
      <c r="K18" s="160">
        <v>10</v>
      </c>
      <c r="L18" s="16"/>
      <c r="M18" s="230" t="s">
        <v>116</v>
      </c>
      <c r="N18" s="231">
        <f>SUM(AP34:AP102)</f>
        <v>0</v>
      </c>
      <c r="O18" s="232">
        <f t="shared" si="4"/>
        <v>0</v>
      </c>
      <c r="P18" s="10"/>
      <c r="Q18" s="233" t="s">
        <v>117</v>
      </c>
      <c r="R18" s="234">
        <f>SUM(AQ24:AQ102)</f>
        <v>0</v>
      </c>
      <c r="S18" s="235">
        <f t="shared" si="3"/>
        <v>0</v>
      </c>
      <c r="T18" s="17"/>
      <c r="U18" s="16"/>
      <c r="V18" s="236" t="s">
        <v>118</v>
      </c>
      <c r="W18" s="237"/>
      <c r="X18" s="238"/>
      <c r="Y18" s="239">
        <f>IFERROR(KI_Undetermined_Reads/TotalReads*100,0)</f>
        <v>0</v>
      </c>
      <c r="Z18" s="240"/>
      <c r="AA18" s="240"/>
      <c r="AB18" s="241"/>
      <c r="AC18" s="242"/>
      <c r="AD18" s="17"/>
      <c r="AE18" s="17"/>
      <c r="AF18" s="17"/>
      <c r="AG18" s="17"/>
      <c r="AH18" s="17"/>
      <c r="AI18" s="17"/>
      <c r="AJ18" s="17"/>
      <c r="AK18" s="17"/>
      <c r="AL18" s="17"/>
      <c r="AM18" s="7"/>
      <c r="AN18" s="7"/>
      <c r="AO18" s="74">
        <v>15</v>
      </c>
      <c r="AP18" s="75"/>
      <c r="AQ18" s="75"/>
      <c r="AR18" s="75"/>
      <c r="AS18" s="76"/>
      <c r="AT18" s="75"/>
      <c r="AU18" s="75"/>
      <c r="AV18" s="76"/>
    </row>
    <row r="19" spans="1:48" ht="15" customHeight="1" x14ac:dyDescent="0.2">
      <c r="A19" s="28"/>
      <c r="B19" s="45"/>
      <c r="C19" s="243"/>
      <c r="E19" s="214"/>
      <c r="F19" s="97"/>
      <c r="G19" s="98"/>
      <c r="H19" s="99"/>
      <c r="I19" s="16"/>
      <c r="J19" s="16"/>
      <c r="K19" s="16"/>
      <c r="L19" s="16"/>
      <c r="M19" s="16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245"/>
      <c r="AN19" s="245"/>
      <c r="AO19" s="74">
        <v>16</v>
      </c>
      <c r="AP19" s="75"/>
      <c r="AQ19" s="75"/>
      <c r="AR19" s="75"/>
      <c r="AS19" s="76"/>
      <c r="AT19" s="75"/>
      <c r="AU19" s="75"/>
      <c r="AV19" s="76"/>
    </row>
    <row r="20" spans="1:48" ht="15" customHeight="1" x14ac:dyDescent="0.2">
      <c r="A20" s="28"/>
      <c r="B20" s="45"/>
      <c r="C20" s="214"/>
      <c r="D20" s="97"/>
      <c r="E20" s="214"/>
      <c r="F20" s="97"/>
      <c r="G20" s="98"/>
      <c r="H20" s="99"/>
      <c r="I20" s="16"/>
      <c r="J20" s="16"/>
      <c r="K20" s="16"/>
      <c r="L20" s="16"/>
      <c r="M20" s="16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27"/>
      <c r="AE20" s="17"/>
      <c r="AF20" s="17"/>
      <c r="AG20" s="17"/>
      <c r="AH20" s="17"/>
      <c r="AI20" s="245"/>
      <c r="AJ20" s="245"/>
      <c r="AK20" s="245"/>
      <c r="AL20" s="245"/>
      <c r="AM20" s="245"/>
      <c r="AN20" s="245"/>
      <c r="AO20" s="74">
        <v>17</v>
      </c>
      <c r="AP20" s="75"/>
      <c r="AQ20" s="75"/>
      <c r="AR20" s="75"/>
      <c r="AS20" s="76"/>
      <c r="AT20" s="75"/>
      <c r="AU20" s="75"/>
      <c r="AV20" s="76"/>
    </row>
    <row r="21" spans="1:48" ht="15" customHeight="1" thickBot="1" x14ac:dyDescent="0.25">
      <c r="A21" s="28"/>
      <c r="B21" s="45"/>
      <c r="C21" s="214"/>
      <c r="D21" s="47"/>
      <c r="E21" s="246"/>
      <c r="F21" s="47"/>
      <c r="G21" s="45"/>
      <c r="H21" s="6"/>
      <c r="I21" s="7"/>
      <c r="J21" s="16"/>
      <c r="K21" s="16"/>
      <c r="L21" s="247"/>
      <c r="M21" s="16"/>
      <c r="N21" s="17"/>
      <c r="O21" s="17"/>
      <c r="P21" s="17"/>
      <c r="Q21" s="17"/>
      <c r="R21" s="17"/>
      <c r="S21" s="17"/>
      <c r="T21" s="17"/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17"/>
      <c r="AF21" s="17"/>
      <c r="AG21" s="17"/>
      <c r="AH21" s="17"/>
      <c r="AI21" s="7"/>
      <c r="AJ21" s="7"/>
      <c r="AK21" s="7"/>
      <c r="AL21" s="7"/>
      <c r="AM21" s="7"/>
      <c r="AN21" s="7"/>
      <c r="AO21" s="74">
        <v>18</v>
      </c>
      <c r="AP21" s="75"/>
      <c r="AQ21" s="75"/>
      <c r="AR21" s="75"/>
      <c r="AS21" s="76"/>
      <c r="AT21" s="75"/>
      <c r="AU21" s="75"/>
      <c r="AV21" s="76"/>
    </row>
    <row r="22" spans="1:48" ht="15" customHeight="1" thickBot="1" x14ac:dyDescent="0.25">
      <c r="B22" s="248" t="s">
        <v>119</v>
      </c>
      <c r="C22" s="249" t="s">
        <v>120</v>
      </c>
      <c r="D22" s="250" t="s">
        <v>34</v>
      </c>
      <c r="E22" s="251" t="s">
        <v>9</v>
      </c>
      <c r="F22" s="252" t="s">
        <v>121</v>
      </c>
      <c r="G22" s="253" t="s">
        <v>122</v>
      </c>
      <c r="H22" s="250" t="s">
        <v>123</v>
      </c>
      <c r="I22" s="254" t="s">
        <v>5</v>
      </c>
      <c r="J22" s="255" t="s">
        <v>51</v>
      </c>
      <c r="K22" s="256" t="s">
        <v>124</v>
      </c>
      <c r="L22" s="257"/>
      <c r="Q22" s="259"/>
      <c r="AI22" s="8"/>
      <c r="AJ22" s="8"/>
      <c r="AK22" s="8"/>
      <c r="AL22" s="8"/>
      <c r="AM22" s="8"/>
      <c r="AN22" s="8"/>
      <c r="AO22" s="74">
        <v>19</v>
      </c>
      <c r="AP22" s="75"/>
      <c r="AQ22" s="75"/>
      <c r="AR22" s="75"/>
      <c r="AS22" s="76"/>
      <c r="AT22" s="75"/>
      <c r="AU22" s="75"/>
      <c r="AV22" s="76"/>
    </row>
    <row r="23" spans="1:48" ht="15" customHeight="1" x14ac:dyDescent="0.25">
      <c r="B23" s="260">
        <v>2</v>
      </c>
      <c r="C23" s="261">
        <v>50</v>
      </c>
      <c r="D23" s="262" t="s">
        <v>11</v>
      </c>
      <c r="E23" s="263">
        <v>11</v>
      </c>
      <c r="F23" s="264" t="s">
        <v>125</v>
      </c>
      <c r="G23" s="264" t="s">
        <v>126</v>
      </c>
      <c r="H23" s="265">
        <v>40</v>
      </c>
      <c r="I23" s="266" t="s">
        <v>127</v>
      </c>
      <c r="K23" s="268" t="s">
        <v>128</v>
      </c>
      <c r="M23" s="269"/>
      <c r="N23" s="270"/>
      <c r="O23" s="270"/>
      <c r="P23" s="270"/>
      <c r="R23" s="272"/>
      <c r="S23" s="272"/>
      <c r="T23" s="272"/>
      <c r="U23" s="272"/>
      <c r="V23" s="272"/>
      <c r="W23" s="272"/>
      <c r="X23" s="272"/>
      <c r="Y23" s="272"/>
      <c r="Z23" s="258"/>
      <c r="AA23" s="258"/>
      <c r="AB23" s="258"/>
      <c r="AC23" s="258"/>
      <c r="AD23" s="258"/>
      <c r="AI23" s="258"/>
      <c r="AM23" s="258"/>
      <c r="AN23" s="258"/>
      <c r="AO23" s="74">
        <v>20</v>
      </c>
      <c r="AP23" s="75"/>
      <c r="AQ23" s="75"/>
      <c r="AR23" s="75"/>
      <c r="AS23" s="76"/>
      <c r="AT23" s="75"/>
      <c r="AU23" s="75"/>
      <c r="AV23" s="76"/>
    </row>
    <row r="24" spans="1:48" ht="15" customHeight="1" x14ac:dyDescent="0.25">
      <c r="B24" s="260">
        <v>3</v>
      </c>
      <c r="C24" s="261">
        <v>57</v>
      </c>
      <c r="D24" s="262" t="s">
        <v>11</v>
      </c>
      <c r="E24" s="263">
        <v>12</v>
      </c>
      <c r="F24" s="264" t="s">
        <v>129</v>
      </c>
      <c r="G24" s="264" t="s">
        <v>126</v>
      </c>
      <c r="H24" s="265">
        <v>19</v>
      </c>
      <c r="I24" s="266" t="s">
        <v>127</v>
      </c>
      <c r="K24" s="268" t="s">
        <v>130</v>
      </c>
      <c r="L24" s="273"/>
      <c r="M24" s="274"/>
      <c r="N24" s="270"/>
      <c r="O24" s="270"/>
      <c r="P24" s="270"/>
      <c r="Q24" s="275"/>
      <c r="R24" s="272"/>
      <c r="S24" s="272"/>
      <c r="T24" s="272"/>
      <c r="U24" s="272"/>
      <c r="V24" s="272"/>
      <c r="W24" s="272"/>
      <c r="X24" s="272"/>
      <c r="Y24" s="272"/>
      <c r="Z24" s="258"/>
      <c r="AA24" s="258"/>
      <c r="AB24" s="258"/>
      <c r="AC24" s="258"/>
      <c r="AD24" s="258"/>
      <c r="AI24" s="258"/>
      <c r="AM24" s="258"/>
      <c r="AN24" s="258"/>
      <c r="AO24" s="74">
        <v>21</v>
      </c>
      <c r="AP24" s="75"/>
      <c r="AQ24" s="75"/>
      <c r="AR24" s="75"/>
      <c r="AS24" s="76"/>
      <c r="AT24" s="75"/>
      <c r="AU24" s="75"/>
      <c r="AV24" s="76"/>
    </row>
    <row r="25" spans="1:48" ht="15" customHeight="1" x14ac:dyDescent="0.25">
      <c r="B25" s="260">
        <v>4</v>
      </c>
      <c r="C25" s="261">
        <v>54</v>
      </c>
      <c r="D25" s="262" t="s">
        <v>11</v>
      </c>
      <c r="E25" s="263">
        <v>5</v>
      </c>
      <c r="F25" s="264" t="s">
        <v>131</v>
      </c>
      <c r="G25" s="264" t="s">
        <v>126</v>
      </c>
      <c r="H25" s="265">
        <v>16</v>
      </c>
      <c r="I25" s="266" t="s">
        <v>132</v>
      </c>
      <c r="K25" s="268" t="s">
        <v>133</v>
      </c>
      <c r="L25" s="273"/>
      <c r="M25" s="274"/>
      <c r="N25" s="258"/>
      <c r="O25" s="258"/>
      <c r="P25" s="258"/>
      <c r="Q25" s="276"/>
      <c r="R25" s="272"/>
      <c r="S25" s="272"/>
      <c r="T25" s="272"/>
      <c r="U25" s="272"/>
      <c r="V25" s="272"/>
      <c r="W25" s="272"/>
      <c r="X25" s="272"/>
      <c r="Y25" s="272"/>
      <c r="Z25" s="258"/>
      <c r="AA25" s="258"/>
      <c r="AB25" s="258"/>
      <c r="AC25" s="258"/>
      <c r="AD25" s="258"/>
      <c r="AI25" s="258"/>
      <c r="AM25" s="258"/>
      <c r="AN25" s="258"/>
      <c r="AO25" s="74">
        <v>22</v>
      </c>
      <c r="AP25" s="75"/>
      <c r="AQ25" s="75"/>
      <c r="AR25" s="75"/>
      <c r="AS25" s="76"/>
      <c r="AT25" s="75"/>
      <c r="AU25" s="75"/>
      <c r="AV25" s="76"/>
    </row>
    <row r="26" spans="1:48" ht="15" customHeight="1" x14ac:dyDescent="0.25">
      <c r="B26" s="260">
        <v>5</v>
      </c>
      <c r="C26" s="261">
        <v>53</v>
      </c>
      <c r="D26" s="262" t="s">
        <v>11</v>
      </c>
      <c r="E26" s="263">
        <v>10</v>
      </c>
      <c r="F26" s="264" t="s">
        <v>134</v>
      </c>
      <c r="G26" s="264" t="s">
        <v>126</v>
      </c>
      <c r="H26" s="265">
        <v>15</v>
      </c>
      <c r="I26" s="266" t="s">
        <v>132</v>
      </c>
      <c r="K26" s="268" t="s">
        <v>135</v>
      </c>
      <c r="L26" s="273"/>
      <c r="M26" s="274"/>
      <c r="N26" s="258"/>
      <c r="O26" s="258"/>
      <c r="P26" s="258"/>
      <c r="Q26" s="276"/>
      <c r="R26" s="272"/>
      <c r="S26" s="272"/>
      <c r="T26" s="272"/>
      <c r="U26" s="272"/>
      <c r="V26" s="272"/>
      <c r="W26" s="272"/>
      <c r="X26" s="272"/>
      <c r="Y26" s="272"/>
      <c r="Z26" s="258"/>
      <c r="AA26" s="258"/>
      <c r="AB26" s="258"/>
      <c r="AC26" s="258"/>
      <c r="AD26" s="258"/>
      <c r="AI26" s="270"/>
      <c r="AM26" s="270"/>
      <c r="AO26" s="74">
        <v>23</v>
      </c>
      <c r="AP26" s="75"/>
      <c r="AQ26" s="75"/>
      <c r="AR26" s="75"/>
      <c r="AS26" s="76"/>
      <c r="AT26" s="75"/>
      <c r="AU26" s="75"/>
      <c r="AV26" s="76"/>
    </row>
    <row r="27" spans="1:48" ht="15" customHeight="1" x14ac:dyDescent="0.25">
      <c r="B27" s="260">
        <v>6</v>
      </c>
      <c r="C27" s="261">
        <v>55</v>
      </c>
      <c r="D27" s="262" t="s">
        <v>11</v>
      </c>
      <c r="E27" s="263">
        <v>2</v>
      </c>
      <c r="F27" s="264" t="s">
        <v>136</v>
      </c>
      <c r="G27" s="264" t="s">
        <v>126</v>
      </c>
      <c r="H27" s="265">
        <v>8</v>
      </c>
      <c r="I27" s="266" t="s">
        <v>137</v>
      </c>
      <c r="K27" s="268" t="s">
        <v>138</v>
      </c>
      <c r="L27" s="273"/>
      <c r="M27" s="277"/>
      <c r="N27" s="258"/>
      <c r="O27" s="258"/>
      <c r="P27" s="258"/>
      <c r="Q27" s="276"/>
      <c r="R27" s="272"/>
      <c r="S27" s="272"/>
      <c r="T27" s="272"/>
      <c r="U27" s="272"/>
      <c r="V27" s="272"/>
      <c r="W27" s="272"/>
      <c r="X27" s="272"/>
      <c r="Y27" s="272"/>
      <c r="Z27" s="258"/>
      <c r="AA27" s="258"/>
      <c r="AB27" s="258"/>
      <c r="AC27" s="258"/>
      <c r="AD27" s="258"/>
      <c r="AI27" s="270"/>
      <c r="AM27" s="270"/>
      <c r="AO27" s="74">
        <v>24</v>
      </c>
      <c r="AP27" s="75"/>
      <c r="AQ27" s="75"/>
      <c r="AR27" s="75"/>
      <c r="AS27" s="76"/>
      <c r="AT27" s="75"/>
      <c r="AU27" s="75"/>
      <c r="AV27" s="76"/>
    </row>
    <row r="28" spans="1:48" ht="15" customHeight="1" x14ac:dyDescent="0.25">
      <c r="B28" s="260">
        <v>7</v>
      </c>
      <c r="C28" s="261">
        <v>57</v>
      </c>
      <c r="D28" s="262" t="s">
        <v>12</v>
      </c>
      <c r="E28" s="263">
        <v>1</v>
      </c>
      <c r="F28" s="264" t="s">
        <v>126</v>
      </c>
      <c r="G28" s="264" t="s">
        <v>139</v>
      </c>
      <c r="H28" s="265">
        <v>5</v>
      </c>
      <c r="I28" s="266" t="s">
        <v>140</v>
      </c>
      <c r="J28" s="267" t="s">
        <v>141</v>
      </c>
      <c r="K28" s="268" t="s">
        <v>142</v>
      </c>
      <c r="L28" s="278"/>
      <c r="M28" s="274"/>
      <c r="N28" s="258"/>
      <c r="O28" s="258"/>
      <c r="P28" s="258"/>
      <c r="Q28" s="276"/>
      <c r="R28" s="272"/>
      <c r="S28" s="272"/>
      <c r="T28" s="272"/>
      <c r="U28" s="272"/>
      <c r="V28" s="272"/>
      <c r="W28" s="272"/>
      <c r="X28" s="272"/>
      <c r="Y28" s="272"/>
      <c r="Z28" s="258"/>
      <c r="AA28" s="258"/>
      <c r="AB28" s="258"/>
      <c r="AC28" s="258"/>
      <c r="AD28" s="258"/>
      <c r="AI28" s="270"/>
      <c r="AM28" s="270"/>
      <c r="AO28" s="74">
        <v>25</v>
      </c>
      <c r="AP28" s="75"/>
      <c r="AQ28" s="75"/>
      <c r="AR28" s="75"/>
      <c r="AS28" s="76"/>
      <c r="AT28" s="75"/>
      <c r="AU28" s="75"/>
      <c r="AV28" s="76"/>
    </row>
    <row r="29" spans="1:48" ht="15" customHeight="1" x14ac:dyDescent="0.25">
      <c r="B29" s="260"/>
      <c r="D29" s="262"/>
      <c r="F29" s="264"/>
      <c r="G29" s="264"/>
      <c r="H29" s="265"/>
      <c r="I29" s="266"/>
      <c r="K29" s="268"/>
      <c r="L29" s="278"/>
      <c r="M29" s="274"/>
      <c r="N29" s="258"/>
      <c r="O29" s="258"/>
      <c r="P29" s="258"/>
      <c r="Q29" s="276"/>
      <c r="R29" s="272"/>
      <c r="S29" s="272"/>
      <c r="T29" s="272"/>
      <c r="U29" s="272"/>
      <c r="V29" s="272"/>
      <c r="W29" s="272"/>
      <c r="X29" s="272"/>
      <c r="Y29" s="272"/>
      <c r="Z29" s="258"/>
      <c r="AA29" s="258"/>
      <c r="AB29" s="258"/>
      <c r="AC29" s="258"/>
      <c r="AD29" s="258"/>
      <c r="AO29" s="74">
        <v>26</v>
      </c>
      <c r="AP29" s="75"/>
      <c r="AQ29" s="75"/>
      <c r="AR29" s="75"/>
      <c r="AS29" s="76"/>
      <c r="AT29" s="75"/>
      <c r="AU29" s="75"/>
      <c r="AV29" s="76"/>
    </row>
    <row r="30" spans="1:48" ht="15" customHeight="1" x14ac:dyDescent="0.25">
      <c r="B30" s="260"/>
      <c r="D30" s="262"/>
      <c r="F30" s="264"/>
      <c r="G30" s="264"/>
      <c r="H30" s="265"/>
      <c r="I30" s="266"/>
      <c r="K30" s="268"/>
      <c r="L30" s="278"/>
      <c r="M30" s="274" t="s">
        <v>143</v>
      </c>
      <c r="N30" s="258"/>
      <c r="O30" s="258"/>
      <c r="P30" s="258"/>
      <c r="Q30" s="276"/>
      <c r="R30" s="272"/>
      <c r="S30" s="272"/>
      <c r="T30" s="272"/>
      <c r="U30" s="272"/>
      <c r="V30" s="272"/>
      <c r="W30" s="272"/>
      <c r="X30" s="272"/>
      <c r="Y30" s="272"/>
      <c r="Z30" s="258"/>
      <c r="AA30" s="258"/>
      <c r="AB30" s="258"/>
      <c r="AC30" s="258"/>
      <c r="AD30" s="258"/>
      <c r="AO30" s="74">
        <v>27</v>
      </c>
      <c r="AP30" s="75"/>
      <c r="AQ30" s="75"/>
      <c r="AR30" s="75"/>
      <c r="AS30" s="76"/>
      <c r="AT30" s="75"/>
      <c r="AU30" s="75"/>
      <c r="AV30" s="76"/>
    </row>
    <row r="31" spans="1:48" ht="15" customHeight="1" x14ac:dyDescent="0.25">
      <c r="B31" s="260"/>
      <c r="D31" s="262"/>
      <c r="F31" s="264"/>
      <c r="G31" s="264"/>
      <c r="H31" s="265"/>
      <c r="I31" s="266"/>
      <c r="K31" s="268"/>
      <c r="L31" s="278"/>
      <c r="M31" s="274" t="s">
        <v>144</v>
      </c>
      <c r="N31" s="258"/>
      <c r="O31" s="258"/>
      <c r="P31" s="258"/>
      <c r="Q31" s="276"/>
      <c r="R31" s="272"/>
      <c r="S31" s="272"/>
      <c r="T31" s="272"/>
      <c r="U31" s="272"/>
      <c r="V31" s="272"/>
      <c r="W31" s="272"/>
      <c r="X31" s="272"/>
      <c r="Y31" s="272"/>
      <c r="Z31" s="258"/>
      <c r="AA31" s="258"/>
      <c r="AB31" s="258"/>
      <c r="AC31" s="258"/>
      <c r="AD31" s="258"/>
      <c r="AO31" s="74">
        <v>28</v>
      </c>
      <c r="AP31" s="75"/>
      <c r="AQ31" s="75"/>
      <c r="AR31" s="75"/>
      <c r="AS31" s="76"/>
      <c r="AT31" s="75"/>
      <c r="AU31" s="75"/>
      <c r="AV31" s="76"/>
    </row>
    <row r="32" spans="1:48" ht="15" customHeight="1" x14ac:dyDescent="0.25">
      <c r="B32" s="260"/>
      <c r="D32" s="262"/>
      <c r="F32" s="264"/>
      <c r="G32" s="264"/>
      <c r="H32" s="265"/>
      <c r="I32" s="266"/>
      <c r="K32" s="268"/>
      <c r="L32" s="278"/>
      <c r="M32" s="274" t="s">
        <v>145</v>
      </c>
      <c r="N32" s="258"/>
      <c r="O32" s="258"/>
      <c r="P32" s="258"/>
      <c r="Q32" s="276"/>
      <c r="R32" s="272"/>
      <c r="S32" s="272"/>
      <c r="T32" s="272"/>
      <c r="U32" s="272"/>
      <c r="V32" s="272"/>
      <c r="W32" s="272"/>
      <c r="X32" s="272"/>
      <c r="Y32" s="272"/>
      <c r="Z32" s="258"/>
      <c r="AA32" s="258"/>
      <c r="AB32" s="258"/>
      <c r="AC32" s="258"/>
      <c r="AD32" s="258"/>
      <c r="AO32" s="74">
        <v>29</v>
      </c>
      <c r="AP32" s="75"/>
      <c r="AQ32" s="75"/>
      <c r="AR32" s="75"/>
      <c r="AS32" s="76"/>
      <c r="AT32" s="75"/>
      <c r="AU32" s="75"/>
      <c r="AV32" s="76"/>
    </row>
    <row r="33" spans="2:48" ht="15" customHeight="1" x14ac:dyDescent="0.25">
      <c r="B33" s="260"/>
      <c r="D33" s="262"/>
      <c r="F33" s="264"/>
      <c r="G33" s="264"/>
      <c r="H33" s="265"/>
      <c r="I33" s="266"/>
      <c r="K33" s="268"/>
      <c r="L33" s="278"/>
      <c r="M33" s="274" t="s">
        <v>146</v>
      </c>
      <c r="N33" s="258"/>
      <c r="O33" s="258"/>
      <c r="P33" s="258"/>
      <c r="Q33" s="276"/>
      <c r="W33" s="272"/>
      <c r="X33" s="272"/>
      <c r="Y33" s="272"/>
      <c r="Z33" s="258"/>
      <c r="AA33" s="258"/>
      <c r="AB33" s="258"/>
      <c r="AC33" s="258"/>
      <c r="AD33" s="258"/>
      <c r="AO33" s="74">
        <v>30</v>
      </c>
      <c r="AP33" s="75"/>
      <c r="AQ33" s="75"/>
      <c r="AR33" s="75"/>
      <c r="AS33" s="76"/>
      <c r="AT33" s="75"/>
      <c r="AU33" s="75"/>
      <c r="AV33" s="76"/>
    </row>
    <row r="34" spans="2:48" ht="15" customHeight="1" x14ac:dyDescent="0.25">
      <c r="B34" s="260"/>
      <c r="D34" s="262"/>
      <c r="F34" s="264"/>
      <c r="G34" s="264"/>
      <c r="H34" s="265"/>
      <c r="I34" s="266"/>
      <c r="K34" s="268"/>
      <c r="L34" s="278"/>
      <c r="M34" s="274" t="s">
        <v>147</v>
      </c>
      <c r="N34" s="258"/>
      <c r="O34" s="258"/>
      <c r="P34" s="258"/>
      <c r="Q34" s="276"/>
      <c r="W34" s="272"/>
      <c r="X34" s="272"/>
      <c r="Y34" s="272"/>
      <c r="Z34" s="258"/>
      <c r="AA34" s="258"/>
      <c r="AB34" s="258"/>
      <c r="AC34" s="258"/>
      <c r="AD34" s="258"/>
      <c r="AO34" s="74">
        <v>31</v>
      </c>
      <c r="AP34" s="75"/>
      <c r="AQ34" s="75"/>
      <c r="AR34" s="75"/>
      <c r="AS34" s="76"/>
      <c r="AT34" s="75"/>
      <c r="AU34" s="75"/>
      <c r="AV34" s="76"/>
    </row>
    <row r="35" spans="2:48" ht="15" customHeight="1" x14ac:dyDescent="0.25">
      <c r="B35" s="260"/>
      <c r="D35" s="262"/>
      <c r="F35" s="264"/>
      <c r="G35" s="264"/>
      <c r="H35" s="265"/>
      <c r="I35" s="266"/>
      <c r="K35" s="268"/>
      <c r="L35" s="278"/>
      <c r="M35" s="274" t="s">
        <v>148</v>
      </c>
      <c r="N35" s="258"/>
      <c r="O35" s="258"/>
      <c r="P35" s="258"/>
      <c r="Q35" s="276"/>
      <c r="W35" s="272"/>
      <c r="X35" s="272"/>
      <c r="Y35" s="272"/>
      <c r="Z35" s="258"/>
      <c r="AA35" s="258"/>
      <c r="AB35" s="258"/>
      <c r="AC35" s="258"/>
      <c r="AD35" s="258"/>
      <c r="AO35" s="74">
        <v>32</v>
      </c>
      <c r="AP35" s="75"/>
      <c r="AQ35" s="75"/>
      <c r="AR35" s="75"/>
      <c r="AS35" s="76"/>
      <c r="AT35" s="75"/>
      <c r="AU35" s="75"/>
      <c r="AV35" s="76"/>
    </row>
    <row r="36" spans="2:48" ht="15" customHeight="1" x14ac:dyDescent="0.25">
      <c r="B36" s="260"/>
      <c r="D36" s="262"/>
      <c r="F36" s="264"/>
      <c r="G36" s="264"/>
      <c r="H36" s="265"/>
      <c r="I36" s="266"/>
      <c r="K36" s="268"/>
      <c r="L36" s="273"/>
      <c r="M36" s="274" t="s">
        <v>149</v>
      </c>
      <c r="N36" s="270"/>
      <c r="O36" s="270"/>
      <c r="P36" s="270"/>
      <c r="Q36" s="275"/>
      <c r="R36" s="272"/>
      <c r="S36" s="272"/>
      <c r="T36" s="272"/>
      <c r="U36" s="272"/>
      <c r="V36" s="272"/>
      <c r="W36" s="272"/>
      <c r="X36" s="272"/>
      <c r="Y36" s="272"/>
      <c r="Z36" s="258"/>
      <c r="AA36" s="258"/>
      <c r="AB36" s="258"/>
      <c r="AC36" s="258"/>
      <c r="AD36" s="258"/>
      <c r="AI36" s="258"/>
      <c r="AM36" s="258"/>
      <c r="AN36" s="258"/>
      <c r="AO36" s="74">
        <v>33</v>
      </c>
      <c r="AP36" s="75"/>
      <c r="AQ36" s="75"/>
      <c r="AR36" s="75"/>
      <c r="AS36" s="76"/>
      <c r="AT36" s="75"/>
      <c r="AU36" s="75"/>
      <c r="AV36" s="76"/>
    </row>
    <row r="37" spans="2:48" ht="15" customHeight="1" x14ac:dyDescent="0.25">
      <c r="B37" s="260"/>
      <c r="D37" s="262"/>
      <c r="F37" s="264"/>
      <c r="G37" s="264"/>
      <c r="H37" s="265"/>
      <c r="I37" s="266"/>
      <c r="K37" s="268"/>
      <c r="L37" s="273"/>
      <c r="M37" s="274" t="s">
        <v>150</v>
      </c>
      <c r="N37" s="258"/>
      <c r="O37" s="258"/>
      <c r="P37" s="258"/>
      <c r="Q37" s="276"/>
      <c r="R37" s="272"/>
      <c r="S37" s="272"/>
      <c r="T37" s="272"/>
      <c r="U37" s="272"/>
      <c r="V37" s="272"/>
      <c r="W37" s="272"/>
      <c r="X37" s="272"/>
      <c r="Y37" s="272"/>
      <c r="Z37" s="258"/>
      <c r="AA37" s="258"/>
      <c r="AB37" s="258"/>
      <c r="AC37" s="258"/>
      <c r="AD37" s="258"/>
      <c r="AI37" s="258"/>
      <c r="AM37" s="258"/>
      <c r="AN37" s="258"/>
      <c r="AO37" s="74">
        <v>34</v>
      </c>
      <c r="AP37" s="75"/>
      <c r="AQ37" s="75"/>
      <c r="AR37" s="75"/>
      <c r="AS37" s="76"/>
      <c r="AT37" s="75"/>
      <c r="AU37" s="75"/>
      <c r="AV37" s="76"/>
    </row>
    <row r="38" spans="2:48" ht="15" customHeight="1" x14ac:dyDescent="0.25">
      <c r="B38" s="260"/>
      <c r="D38" s="262"/>
      <c r="F38" s="264"/>
      <c r="G38" s="264"/>
      <c r="H38" s="265"/>
      <c r="I38" s="266"/>
      <c r="K38" s="268"/>
      <c r="L38" s="273"/>
      <c r="M38" s="274" t="s">
        <v>151</v>
      </c>
      <c r="N38" s="258"/>
      <c r="O38" s="258"/>
      <c r="P38" s="258"/>
      <c r="Q38" s="276"/>
      <c r="R38" s="272"/>
      <c r="S38" s="272"/>
      <c r="T38" s="272"/>
      <c r="U38" s="272"/>
      <c r="V38" s="272"/>
      <c r="W38" s="272"/>
      <c r="X38" s="272"/>
      <c r="Y38" s="272"/>
      <c r="Z38" s="258"/>
      <c r="AA38" s="258"/>
      <c r="AB38" s="258"/>
      <c r="AC38" s="258"/>
      <c r="AD38" s="258"/>
      <c r="AI38" s="270"/>
      <c r="AM38" s="270"/>
      <c r="AO38" s="74">
        <v>35</v>
      </c>
      <c r="AP38" s="75"/>
      <c r="AQ38" s="75"/>
      <c r="AR38" s="75"/>
      <c r="AS38" s="76"/>
      <c r="AT38" s="75"/>
      <c r="AU38" s="75"/>
      <c r="AV38" s="76"/>
    </row>
    <row r="39" spans="2:48" ht="15" customHeight="1" x14ac:dyDescent="0.25">
      <c r="B39" s="260"/>
      <c r="D39" s="262"/>
      <c r="F39" s="264"/>
      <c r="G39" s="264"/>
      <c r="H39" s="265"/>
      <c r="I39" s="266"/>
      <c r="K39" s="268"/>
      <c r="L39" s="273"/>
      <c r="M39" s="277" t="s">
        <v>152</v>
      </c>
      <c r="N39" s="258"/>
      <c r="O39" s="258"/>
      <c r="P39" s="258"/>
      <c r="Q39" s="276"/>
      <c r="R39" s="272"/>
      <c r="S39" s="272"/>
      <c r="T39" s="272"/>
      <c r="U39" s="272"/>
      <c r="V39" s="272"/>
      <c r="W39" s="272"/>
      <c r="X39" s="272"/>
      <c r="Y39" s="272"/>
      <c r="Z39" s="258"/>
      <c r="AA39" s="258"/>
      <c r="AB39" s="258"/>
      <c r="AC39" s="258"/>
      <c r="AD39" s="258"/>
      <c r="AI39" s="270"/>
      <c r="AM39" s="270"/>
      <c r="AO39" s="74">
        <v>36</v>
      </c>
      <c r="AP39" s="75"/>
      <c r="AQ39" s="75"/>
      <c r="AR39" s="75"/>
      <c r="AS39" s="76"/>
      <c r="AT39" s="75"/>
      <c r="AU39" s="75"/>
      <c r="AV39" s="76"/>
    </row>
    <row r="40" spans="2:48" ht="15" customHeight="1" x14ac:dyDescent="0.25">
      <c r="B40" s="260"/>
      <c r="D40" s="262"/>
      <c r="F40" s="264"/>
      <c r="G40" s="264"/>
      <c r="H40" s="265"/>
      <c r="I40" s="266"/>
      <c r="K40" s="268"/>
      <c r="L40" s="278"/>
      <c r="M40" s="274" t="s">
        <v>153</v>
      </c>
      <c r="N40" s="258"/>
      <c r="O40" s="258"/>
      <c r="P40" s="258"/>
      <c r="Q40" s="276"/>
      <c r="R40" s="272"/>
      <c r="S40" s="272"/>
      <c r="T40" s="272"/>
      <c r="U40" s="272"/>
      <c r="V40" s="272"/>
      <c r="W40" s="272"/>
      <c r="X40" s="272"/>
      <c r="Y40" s="272"/>
      <c r="Z40" s="258"/>
      <c r="AA40" s="258"/>
      <c r="AB40" s="258"/>
      <c r="AC40" s="258"/>
      <c r="AD40" s="258"/>
      <c r="AI40" s="270"/>
      <c r="AM40" s="270"/>
      <c r="AO40" s="74">
        <v>37</v>
      </c>
      <c r="AP40" s="75"/>
      <c r="AQ40" s="75"/>
      <c r="AR40" s="75"/>
      <c r="AS40" s="76"/>
      <c r="AT40" s="75"/>
      <c r="AU40" s="75"/>
      <c r="AV40" s="76"/>
    </row>
    <row r="41" spans="2:48" ht="15" customHeight="1" x14ac:dyDescent="0.25">
      <c r="B41" s="260"/>
      <c r="D41" s="262"/>
      <c r="F41" s="264"/>
      <c r="G41" s="264"/>
      <c r="H41" s="265"/>
      <c r="I41" s="266"/>
      <c r="K41" s="268"/>
      <c r="L41" s="278"/>
      <c r="M41" s="274" t="s">
        <v>154</v>
      </c>
      <c r="N41" s="258"/>
      <c r="O41" s="258"/>
      <c r="P41" s="258"/>
      <c r="Q41" s="276"/>
      <c r="R41" s="272"/>
      <c r="S41" s="272"/>
      <c r="T41" s="272"/>
      <c r="U41" s="272"/>
      <c r="V41" s="272"/>
      <c r="W41" s="272"/>
      <c r="X41" s="272"/>
      <c r="Y41" s="272"/>
      <c r="Z41" s="258"/>
      <c r="AA41" s="258"/>
      <c r="AB41" s="258"/>
      <c r="AC41" s="258"/>
      <c r="AD41" s="258"/>
      <c r="AE41" s="258"/>
      <c r="AF41" s="258"/>
      <c r="AG41" s="258"/>
      <c r="AH41" s="258"/>
      <c r="AO41" s="74">
        <v>38</v>
      </c>
      <c r="AP41" s="75"/>
      <c r="AQ41" s="75"/>
      <c r="AR41" s="75"/>
      <c r="AS41" s="76"/>
      <c r="AT41" s="75"/>
      <c r="AU41" s="75"/>
      <c r="AV41" s="76"/>
    </row>
    <row r="42" spans="2:48" ht="15" customHeight="1" x14ac:dyDescent="0.25">
      <c r="B42" s="260"/>
      <c r="D42" s="262"/>
      <c r="F42" s="264"/>
      <c r="G42" s="264"/>
      <c r="H42" s="265"/>
      <c r="I42" s="266"/>
      <c r="K42" s="268"/>
      <c r="L42" s="278"/>
      <c r="M42" s="274" t="s">
        <v>155</v>
      </c>
      <c r="N42" s="258"/>
      <c r="O42" s="258"/>
      <c r="P42" s="258"/>
      <c r="Q42" s="276"/>
      <c r="R42" s="272"/>
      <c r="S42" s="272"/>
      <c r="T42" s="272"/>
      <c r="U42" s="272"/>
      <c r="V42" s="272"/>
      <c r="W42" s="272"/>
      <c r="X42" s="272"/>
      <c r="Y42" s="272"/>
      <c r="Z42" s="258"/>
      <c r="AA42" s="258"/>
      <c r="AB42" s="258"/>
      <c r="AC42" s="258"/>
      <c r="AD42" s="258"/>
      <c r="AE42" s="258"/>
      <c r="AF42" s="258"/>
      <c r="AG42" s="258"/>
      <c r="AH42" s="258"/>
      <c r="AO42" s="74">
        <v>39</v>
      </c>
      <c r="AP42" s="75"/>
      <c r="AQ42" s="75"/>
      <c r="AR42" s="75"/>
      <c r="AS42" s="76"/>
      <c r="AT42" s="75"/>
      <c r="AU42" s="75"/>
      <c r="AV42" s="76"/>
    </row>
    <row r="43" spans="2:48" ht="15" customHeight="1" x14ac:dyDescent="0.25">
      <c r="B43" s="260"/>
      <c r="D43" s="262"/>
      <c r="F43" s="264"/>
      <c r="G43" s="264"/>
      <c r="H43" s="265"/>
      <c r="I43" s="266"/>
      <c r="K43" s="268"/>
      <c r="L43" s="278"/>
      <c r="M43" s="274"/>
      <c r="N43" s="258"/>
      <c r="O43" s="258"/>
      <c r="P43" s="258"/>
      <c r="Q43" s="276"/>
      <c r="R43" s="272"/>
      <c r="S43" s="272"/>
      <c r="T43" s="272"/>
      <c r="U43" s="272"/>
      <c r="V43" s="272"/>
      <c r="W43" s="272"/>
      <c r="X43" s="272"/>
      <c r="Y43" s="272"/>
      <c r="Z43" s="258"/>
      <c r="AA43" s="258"/>
      <c r="AB43" s="258"/>
      <c r="AC43" s="258"/>
      <c r="AD43" s="258"/>
      <c r="AE43" s="258"/>
      <c r="AF43" s="258"/>
      <c r="AG43" s="258"/>
      <c r="AH43" s="258"/>
      <c r="AO43" s="74">
        <v>40</v>
      </c>
      <c r="AP43" s="75"/>
      <c r="AQ43" s="75"/>
      <c r="AR43" s="75"/>
      <c r="AS43" s="76"/>
      <c r="AT43" s="75"/>
      <c r="AU43" s="75"/>
      <c r="AV43" s="76"/>
    </row>
    <row r="44" spans="2:48" ht="15" customHeight="1" x14ac:dyDescent="0.25">
      <c r="B44" s="260"/>
      <c r="D44" s="262"/>
      <c r="F44" s="264"/>
      <c r="G44" s="264"/>
      <c r="H44" s="265"/>
      <c r="I44" s="266"/>
      <c r="K44" s="268"/>
      <c r="L44" s="278"/>
      <c r="M44" s="274"/>
      <c r="N44" s="258"/>
      <c r="O44" s="258"/>
      <c r="P44" s="258"/>
      <c r="Q44" s="276"/>
      <c r="R44" s="272"/>
      <c r="S44" s="272"/>
      <c r="T44" s="272"/>
      <c r="U44" s="272"/>
      <c r="V44" s="272"/>
      <c r="W44" s="272"/>
      <c r="X44" s="272"/>
      <c r="Y44" s="272"/>
      <c r="Z44" s="258"/>
      <c r="AA44" s="258"/>
      <c r="AB44" s="258"/>
      <c r="AC44" s="258"/>
      <c r="AD44" s="258"/>
      <c r="AE44" s="258"/>
      <c r="AF44" s="258"/>
      <c r="AG44" s="258"/>
      <c r="AH44" s="258"/>
      <c r="AO44" s="74">
        <v>41</v>
      </c>
      <c r="AP44" s="75"/>
      <c r="AQ44" s="75"/>
      <c r="AR44" s="75"/>
      <c r="AS44" s="76"/>
      <c r="AT44" s="75"/>
      <c r="AU44" s="75"/>
      <c r="AV44" s="76"/>
    </row>
    <row r="45" spans="2:48" ht="15" customHeight="1" x14ac:dyDescent="0.25">
      <c r="B45" s="260"/>
      <c r="D45" s="262"/>
      <c r="F45" s="264"/>
      <c r="G45" s="264"/>
      <c r="H45" s="265"/>
      <c r="I45" s="266"/>
      <c r="K45" s="268"/>
      <c r="L45" s="278"/>
      <c r="M45" s="274"/>
      <c r="N45" s="258"/>
      <c r="O45" s="258"/>
      <c r="P45" s="258"/>
      <c r="Q45" s="276"/>
      <c r="W45" s="272"/>
      <c r="X45" s="272"/>
      <c r="Y45" s="272"/>
      <c r="Z45" s="258"/>
      <c r="AA45" s="258"/>
      <c r="AB45" s="258"/>
      <c r="AC45" s="258"/>
      <c r="AD45" s="258"/>
      <c r="AE45" s="258"/>
      <c r="AF45" s="258"/>
      <c r="AG45" s="258"/>
      <c r="AH45" s="258"/>
      <c r="AO45" s="74">
        <v>42</v>
      </c>
      <c r="AP45" s="75"/>
      <c r="AQ45" s="75"/>
      <c r="AR45" s="75"/>
      <c r="AS45" s="76"/>
      <c r="AT45" s="75"/>
      <c r="AU45" s="75"/>
      <c r="AV45" s="76"/>
    </row>
    <row r="46" spans="2:48" ht="15" customHeight="1" x14ac:dyDescent="0.25">
      <c r="B46" s="260"/>
      <c r="D46" s="262"/>
      <c r="F46" s="264"/>
      <c r="G46" s="264"/>
      <c r="H46" s="265"/>
      <c r="I46" s="266"/>
      <c r="K46" s="268"/>
      <c r="L46" s="278"/>
      <c r="M46" s="274"/>
      <c r="N46" s="258"/>
      <c r="O46" s="258"/>
      <c r="P46" s="258"/>
      <c r="Q46" s="276"/>
      <c r="W46" s="272"/>
      <c r="X46" s="272"/>
      <c r="Y46" s="272"/>
      <c r="Z46" s="258"/>
      <c r="AA46" s="258"/>
      <c r="AB46" s="258"/>
      <c r="AC46" s="258"/>
      <c r="AD46" s="258"/>
      <c r="AE46" s="258"/>
      <c r="AF46" s="258"/>
      <c r="AG46" s="258"/>
      <c r="AH46" s="258"/>
      <c r="AO46" s="74">
        <v>43</v>
      </c>
      <c r="AP46" s="75"/>
      <c r="AQ46" s="75"/>
      <c r="AR46" s="75"/>
      <c r="AS46" s="76"/>
      <c r="AT46" s="75"/>
      <c r="AU46" s="75"/>
      <c r="AV46" s="76"/>
    </row>
    <row r="47" spans="2:48" ht="15" customHeight="1" x14ac:dyDescent="0.25">
      <c r="B47" s="260"/>
      <c r="D47" s="262"/>
      <c r="F47" s="264"/>
      <c r="G47" s="264"/>
      <c r="H47" s="265"/>
      <c r="I47" s="266"/>
      <c r="K47" s="268"/>
      <c r="L47" s="278"/>
      <c r="M47" s="274"/>
      <c r="N47" s="258"/>
      <c r="O47" s="258"/>
      <c r="P47" s="258"/>
      <c r="Q47" s="276"/>
      <c r="W47" s="272"/>
      <c r="X47" s="272"/>
      <c r="Y47" s="272"/>
      <c r="Z47" s="258"/>
      <c r="AA47" s="258"/>
      <c r="AB47" s="258"/>
      <c r="AC47" s="258"/>
      <c r="AD47" s="258"/>
      <c r="AE47" s="258"/>
      <c r="AF47" s="258"/>
      <c r="AG47" s="258"/>
      <c r="AH47" s="258"/>
      <c r="AO47" s="74">
        <v>44</v>
      </c>
      <c r="AP47" s="75"/>
      <c r="AQ47" s="75"/>
      <c r="AR47" s="75"/>
      <c r="AS47" s="76"/>
      <c r="AT47" s="75"/>
      <c r="AU47" s="75"/>
      <c r="AV47" s="76"/>
    </row>
    <row r="48" spans="2:48" ht="15" customHeight="1" x14ac:dyDescent="0.25">
      <c r="B48" s="260"/>
      <c r="D48" s="262"/>
      <c r="F48" s="264"/>
      <c r="G48" s="264"/>
      <c r="H48" s="265"/>
      <c r="I48" s="266"/>
      <c r="K48" s="268"/>
      <c r="L48" s="273"/>
      <c r="M48" s="274"/>
      <c r="N48" s="270"/>
      <c r="O48" s="270"/>
      <c r="P48" s="270"/>
      <c r="Q48" s="275"/>
      <c r="R48" s="272"/>
      <c r="S48" s="272"/>
      <c r="T48" s="272"/>
      <c r="U48" s="272"/>
      <c r="V48" s="272"/>
      <c r="W48" s="272"/>
      <c r="X48" s="272"/>
      <c r="Y48" s="272"/>
      <c r="Z48" s="258"/>
      <c r="AA48" s="258"/>
      <c r="AB48" s="258"/>
      <c r="AC48" s="258"/>
      <c r="AD48" s="258"/>
      <c r="AE48" s="258"/>
      <c r="AF48" s="258"/>
      <c r="AG48" s="258"/>
      <c r="AH48" s="258"/>
      <c r="AI48" s="258"/>
      <c r="AM48" s="258"/>
      <c r="AN48" s="258"/>
      <c r="AO48" s="74">
        <v>45</v>
      </c>
      <c r="AP48" s="75"/>
      <c r="AQ48" s="75"/>
      <c r="AR48" s="75"/>
      <c r="AS48" s="76"/>
      <c r="AT48" s="75"/>
      <c r="AU48" s="75"/>
      <c r="AV48" s="76"/>
    </row>
    <row r="49" spans="2:48" ht="15" customHeight="1" x14ac:dyDescent="0.25">
      <c r="B49" s="260"/>
      <c r="D49" s="262"/>
      <c r="F49" s="264"/>
      <c r="G49" s="264"/>
      <c r="H49" s="265"/>
      <c r="I49" s="266"/>
      <c r="K49" s="268"/>
      <c r="L49" s="273"/>
      <c r="M49" s="274"/>
      <c r="N49" s="258"/>
      <c r="O49" s="258"/>
      <c r="P49" s="258"/>
      <c r="Q49" s="276"/>
      <c r="R49" s="272"/>
      <c r="S49" s="272"/>
      <c r="T49" s="272"/>
      <c r="U49" s="272"/>
      <c r="V49" s="272"/>
      <c r="W49" s="272"/>
      <c r="X49" s="272"/>
      <c r="Y49" s="272"/>
      <c r="Z49" s="258"/>
      <c r="AA49" s="258"/>
      <c r="AB49" s="258"/>
      <c r="AC49" s="258"/>
      <c r="AD49" s="258"/>
      <c r="AE49" s="258"/>
      <c r="AF49" s="258"/>
      <c r="AG49" s="258"/>
      <c r="AH49" s="258"/>
      <c r="AI49" s="258"/>
      <c r="AM49" s="258"/>
      <c r="AN49" s="258"/>
      <c r="AO49" s="74">
        <v>46</v>
      </c>
      <c r="AP49" s="75"/>
      <c r="AQ49" s="75"/>
      <c r="AR49" s="75"/>
      <c r="AS49" s="76"/>
      <c r="AT49" s="75"/>
      <c r="AU49" s="75"/>
      <c r="AV49" s="76"/>
    </row>
    <row r="50" spans="2:48" ht="15" customHeight="1" x14ac:dyDescent="0.25">
      <c r="B50" s="260"/>
      <c r="D50" s="262"/>
      <c r="F50" s="264"/>
      <c r="G50" s="264"/>
      <c r="H50" s="265"/>
      <c r="I50" s="266"/>
      <c r="K50" s="268"/>
      <c r="L50" s="273"/>
      <c r="M50" s="274"/>
      <c r="N50" s="258"/>
      <c r="O50" s="258"/>
      <c r="P50" s="258"/>
      <c r="Q50" s="276"/>
      <c r="R50" s="272"/>
      <c r="S50" s="272"/>
      <c r="T50" s="272"/>
      <c r="U50" s="272"/>
      <c r="V50" s="272"/>
      <c r="W50" s="272"/>
      <c r="X50" s="272"/>
      <c r="Y50" s="272"/>
      <c r="Z50" s="258"/>
      <c r="AA50" s="258"/>
      <c r="AB50" s="258"/>
      <c r="AC50" s="258"/>
      <c r="AD50" s="258"/>
      <c r="AE50" s="258"/>
      <c r="AF50" s="258"/>
      <c r="AG50" s="258"/>
      <c r="AH50" s="270"/>
      <c r="AI50" s="270"/>
      <c r="AM50" s="270"/>
      <c r="AO50" s="74">
        <v>47</v>
      </c>
      <c r="AP50" s="75"/>
      <c r="AQ50" s="75"/>
      <c r="AR50" s="75"/>
      <c r="AS50" s="76"/>
      <c r="AT50" s="75"/>
      <c r="AU50" s="75"/>
      <c r="AV50" s="76"/>
    </row>
    <row r="51" spans="2:48" ht="15" customHeight="1" x14ac:dyDescent="0.25">
      <c r="B51" s="260"/>
      <c r="D51" s="262"/>
      <c r="F51" s="264"/>
      <c r="G51" s="264"/>
      <c r="H51" s="265"/>
      <c r="I51" s="266"/>
      <c r="K51" s="268"/>
      <c r="L51" s="273"/>
      <c r="M51" s="277"/>
      <c r="N51" s="258"/>
      <c r="O51" s="258"/>
      <c r="P51" s="258"/>
      <c r="Q51" s="276"/>
      <c r="R51" s="272"/>
      <c r="S51" s="272"/>
      <c r="T51" s="272"/>
      <c r="U51" s="272"/>
      <c r="V51" s="272"/>
      <c r="W51" s="272"/>
      <c r="X51" s="272"/>
      <c r="Y51" s="272"/>
      <c r="Z51" s="258"/>
      <c r="AA51" s="258"/>
      <c r="AB51" s="258"/>
      <c r="AC51" s="258"/>
      <c r="AD51" s="258"/>
      <c r="AE51" s="258"/>
      <c r="AF51" s="258"/>
      <c r="AG51" s="258"/>
      <c r="AH51" s="270"/>
      <c r="AI51" s="270"/>
      <c r="AM51" s="270"/>
      <c r="AO51" s="74">
        <v>48</v>
      </c>
      <c r="AP51" s="75"/>
      <c r="AQ51" s="75"/>
      <c r="AR51" s="75"/>
      <c r="AS51" s="76"/>
      <c r="AT51" s="75"/>
      <c r="AU51" s="75"/>
      <c r="AV51" s="76"/>
    </row>
    <row r="52" spans="2:48" ht="15" customHeight="1" x14ac:dyDescent="0.25">
      <c r="B52" s="260"/>
      <c r="D52" s="262"/>
      <c r="F52" s="264"/>
      <c r="G52" s="264"/>
      <c r="H52" s="265"/>
      <c r="I52" s="266"/>
      <c r="K52" s="268"/>
      <c r="L52" s="278"/>
      <c r="M52" s="274"/>
      <c r="N52" s="258"/>
      <c r="O52" s="258"/>
      <c r="P52" s="258"/>
      <c r="Q52" s="276"/>
      <c r="R52" s="272"/>
      <c r="S52" s="272"/>
      <c r="T52" s="272"/>
      <c r="U52" s="272"/>
      <c r="V52" s="272"/>
      <c r="W52" s="272"/>
      <c r="X52" s="272"/>
      <c r="Y52" s="272"/>
      <c r="Z52" s="258"/>
      <c r="AA52" s="258"/>
      <c r="AB52" s="258"/>
      <c r="AC52" s="258"/>
      <c r="AD52" s="258"/>
      <c r="AE52" s="258"/>
      <c r="AF52" s="258"/>
      <c r="AG52" s="258"/>
      <c r="AH52" s="270"/>
      <c r="AI52" s="270"/>
      <c r="AM52" s="270"/>
      <c r="AO52" s="74">
        <v>49</v>
      </c>
      <c r="AP52" s="75"/>
      <c r="AQ52" s="75"/>
      <c r="AR52" s="75"/>
      <c r="AS52" s="76"/>
      <c r="AT52" s="75"/>
      <c r="AU52" s="75"/>
      <c r="AV52" s="76"/>
    </row>
    <row r="53" spans="2:48" ht="15" customHeight="1" x14ac:dyDescent="0.25">
      <c r="B53" s="260"/>
      <c r="D53" s="262"/>
      <c r="F53" s="264"/>
      <c r="G53" s="264"/>
      <c r="H53" s="265"/>
      <c r="I53" s="266"/>
      <c r="K53" s="268"/>
      <c r="L53" s="278"/>
      <c r="M53" s="274"/>
      <c r="N53" s="258"/>
      <c r="O53" s="258"/>
      <c r="P53" s="258"/>
      <c r="Q53" s="276"/>
      <c r="R53" s="272"/>
      <c r="S53" s="272"/>
      <c r="T53" s="272"/>
      <c r="U53" s="272"/>
      <c r="V53" s="272"/>
      <c r="W53" s="272"/>
      <c r="X53" s="272"/>
      <c r="Y53" s="272"/>
      <c r="Z53" s="258"/>
      <c r="AA53" s="258"/>
      <c r="AB53" s="258"/>
      <c r="AC53" s="258"/>
      <c r="AD53" s="258"/>
      <c r="AE53" s="258"/>
      <c r="AF53" s="258"/>
      <c r="AG53" s="258"/>
      <c r="AH53" s="258"/>
      <c r="AO53" s="74">
        <v>50</v>
      </c>
      <c r="AP53" s="75"/>
      <c r="AQ53" s="75"/>
      <c r="AR53" s="75"/>
      <c r="AS53" s="76"/>
      <c r="AT53" s="75"/>
      <c r="AU53" s="75"/>
      <c r="AV53" s="76"/>
    </row>
    <row r="54" spans="2:48" ht="15" customHeight="1" x14ac:dyDescent="0.25">
      <c r="B54" s="260"/>
      <c r="D54" s="262"/>
      <c r="F54" s="264"/>
      <c r="G54" s="264"/>
      <c r="H54" s="265"/>
      <c r="I54" s="266"/>
      <c r="K54" s="268"/>
      <c r="L54" s="278"/>
      <c r="M54" s="274"/>
      <c r="N54" s="258"/>
      <c r="O54" s="258"/>
      <c r="P54" s="258"/>
      <c r="Q54" s="276"/>
      <c r="R54" s="272"/>
      <c r="S54" s="272"/>
      <c r="T54" s="272"/>
      <c r="U54" s="272"/>
      <c r="V54" s="272"/>
      <c r="W54" s="272"/>
      <c r="X54" s="272"/>
      <c r="Y54" s="272"/>
      <c r="Z54" s="258"/>
      <c r="AA54" s="258"/>
      <c r="AB54" s="258"/>
      <c r="AC54" s="258"/>
      <c r="AD54" s="258"/>
      <c r="AE54" s="258"/>
      <c r="AF54" s="258"/>
      <c r="AG54" s="258"/>
      <c r="AH54" s="258"/>
      <c r="AO54" s="74">
        <v>51</v>
      </c>
      <c r="AP54" s="75"/>
      <c r="AQ54" s="75"/>
      <c r="AR54" s="75"/>
      <c r="AS54" s="76"/>
      <c r="AT54" s="75"/>
      <c r="AU54" s="75"/>
      <c r="AV54" s="76"/>
    </row>
    <row r="55" spans="2:48" ht="15" customHeight="1" x14ac:dyDescent="0.25">
      <c r="B55" s="260"/>
      <c r="D55" s="262"/>
      <c r="F55" s="264"/>
      <c r="G55" s="264"/>
      <c r="H55" s="265"/>
      <c r="I55" s="266"/>
      <c r="K55" s="268"/>
      <c r="L55" s="278"/>
      <c r="M55" s="274"/>
      <c r="N55" s="258"/>
      <c r="O55" s="258"/>
      <c r="P55" s="258"/>
      <c r="Q55" s="276"/>
      <c r="R55" s="272"/>
      <c r="S55" s="272"/>
      <c r="T55" s="272"/>
      <c r="U55" s="272"/>
      <c r="V55" s="272"/>
      <c r="W55" s="272"/>
      <c r="X55" s="272"/>
      <c r="Y55" s="272"/>
      <c r="Z55" s="258"/>
      <c r="AA55" s="258"/>
      <c r="AB55" s="258"/>
      <c r="AC55" s="258"/>
      <c r="AD55" s="258"/>
      <c r="AE55" s="258"/>
      <c r="AF55" s="258"/>
      <c r="AG55" s="258"/>
      <c r="AH55" s="258"/>
      <c r="AO55" s="74">
        <v>52</v>
      </c>
      <c r="AP55" s="75"/>
      <c r="AQ55" s="75"/>
      <c r="AR55" s="75"/>
      <c r="AS55" s="76"/>
      <c r="AT55" s="75"/>
      <c r="AU55" s="75"/>
      <c r="AV55" s="76"/>
    </row>
    <row r="56" spans="2:48" ht="15" customHeight="1" x14ac:dyDescent="0.25">
      <c r="B56" s="260"/>
      <c r="D56" s="262"/>
      <c r="F56" s="264"/>
      <c r="G56" s="264"/>
      <c r="H56" s="265"/>
      <c r="I56" s="266"/>
      <c r="K56" s="268"/>
      <c r="L56" s="278"/>
      <c r="M56" s="274"/>
      <c r="N56" s="258"/>
      <c r="O56" s="258"/>
      <c r="P56" s="258"/>
      <c r="Q56" s="276"/>
      <c r="R56" s="272"/>
      <c r="S56" s="272"/>
      <c r="T56" s="272"/>
      <c r="U56" s="272"/>
      <c r="V56" s="272"/>
      <c r="W56" s="272"/>
      <c r="X56" s="272"/>
      <c r="Y56" s="272"/>
      <c r="Z56" s="258"/>
      <c r="AA56" s="258"/>
      <c r="AB56" s="258"/>
      <c r="AC56" s="258"/>
      <c r="AD56" s="258"/>
      <c r="AE56" s="258"/>
      <c r="AF56" s="258"/>
      <c r="AG56" s="258"/>
      <c r="AH56" s="258"/>
      <c r="AO56" s="74">
        <v>53</v>
      </c>
      <c r="AP56" s="75"/>
      <c r="AQ56" s="75"/>
      <c r="AR56" s="75"/>
      <c r="AS56" s="76"/>
      <c r="AT56" s="75"/>
      <c r="AU56" s="75"/>
      <c r="AV56" s="76"/>
    </row>
    <row r="57" spans="2:48" ht="15" customHeight="1" x14ac:dyDescent="0.25">
      <c r="B57" s="260"/>
      <c r="D57" s="262"/>
      <c r="F57" s="264"/>
      <c r="G57" s="264"/>
      <c r="H57" s="265"/>
      <c r="I57" s="266"/>
      <c r="K57" s="268"/>
      <c r="L57" s="278"/>
      <c r="M57" s="274"/>
      <c r="N57" s="258"/>
      <c r="O57" s="258"/>
      <c r="P57" s="258"/>
      <c r="Q57" s="276"/>
      <c r="W57" s="272"/>
      <c r="X57" s="272"/>
      <c r="Y57" s="272"/>
      <c r="Z57" s="258"/>
      <c r="AA57" s="258"/>
      <c r="AB57" s="258"/>
      <c r="AC57" s="258"/>
      <c r="AD57" s="258"/>
      <c r="AE57" s="258"/>
      <c r="AF57" s="258"/>
      <c r="AG57" s="258"/>
      <c r="AH57" s="258"/>
      <c r="AO57" s="74">
        <v>54</v>
      </c>
      <c r="AP57" s="75"/>
      <c r="AQ57" s="75"/>
      <c r="AR57" s="75"/>
      <c r="AS57" s="76"/>
      <c r="AT57" s="75"/>
      <c r="AU57" s="75"/>
      <c r="AV57" s="76"/>
    </row>
    <row r="58" spans="2:48" ht="15" customHeight="1" x14ac:dyDescent="0.25">
      <c r="B58" s="260"/>
      <c r="D58" s="262"/>
      <c r="F58" s="264"/>
      <c r="G58" s="264"/>
      <c r="H58" s="265"/>
      <c r="I58" s="266"/>
      <c r="K58" s="268"/>
      <c r="L58" s="278"/>
      <c r="M58" s="274"/>
      <c r="N58" s="258"/>
      <c r="O58" s="258"/>
      <c r="P58" s="258"/>
      <c r="Q58" s="276"/>
      <c r="W58" s="272"/>
      <c r="X58" s="272"/>
      <c r="Y58" s="272"/>
      <c r="Z58" s="258"/>
      <c r="AA58" s="258"/>
      <c r="AB58" s="258"/>
      <c r="AC58" s="258"/>
      <c r="AD58" s="258"/>
      <c r="AE58" s="258"/>
      <c r="AF58" s="258"/>
      <c r="AG58" s="258"/>
      <c r="AH58" s="258"/>
      <c r="AO58" s="74">
        <v>55</v>
      </c>
      <c r="AP58" s="75"/>
      <c r="AQ58" s="75"/>
      <c r="AR58" s="75"/>
      <c r="AS58" s="76"/>
      <c r="AT58" s="75"/>
      <c r="AU58" s="75"/>
      <c r="AV58" s="76"/>
    </row>
    <row r="59" spans="2:48" ht="15" customHeight="1" x14ac:dyDescent="0.25">
      <c r="B59" s="260"/>
      <c r="D59" s="262"/>
      <c r="F59" s="264"/>
      <c r="G59" s="264"/>
      <c r="H59" s="265"/>
      <c r="I59" s="266"/>
      <c r="K59" s="268"/>
      <c r="L59" s="278"/>
      <c r="M59" s="274"/>
      <c r="N59" s="258"/>
      <c r="O59" s="258"/>
      <c r="P59" s="258"/>
      <c r="Q59" s="276"/>
      <c r="W59" s="272"/>
      <c r="X59" s="272"/>
      <c r="Y59" s="272"/>
      <c r="Z59" s="258"/>
      <c r="AA59" s="258"/>
      <c r="AB59" s="258"/>
      <c r="AC59" s="258"/>
      <c r="AD59" s="258"/>
      <c r="AE59" s="258"/>
      <c r="AF59" s="258"/>
      <c r="AG59" s="258"/>
      <c r="AH59" s="258"/>
      <c r="AO59" s="74">
        <v>56</v>
      </c>
      <c r="AP59" s="75"/>
      <c r="AQ59" s="75"/>
      <c r="AR59" s="75"/>
      <c r="AS59" s="76"/>
      <c r="AT59" s="75"/>
      <c r="AU59" s="75"/>
      <c r="AV59" s="76"/>
    </row>
    <row r="60" spans="2:48" ht="15" customHeight="1" x14ac:dyDescent="0.25">
      <c r="B60" s="260"/>
      <c r="D60" s="262"/>
      <c r="F60" s="264"/>
      <c r="G60" s="264"/>
      <c r="H60" s="265"/>
      <c r="I60" s="266"/>
      <c r="K60" s="268"/>
      <c r="L60" s="273"/>
      <c r="M60" s="274"/>
      <c r="N60" s="270"/>
      <c r="O60" s="270"/>
      <c r="P60" s="270"/>
      <c r="Q60" s="275"/>
      <c r="R60" s="272"/>
      <c r="S60" s="272"/>
      <c r="T60" s="272"/>
      <c r="U60" s="272"/>
      <c r="V60" s="272"/>
      <c r="W60" s="272"/>
      <c r="X60" s="272"/>
      <c r="Y60" s="272"/>
      <c r="Z60" s="258"/>
      <c r="AA60" s="258"/>
      <c r="AB60" s="258"/>
      <c r="AC60" s="258"/>
      <c r="AD60" s="258"/>
      <c r="AE60" s="258"/>
      <c r="AF60" s="258"/>
      <c r="AG60" s="258"/>
      <c r="AH60" s="258"/>
      <c r="AI60" s="258"/>
      <c r="AM60" s="258"/>
      <c r="AN60" s="258"/>
      <c r="AO60" s="74">
        <v>57</v>
      </c>
      <c r="AP60" s="75"/>
      <c r="AQ60" s="75"/>
      <c r="AR60" s="75"/>
      <c r="AS60" s="76"/>
      <c r="AT60" s="75"/>
      <c r="AU60" s="75"/>
      <c r="AV60" s="76"/>
    </row>
    <row r="61" spans="2:48" ht="15" customHeight="1" x14ac:dyDescent="0.25">
      <c r="B61" s="260"/>
      <c r="D61" s="262"/>
      <c r="F61" s="264"/>
      <c r="G61" s="264"/>
      <c r="H61" s="265"/>
      <c r="I61" s="266"/>
      <c r="K61" s="268"/>
      <c r="L61" s="273"/>
      <c r="M61" s="274"/>
      <c r="N61" s="258"/>
      <c r="O61" s="258"/>
      <c r="P61" s="258"/>
      <c r="Q61" s="276"/>
      <c r="R61" s="272"/>
      <c r="S61" s="272"/>
      <c r="T61" s="272"/>
      <c r="U61" s="272"/>
      <c r="V61" s="272"/>
      <c r="W61" s="272"/>
      <c r="X61" s="272"/>
      <c r="Y61" s="272"/>
      <c r="Z61" s="258"/>
      <c r="AA61" s="258"/>
      <c r="AB61" s="258"/>
      <c r="AC61" s="258"/>
      <c r="AD61" s="258"/>
      <c r="AE61" s="258"/>
      <c r="AF61" s="258"/>
      <c r="AG61" s="258"/>
      <c r="AH61" s="258"/>
      <c r="AI61" s="258"/>
      <c r="AM61" s="258"/>
      <c r="AN61" s="258"/>
      <c r="AO61" s="74">
        <v>58</v>
      </c>
      <c r="AP61" s="75"/>
      <c r="AQ61" s="75"/>
      <c r="AR61" s="75"/>
      <c r="AS61" s="76"/>
      <c r="AT61" s="75"/>
      <c r="AU61" s="75"/>
      <c r="AV61" s="76"/>
    </row>
    <row r="62" spans="2:48" ht="15" customHeight="1" x14ac:dyDescent="0.25">
      <c r="B62" s="260"/>
      <c r="D62" s="262"/>
      <c r="F62" s="264"/>
      <c r="G62" s="264"/>
      <c r="H62" s="265"/>
      <c r="I62" s="266"/>
      <c r="K62" s="268"/>
      <c r="L62" s="273"/>
      <c r="M62" s="274"/>
      <c r="N62" s="258"/>
      <c r="O62" s="258"/>
      <c r="P62" s="258"/>
      <c r="Q62" s="276"/>
      <c r="R62" s="272"/>
      <c r="S62" s="272"/>
      <c r="T62" s="272"/>
      <c r="U62" s="272"/>
      <c r="V62" s="272"/>
      <c r="W62" s="272"/>
      <c r="X62" s="272"/>
      <c r="Y62" s="272"/>
      <c r="Z62" s="258"/>
      <c r="AA62" s="258"/>
      <c r="AB62" s="258"/>
      <c r="AC62" s="258"/>
      <c r="AD62" s="258"/>
      <c r="AE62" s="258"/>
      <c r="AF62" s="258"/>
      <c r="AG62" s="258"/>
      <c r="AH62" s="270"/>
      <c r="AI62" s="270"/>
      <c r="AM62" s="270"/>
      <c r="AO62" s="74">
        <v>59</v>
      </c>
      <c r="AP62" s="75"/>
      <c r="AQ62" s="75"/>
      <c r="AR62" s="75"/>
      <c r="AS62" s="76"/>
      <c r="AT62" s="75"/>
      <c r="AU62" s="75"/>
      <c r="AV62" s="76"/>
    </row>
    <row r="63" spans="2:48" ht="15" customHeight="1" x14ac:dyDescent="0.25">
      <c r="B63" s="260"/>
      <c r="D63" s="262"/>
      <c r="F63" s="264"/>
      <c r="G63" s="264"/>
      <c r="H63" s="265"/>
      <c r="I63" s="266"/>
      <c r="K63" s="268"/>
      <c r="L63" s="273"/>
      <c r="M63" s="277"/>
      <c r="N63" s="258"/>
      <c r="O63" s="258"/>
      <c r="P63" s="258"/>
      <c r="Q63" s="276"/>
      <c r="R63" s="272"/>
      <c r="S63" s="272"/>
      <c r="T63" s="272"/>
      <c r="U63" s="272"/>
      <c r="V63" s="272"/>
      <c r="W63" s="272"/>
      <c r="X63" s="272"/>
      <c r="Y63" s="272"/>
      <c r="Z63" s="258"/>
      <c r="AA63" s="258"/>
      <c r="AB63" s="258"/>
      <c r="AC63" s="258"/>
      <c r="AD63" s="258"/>
      <c r="AE63" s="258"/>
      <c r="AF63" s="258"/>
      <c r="AG63" s="258"/>
      <c r="AH63" s="270"/>
      <c r="AI63" s="270"/>
      <c r="AM63" s="270"/>
      <c r="AO63" s="74">
        <v>60</v>
      </c>
      <c r="AP63" s="75"/>
      <c r="AQ63" s="75"/>
      <c r="AR63" s="75"/>
      <c r="AS63" s="76"/>
      <c r="AT63" s="75"/>
      <c r="AU63" s="75"/>
      <c r="AV63" s="76"/>
    </row>
    <row r="64" spans="2:48" ht="15" customHeight="1" x14ac:dyDescent="0.25">
      <c r="B64" s="260"/>
      <c r="D64" s="262"/>
      <c r="F64" s="264"/>
      <c r="G64" s="264"/>
      <c r="H64" s="265"/>
      <c r="I64" s="266"/>
      <c r="K64" s="268"/>
      <c r="L64" s="278"/>
      <c r="M64" s="274"/>
      <c r="N64" s="258"/>
      <c r="O64" s="258"/>
      <c r="P64" s="258"/>
      <c r="Q64" s="276"/>
      <c r="R64" s="272"/>
      <c r="S64" s="272"/>
      <c r="T64" s="272"/>
      <c r="U64" s="272"/>
      <c r="V64" s="272"/>
      <c r="W64" s="272"/>
      <c r="X64" s="272"/>
      <c r="Y64" s="272"/>
      <c r="Z64" s="258"/>
      <c r="AA64" s="258"/>
      <c r="AB64" s="258"/>
      <c r="AC64" s="258"/>
      <c r="AD64" s="258"/>
      <c r="AE64" s="258"/>
      <c r="AF64" s="258"/>
      <c r="AG64" s="258"/>
      <c r="AH64" s="270"/>
      <c r="AI64" s="270"/>
      <c r="AM64" s="270"/>
      <c r="AO64" s="74">
        <v>61</v>
      </c>
      <c r="AP64" s="75"/>
      <c r="AQ64" s="75"/>
      <c r="AR64" s="75"/>
      <c r="AS64" s="76"/>
      <c r="AT64" s="75"/>
      <c r="AU64" s="75"/>
      <c r="AV64" s="76"/>
    </row>
    <row r="65" spans="2:48" ht="15" customHeight="1" x14ac:dyDescent="0.25">
      <c r="B65" s="260"/>
      <c r="D65" s="262"/>
      <c r="F65" s="264"/>
      <c r="G65" s="264"/>
      <c r="H65" s="265"/>
      <c r="I65" s="266"/>
      <c r="K65" s="268"/>
      <c r="L65" s="278"/>
      <c r="M65" s="274"/>
      <c r="N65" s="258"/>
      <c r="O65" s="258"/>
      <c r="P65" s="258"/>
      <c r="Q65" s="276"/>
      <c r="R65" s="272"/>
      <c r="S65" s="272"/>
      <c r="T65" s="272"/>
      <c r="U65" s="272"/>
      <c r="V65" s="272"/>
      <c r="W65" s="272"/>
      <c r="X65" s="272"/>
      <c r="Y65" s="272"/>
      <c r="Z65" s="258"/>
      <c r="AA65" s="258"/>
      <c r="AB65" s="258"/>
      <c r="AC65" s="258"/>
      <c r="AD65" s="258"/>
      <c r="AE65" s="258"/>
      <c r="AF65" s="258"/>
      <c r="AG65" s="258"/>
      <c r="AH65" s="258"/>
      <c r="AO65" s="74">
        <v>62</v>
      </c>
      <c r="AP65" s="75"/>
      <c r="AQ65" s="75"/>
      <c r="AR65" s="75"/>
      <c r="AS65" s="76"/>
      <c r="AT65" s="75"/>
      <c r="AU65" s="75"/>
      <c r="AV65" s="76"/>
    </row>
    <row r="66" spans="2:48" ht="15" customHeight="1" x14ac:dyDescent="0.25">
      <c r="B66" s="260"/>
      <c r="D66" s="262"/>
      <c r="F66" s="264"/>
      <c r="G66" s="264"/>
      <c r="H66" s="265"/>
      <c r="I66" s="266"/>
      <c r="K66" s="268"/>
      <c r="L66" s="278"/>
      <c r="M66" s="274"/>
      <c r="N66" s="258"/>
      <c r="O66" s="258"/>
      <c r="P66" s="258"/>
      <c r="Q66" s="276"/>
      <c r="R66" s="272"/>
      <c r="S66" s="272"/>
      <c r="T66" s="272"/>
      <c r="U66" s="272"/>
      <c r="V66" s="272"/>
      <c r="W66" s="272"/>
      <c r="X66" s="272"/>
      <c r="Y66" s="272"/>
      <c r="Z66" s="258"/>
      <c r="AA66" s="258"/>
      <c r="AB66" s="258"/>
      <c r="AC66" s="258"/>
      <c r="AD66" s="258"/>
      <c r="AE66" s="258"/>
      <c r="AF66" s="258"/>
      <c r="AG66" s="258"/>
      <c r="AH66" s="258"/>
      <c r="AO66" s="74">
        <v>63</v>
      </c>
      <c r="AP66" s="75"/>
      <c r="AQ66" s="75"/>
      <c r="AR66" s="75"/>
      <c r="AS66" s="76"/>
      <c r="AT66" s="75"/>
      <c r="AU66" s="75"/>
      <c r="AV66" s="76"/>
    </row>
    <row r="67" spans="2:48" ht="15" customHeight="1" x14ac:dyDescent="0.25">
      <c r="B67" s="260"/>
      <c r="D67" s="262"/>
      <c r="F67" s="264"/>
      <c r="G67" s="264"/>
      <c r="H67" s="265"/>
      <c r="I67" s="266"/>
      <c r="K67" s="268"/>
      <c r="L67" s="278"/>
      <c r="M67" s="274"/>
      <c r="N67" s="258"/>
      <c r="O67" s="258"/>
      <c r="P67" s="258"/>
      <c r="Q67" s="276"/>
      <c r="R67" s="272"/>
      <c r="S67" s="272"/>
      <c r="T67" s="272"/>
      <c r="U67" s="272"/>
      <c r="V67" s="272"/>
      <c r="W67" s="272"/>
      <c r="X67" s="272"/>
      <c r="Y67" s="272"/>
      <c r="Z67" s="258"/>
      <c r="AA67" s="258"/>
      <c r="AB67" s="258"/>
      <c r="AC67" s="258"/>
      <c r="AD67" s="258"/>
      <c r="AE67" s="258"/>
      <c r="AF67" s="258"/>
      <c r="AG67" s="258"/>
      <c r="AH67" s="258"/>
      <c r="AO67" s="74">
        <v>64</v>
      </c>
      <c r="AP67" s="75"/>
      <c r="AQ67" s="75"/>
      <c r="AR67" s="75"/>
      <c r="AS67" s="76"/>
      <c r="AT67" s="75"/>
      <c r="AU67" s="75"/>
      <c r="AV67" s="76"/>
    </row>
    <row r="68" spans="2:48" ht="15" customHeight="1" x14ac:dyDescent="0.25">
      <c r="B68" s="260"/>
      <c r="D68" s="262"/>
      <c r="F68" s="264"/>
      <c r="G68" s="264"/>
      <c r="H68" s="265"/>
      <c r="I68" s="266"/>
      <c r="K68" s="268"/>
      <c r="L68" s="278"/>
      <c r="M68" s="274"/>
      <c r="N68" s="258"/>
      <c r="O68" s="258"/>
      <c r="P68" s="258"/>
      <c r="Q68" s="276"/>
      <c r="R68" s="272"/>
      <c r="S68" s="272"/>
      <c r="T68" s="272"/>
      <c r="U68" s="272"/>
      <c r="V68" s="272"/>
      <c r="W68" s="272"/>
      <c r="X68" s="272"/>
      <c r="Y68" s="272"/>
      <c r="Z68" s="258"/>
      <c r="AA68" s="258"/>
      <c r="AB68" s="258"/>
      <c r="AC68" s="258"/>
      <c r="AD68" s="258"/>
      <c r="AE68" s="258"/>
      <c r="AF68" s="258"/>
      <c r="AG68" s="258"/>
      <c r="AH68" s="258"/>
      <c r="AO68" s="74">
        <v>65</v>
      </c>
      <c r="AP68" s="75"/>
      <c r="AQ68" s="75"/>
      <c r="AR68" s="75"/>
      <c r="AS68" s="76"/>
      <c r="AT68" s="75"/>
      <c r="AU68" s="75"/>
      <c r="AV68" s="76"/>
    </row>
    <row r="69" spans="2:48" ht="15" customHeight="1" x14ac:dyDescent="0.25">
      <c r="B69" s="260"/>
      <c r="D69" s="262"/>
      <c r="F69" s="264"/>
      <c r="G69" s="264"/>
      <c r="H69" s="265"/>
      <c r="I69" s="266"/>
      <c r="K69" s="268"/>
      <c r="L69" s="278"/>
      <c r="M69" s="274"/>
      <c r="N69" s="258"/>
      <c r="O69" s="258"/>
      <c r="P69" s="258"/>
      <c r="Q69" s="276"/>
      <c r="W69" s="272"/>
      <c r="X69" s="272"/>
      <c r="Y69" s="272"/>
      <c r="Z69" s="258"/>
      <c r="AA69" s="258"/>
      <c r="AB69" s="258"/>
      <c r="AC69" s="258"/>
      <c r="AD69" s="258"/>
      <c r="AE69" s="258"/>
      <c r="AF69" s="258"/>
      <c r="AG69" s="258"/>
      <c r="AH69" s="258"/>
      <c r="AO69" s="74">
        <v>66</v>
      </c>
      <c r="AP69" s="75"/>
      <c r="AQ69" s="75"/>
      <c r="AR69" s="75"/>
      <c r="AS69" s="76"/>
      <c r="AT69" s="75"/>
      <c r="AU69" s="75"/>
      <c r="AV69" s="76"/>
    </row>
    <row r="70" spans="2:48" ht="15" customHeight="1" x14ac:dyDescent="0.25">
      <c r="B70" s="260"/>
      <c r="D70" s="262"/>
      <c r="F70" s="264"/>
      <c r="G70" s="264"/>
      <c r="H70" s="265"/>
      <c r="I70" s="266"/>
      <c r="K70" s="268"/>
      <c r="L70" s="278"/>
      <c r="M70" s="274"/>
      <c r="N70" s="258"/>
      <c r="O70" s="258"/>
      <c r="P70" s="258"/>
      <c r="Q70" s="276"/>
      <c r="W70" s="272"/>
      <c r="X70" s="272"/>
      <c r="Y70" s="272"/>
      <c r="Z70" s="258"/>
      <c r="AA70" s="258"/>
      <c r="AB70" s="258"/>
      <c r="AC70" s="258"/>
      <c r="AD70" s="258"/>
      <c r="AE70" s="258"/>
      <c r="AF70" s="258"/>
      <c r="AG70" s="258"/>
      <c r="AH70" s="258"/>
      <c r="AO70" s="74">
        <v>67</v>
      </c>
      <c r="AP70" s="75"/>
      <c r="AQ70" s="75"/>
      <c r="AR70" s="75"/>
      <c r="AS70" s="76"/>
      <c r="AT70" s="75"/>
      <c r="AU70" s="75"/>
      <c r="AV70" s="76"/>
    </row>
    <row r="71" spans="2:48" ht="15" customHeight="1" x14ac:dyDescent="0.25">
      <c r="B71" s="260"/>
      <c r="D71" s="262"/>
      <c r="F71" s="264"/>
      <c r="G71" s="264"/>
      <c r="H71" s="265"/>
      <c r="I71" s="266"/>
      <c r="K71" s="268"/>
      <c r="L71" s="278"/>
      <c r="M71" s="274"/>
      <c r="N71" s="258"/>
      <c r="O71" s="258"/>
      <c r="P71" s="258"/>
      <c r="Q71" s="276"/>
      <c r="W71" s="272"/>
      <c r="X71" s="272"/>
      <c r="Y71" s="272"/>
      <c r="Z71" s="258"/>
      <c r="AA71" s="258"/>
      <c r="AB71" s="258"/>
      <c r="AC71" s="258"/>
      <c r="AD71" s="258"/>
      <c r="AE71" s="258"/>
      <c r="AF71" s="258"/>
      <c r="AG71" s="258"/>
      <c r="AH71" s="258"/>
      <c r="AO71" s="74">
        <v>68</v>
      </c>
      <c r="AP71" s="75"/>
      <c r="AQ71" s="75"/>
      <c r="AR71" s="75"/>
      <c r="AS71" s="76"/>
      <c r="AT71" s="75"/>
      <c r="AU71" s="75"/>
      <c r="AV71" s="76"/>
    </row>
    <row r="72" spans="2:48" ht="15" customHeight="1" x14ac:dyDescent="0.25">
      <c r="B72" s="260"/>
      <c r="D72" s="262"/>
      <c r="F72" s="264"/>
      <c r="G72" s="264"/>
      <c r="H72" s="265"/>
      <c r="I72" s="266"/>
      <c r="K72" s="268"/>
      <c r="L72" s="273"/>
      <c r="M72" s="274"/>
      <c r="N72" s="270"/>
      <c r="O72" s="270"/>
      <c r="P72" s="270"/>
      <c r="Q72" s="275"/>
      <c r="R72" s="272"/>
      <c r="S72" s="272"/>
      <c r="T72" s="272"/>
      <c r="U72" s="272"/>
      <c r="V72" s="272"/>
      <c r="W72" s="272"/>
      <c r="X72" s="272"/>
      <c r="Y72" s="272"/>
      <c r="Z72" s="258"/>
      <c r="AA72" s="258"/>
      <c r="AB72" s="258"/>
      <c r="AC72" s="258"/>
      <c r="AD72" s="258"/>
      <c r="AE72" s="258"/>
      <c r="AF72" s="258"/>
      <c r="AG72" s="258"/>
      <c r="AH72" s="258"/>
      <c r="AI72" s="258"/>
      <c r="AM72" s="258"/>
      <c r="AN72" s="258"/>
      <c r="AO72" s="74">
        <v>69</v>
      </c>
      <c r="AP72" s="75"/>
      <c r="AQ72" s="75"/>
      <c r="AR72" s="75"/>
      <c r="AS72" s="76"/>
      <c r="AT72" s="75"/>
      <c r="AU72" s="75"/>
      <c r="AV72" s="76"/>
    </row>
    <row r="73" spans="2:48" ht="15" customHeight="1" x14ac:dyDescent="0.25">
      <c r="B73" s="260"/>
      <c r="D73" s="262"/>
      <c r="F73" s="264"/>
      <c r="G73" s="264"/>
      <c r="H73" s="265"/>
      <c r="I73" s="266"/>
      <c r="K73" s="268"/>
      <c r="L73" s="273"/>
      <c r="M73" s="274"/>
      <c r="N73" s="258"/>
      <c r="O73" s="258"/>
      <c r="P73" s="258"/>
      <c r="Q73" s="276"/>
      <c r="R73" s="272"/>
      <c r="S73" s="272"/>
      <c r="T73" s="272"/>
      <c r="U73" s="272"/>
      <c r="V73" s="272"/>
      <c r="W73" s="272"/>
      <c r="X73" s="272"/>
      <c r="Y73" s="272"/>
      <c r="Z73" s="258"/>
      <c r="AA73" s="258"/>
      <c r="AB73" s="258"/>
      <c r="AC73" s="258"/>
      <c r="AD73" s="258"/>
      <c r="AE73" s="258"/>
      <c r="AF73" s="258"/>
      <c r="AG73" s="258"/>
      <c r="AH73" s="258"/>
      <c r="AI73" s="258"/>
      <c r="AM73" s="258"/>
      <c r="AN73" s="258"/>
      <c r="AO73" s="74">
        <v>70</v>
      </c>
      <c r="AP73" s="75"/>
      <c r="AQ73" s="75"/>
      <c r="AR73" s="75"/>
      <c r="AS73" s="76"/>
      <c r="AT73" s="75"/>
      <c r="AU73" s="75"/>
      <c r="AV73" s="76"/>
    </row>
    <row r="74" spans="2:48" ht="15" customHeight="1" x14ac:dyDescent="0.25">
      <c r="B74" s="260"/>
      <c r="D74" s="262"/>
      <c r="F74" s="264"/>
      <c r="G74" s="264"/>
      <c r="H74" s="265"/>
      <c r="I74" s="266"/>
      <c r="K74" s="268"/>
      <c r="L74" s="273"/>
      <c r="M74" s="274"/>
      <c r="N74" s="258"/>
      <c r="O74" s="258"/>
      <c r="P74" s="258"/>
      <c r="Q74" s="276"/>
      <c r="R74" s="272"/>
      <c r="S74" s="272"/>
      <c r="T74" s="272"/>
      <c r="U74" s="272"/>
      <c r="V74" s="272"/>
      <c r="W74" s="272"/>
      <c r="X74" s="272"/>
      <c r="Y74" s="272"/>
      <c r="Z74" s="258"/>
      <c r="AA74" s="258"/>
      <c r="AB74" s="258"/>
      <c r="AC74" s="258"/>
      <c r="AD74" s="258"/>
      <c r="AE74" s="258"/>
      <c r="AF74" s="258"/>
      <c r="AG74" s="258"/>
      <c r="AH74" s="270"/>
      <c r="AI74" s="270"/>
      <c r="AM74" s="270"/>
      <c r="AO74" s="74">
        <v>71</v>
      </c>
      <c r="AP74" s="75"/>
      <c r="AQ74" s="75"/>
      <c r="AR74" s="75"/>
      <c r="AS74" s="76"/>
      <c r="AT74" s="75"/>
      <c r="AU74" s="75"/>
      <c r="AV74" s="76"/>
    </row>
    <row r="75" spans="2:48" ht="15" customHeight="1" x14ac:dyDescent="0.25">
      <c r="B75" s="260"/>
      <c r="D75" s="262"/>
      <c r="F75" s="264"/>
      <c r="G75" s="264"/>
      <c r="H75" s="265"/>
      <c r="I75" s="266"/>
      <c r="K75" s="268"/>
      <c r="L75" s="273"/>
      <c r="M75" s="277"/>
      <c r="N75" s="258"/>
      <c r="O75" s="258"/>
      <c r="P75" s="258"/>
      <c r="Q75" s="276"/>
      <c r="R75" s="272"/>
      <c r="S75" s="272"/>
      <c r="T75" s="272"/>
      <c r="U75" s="272"/>
      <c r="V75" s="272"/>
      <c r="W75" s="272"/>
      <c r="X75" s="272"/>
      <c r="Y75" s="272"/>
      <c r="Z75" s="258"/>
      <c r="AA75" s="258"/>
      <c r="AB75" s="258"/>
      <c r="AC75" s="258"/>
      <c r="AD75" s="258"/>
      <c r="AE75" s="258"/>
      <c r="AF75" s="258"/>
      <c r="AG75" s="258"/>
      <c r="AH75" s="270"/>
      <c r="AI75" s="270"/>
      <c r="AM75" s="270"/>
      <c r="AO75" s="74">
        <v>72</v>
      </c>
      <c r="AP75" s="75"/>
      <c r="AQ75" s="75"/>
      <c r="AR75" s="75"/>
      <c r="AS75" s="76"/>
      <c r="AT75" s="75"/>
      <c r="AU75" s="75"/>
      <c r="AV75" s="76"/>
    </row>
    <row r="76" spans="2:48" ht="15" customHeight="1" x14ac:dyDescent="0.25">
      <c r="B76" s="260"/>
      <c r="D76" s="262"/>
      <c r="F76" s="264"/>
      <c r="G76" s="264"/>
      <c r="H76" s="265"/>
      <c r="I76" s="266"/>
      <c r="K76" s="268"/>
      <c r="L76" s="278"/>
      <c r="M76" s="274"/>
      <c r="N76" s="258"/>
      <c r="O76" s="258"/>
      <c r="P76" s="258"/>
      <c r="Q76" s="276"/>
      <c r="R76" s="272"/>
      <c r="S76" s="272"/>
      <c r="T76" s="272"/>
      <c r="U76" s="272"/>
      <c r="V76" s="272"/>
      <c r="W76" s="272"/>
      <c r="X76" s="272"/>
      <c r="Y76" s="272"/>
      <c r="Z76" s="258"/>
      <c r="AA76" s="258"/>
      <c r="AB76" s="258"/>
      <c r="AC76" s="258"/>
      <c r="AD76" s="258"/>
      <c r="AE76" s="258"/>
      <c r="AF76" s="258"/>
      <c r="AG76" s="258"/>
      <c r="AH76" s="270"/>
      <c r="AI76" s="270"/>
      <c r="AM76" s="270"/>
      <c r="AO76" s="74">
        <v>73</v>
      </c>
      <c r="AP76" s="75"/>
      <c r="AQ76" s="75"/>
      <c r="AR76" s="75"/>
      <c r="AS76" s="76"/>
      <c r="AT76" s="75"/>
      <c r="AU76" s="75"/>
      <c r="AV76" s="76"/>
    </row>
    <row r="77" spans="2:48" ht="15" customHeight="1" x14ac:dyDescent="0.25">
      <c r="B77" s="260"/>
      <c r="D77" s="262"/>
      <c r="F77" s="264"/>
      <c r="G77" s="264"/>
      <c r="H77" s="265"/>
      <c r="I77" s="266"/>
      <c r="K77" s="268"/>
      <c r="L77" s="278"/>
      <c r="M77" s="274"/>
      <c r="N77" s="258"/>
      <c r="O77" s="258"/>
      <c r="P77" s="258"/>
      <c r="Q77" s="276"/>
      <c r="R77" s="272"/>
      <c r="S77" s="272"/>
      <c r="T77" s="272"/>
      <c r="U77" s="272"/>
      <c r="V77" s="272"/>
      <c r="W77" s="272"/>
      <c r="X77" s="272"/>
      <c r="Y77" s="272"/>
      <c r="Z77" s="258"/>
      <c r="AA77" s="258"/>
      <c r="AB77" s="258"/>
      <c r="AC77" s="258"/>
      <c r="AD77" s="258"/>
      <c r="AE77" s="258"/>
      <c r="AF77" s="258"/>
      <c r="AG77" s="258"/>
      <c r="AH77" s="258"/>
      <c r="AO77" s="74">
        <v>74</v>
      </c>
      <c r="AP77" s="75"/>
      <c r="AQ77" s="75"/>
      <c r="AR77" s="75"/>
      <c r="AS77" s="76"/>
      <c r="AT77" s="75"/>
      <c r="AU77" s="75"/>
      <c r="AV77" s="76"/>
    </row>
    <row r="78" spans="2:48" ht="15" customHeight="1" x14ac:dyDescent="0.25">
      <c r="B78" s="260"/>
      <c r="D78" s="262"/>
      <c r="F78" s="264"/>
      <c r="G78" s="264"/>
      <c r="H78" s="265"/>
      <c r="I78" s="266"/>
      <c r="K78" s="268"/>
      <c r="L78" s="278"/>
      <c r="M78" s="274"/>
      <c r="N78" s="258"/>
      <c r="O78" s="258"/>
      <c r="P78" s="258"/>
      <c r="Q78" s="276"/>
      <c r="R78" s="272"/>
      <c r="S78" s="272"/>
      <c r="T78" s="272"/>
      <c r="U78" s="272"/>
      <c r="V78" s="272"/>
      <c r="W78" s="272"/>
      <c r="X78" s="272"/>
      <c r="Y78" s="272"/>
      <c r="Z78" s="258"/>
      <c r="AA78" s="258"/>
      <c r="AB78" s="258"/>
      <c r="AC78" s="258"/>
      <c r="AD78" s="258"/>
      <c r="AE78" s="258"/>
      <c r="AF78" s="258"/>
      <c r="AG78" s="258"/>
      <c r="AH78" s="258"/>
      <c r="AO78" s="74">
        <v>75</v>
      </c>
      <c r="AP78" s="75"/>
      <c r="AQ78" s="75"/>
      <c r="AR78" s="75"/>
      <c r="AS78" s="76"/>
      <c r="AT78" s="75"/>
      <c r="AU78" s="75"/>
      <c r="AV78" s="76"/>
    </row>
    <row r="79" spans="2:48" ht="15" customHeight="1" x14ac:dyDescent="0.25">
      <c r="B79" s="260"/>
      <c r="D79" s="262"/>
      <c r="F79" s="264"/>
      <c r="G79" s="264"/>
      <c r="H79" s="265"/>
      <c r="I79" s="266"/>
      <c r="K79" s="268"/>
      <c r="L79" s="278"/>
      <c r="M79" s="274"/>
      <c r="N79" s="258"/>
      <c r="O79" s="258"/>
      <c r="P79" s="258"/>
      <c r="Q79" s="276"/>
      <c r="R79" s="272"/>
      <c r="S79" s="272"/>
      <c r="T79" s="272"/>
      <c r="U79" s="272"/>
      <c r="V79" s="272"/>
      <c r="W79" s="272"/>
      <c r="X79" s="272"/>
      <c r="Y79" s="272"/>
      <c r="Z79" s="258"/>
      <c r="AA79" s="258"/>
      <c r="AB79" s="258"/>
      <c r="AC79" s="258"/>
      <c r="AD79" s="258"/>
      <c r="AE79" s="258"/>
      <c r="AF79" s="258"/>
      <c r="AG79" s="258"/>
      <c r="AH79" s="258"/>
      <c r="AO79" s="74">
        <v>76</v>
      </c>
      <c r="AP79" s="75"/>
      <c r="AQ79" s="75"/>
      <c r="AR79" s="75"/>
      <c r="AS79" s="76"/>
      <c r="AT79" s="75"/>
      <c r="AU79" s="75"/>
      <c r="AV79" s="76"/>
    </row>
    <row r="80" spans="2:48" ht="15" customHeight="1" x14ac:dyDescent="0.25">
      <c r="B80" s="260"/>
      <c r="D80" s="262"/>
      <c r="F80" s="264"/>
      <c r="G80" s="264"/>
      <c r="H80" s="265"/>
      <c r="I80" s="266"/>
      <c r="K80" s="268"/>
      <c r="L80" s="278"/>
      <c r="M80" s="274"/>
      <c r="N80" s="258"/>
      <c r="O80" s="258"/>
      <c r="P80" s="258"/>
      <c r="Q80" s="276"/>
      <c r="R80" s="272"/>
      <c r="S80" s="272"/>
      <c r="T80" s="272"/>
      <c r="U80" s="272"/>
      <c r="V80" s="272"/>
      <c r="W80" s="272"/>
      <c r="X80" s="272"/>
      <c r="Y80" s="272"/>
      <c r="Z80" s="258"/>
      <c r="AA80" s="258"/>
      <c r="AB80" s="258"/>
      <c r="AC80" s="258"/>
      <c r="AD80" s="258"/>
      <c r="AE80" s="258"/>
      <c r="AF80" s="258"/>
      <c r="AG80" s="258"/>
      <c r="AH80" s="258"/>
      <c r="AO80" s="74">
        <v>77</v>
      </c>
      <c r="AP80" s="75"/>
      <c r="AQ80" s="75"/>
      <c r="AR80" s="75"/>
      <c r="AS80" s="76"/>
      <c r="AT80" s="75"/>
      <c r="AU80" s="75"/>
      <c r="AV80" s="76"/>
    </row>
    <row r="81" spans="2:48" ht="15" customHeight="1" x14ac:dyDescent="0.25">
      <c r="B81" s="260"/>
      <c r="D81" s="262"/>
      <c r="F81" s="264"/>
      <c r="G81" s="264"/>
      <c r="H81" s="265"/>
      <c r="I81" s="266"/>
      <c r="K81" s="268"/>
      <c r="L81" s="278"/>
      <c r="M81" s="274"/>
      <c r="N81" s="258"/>
      <c r="O81" s="258"/>
      <c r="P81" s="258"/>
      <c r="Q81" s="276"/>
      <c r="W81" s="272"/>
      <c r="X81" s="272"/>
      <c r="Y81" s="272"/>
      <c r="Z81" s="258"/>
      <c r="AA81" s="258"/>
      <c r="AB81" s="258"/>
      <c r="AC81" s="258"/>
      <c r="AD81" s="258"/>
      <c r="AE81" s="258"/>
      <c r="AF81" s="258"/>
      <c r="AG81" s="258"/>
      <c r="AH81" s="258"/>
      <c r="AO81" s="74">
        <v>78</v>
      </c>
      <c r="AP81" s="75"/>
      <c r="AQ81" s="75"/>
      <c r="AR81" s="75"/>
      <c r="AS81" s="76"/>
      <c r="AT81" s="75"/>
      <c r="AU81" s="75"/>
      <c r="AV81" s="76"/>
    </row>
    <row r="82" spans="2:48" ht="15" customHeight="1" x14ac:dyDescent="0.25">
      <c r="B82" s="260"/>
      <c r="D82" s="262"/>
      <c r="F82" s="264"/>
      <c r="G82" s="264"/>
      <c r="H82" s="265"/>
      <c r="I82" s="266"/>
      <c r="K82" s="268"/>
      <c r="L82" s="278"/>
      <c r="M82" s="274"/>
      <c r="N82" s="258"/>
      <c r="O82" s="258"/>
      <c r="P82" s="258"/>
      <c r="Q82" s="276"/>
      <c r="W82" s="272"/>
      <c r="X82" s="272"/>
      <c r="Y82" s="272"/>
      <c r="Z82" s="258"/>
      <c r="AA82" s="258"/>
      <c r="AB82" s="258"/>
      <c r="AC82" s="258"/>
      <c r="AD82" s="258"/>
      <c r="AE82" s="258"/>
      <c r="AF82" s="258"/>
      <c r="AG82" s="258"/>
      <c r="AH82" s="258"/>
      <c r="AO82" s="74">
        <v>79</v>
      </c>
      <c r="AP82" s="75"/>
      <c r="AQ82" s="75"/>
      <c r="AR82" s="75"/>
      <c r="AS82" s="76"/>
      <c r="AT82" s="75"/>
      <c r="AU82" s="75"/>
      <c r="AV82" s="76"/>
    </row>
    <row r="83" spans="2:48" ht="15" customHeight="1" x14ac:dyDescent="0.25">
      <c r="B83" s="260"/>
      <c r="D83" s="262"/>
      <c r="F83" s="264"/>
      <c r="G83" s="264"/>
      <c r="H83" s="265"/>
      <c r="I83" s="266"/>
      <c r="K83" s="268"/>
      <c r="L83" s="278"/>
      <c r="M83" s="274"/>
      <c r="N83" s="258"/>
      <c r="O83" s="258"/>
      <c r="P83" s="258"/>
      <c r="Q83" s="276"/>
      <c r="W83" s="272"/>
      <c r="X83" s="272"/>
      <c r="Y83" s="272"/>
      <c r="Z83" s="258"/>
      <c r="AA83" s="258"/>
      <c r="AB83" s="258"/>
      <c r="AC83" s="258"/>
      <c r="AD83" s="258"/>
      <c r="AE83" s="258"/>
      <c r="AF83" s="258"/>
      <c r="AG83" s="258"/>
      <c r="AH83" s="258"/>
      <c r="AO83" s="74">
        <v>80</v>
      </c>
      <c r="AP83" s="75"/>
      <c r="AQ83" s="75"/>
      <c r="AR83" s="75"/>
      <c r="AS83" s="76"/>
      <c r="AT83" s="75"/>
      <c r="AU83" s="75"/>
      <c r="AV83" s="76"/>
    </row>
    <row r="84" spans="2:48" ht="15" customHeight="1" x14ac:dyDescent="0.25">
      <c r="B84" s="260"/>
      <c r="D84" s="262"/>
      <c r="F84" s="264"/>
      <c r="G84" s="264"/>
      <c r="H84" s="265"/>
      <c r="I84" s="266"/>
      <c r="K84" s="268"/>
      <c r="L84" s="273"/>
      <c r="M84" s="274"/>
      <c r="N84" s="270"/>
      <c r="O84" s="270"/>
      <c r="P84" s="270"/>
      <c r="Q84" s="275"/>
      <c r="R84" s="272"/>
      <c r="S84" s="272"/>
      <c r="T84" s="272"/>
      <c r="U84" s="272"/>
      <c r="V84" s="272"/>
      <c r="W84" s="272"/>
      <c r="X84" s="272"/>
      <c r="Y84" s="272"/>
      <c r="Z84" s="258"/>
      <c r="AA84" s="258"/>
      <c r="AB84" s="258"/>
      <c r="AC84" s="258"/>
      <c r="AD84" s="258"/>
      <c r="AE84" s="258"/>
      <c r="AF84" s="258"/>
      <c r="AG84" s="258"/>
      <c r="AH84" s="258"/>
      <c r="AI84" s="258"/>
      <c r="AM84" s="258"/>
      <c r="AN84" s="258"/>
      <c r="AO84" s="74">
        <v>81</v>
      </c>
      <c r="AP84" s="75"/>
      <c r="AQ84" s="75"/>
      <c r="AR84" s="75"/>
      <c r="AS84" s="76"/>
      <c r="AT84" s="75"/>
      <c r="AU84" s="75"/>
      <c r="AV84" s="76"/>
    </row>
    <row r="85" spans="2:48" ht="15" customHeight="1" x14ac:dyDescent="0.25">
      <c r="B85" s="260"/>
      <c r="D85" s="262"/>
      <c r="F85" s="264"/>
      <c r="G85" s="264"/>
      <c r="H85" s="265"/>
      <c r="I85" s="266"/>
      <c r="K85" s="268"/>
      <c r="L85" s="273"/>
      <c r="M85" s="274"/>
      <c r="N85" s="258"/>
      <c r="O85" s="258"/>
      <c r="P85" s="258"/>
      <c r="Q85" s="276"/>
      <c r="R85" s="272"/>
      <c r="S85" s="272"/>
      <c r="T85" s="272"/>
      <c r="U85" s="272"/>
      <c r="V85" s="272"/>
      <c r="W85" s="272"/>
      <c r="X85" s="272"/>
      <c r="Y85" s="272"/>
      <c r="Z85" s="258"/>
      <c r="AA85" s="258"/>
      <c r="AB85" s="258"/>
      <c r="AC85" s="258"/>
      <c r="AD85" s="258"/>
      <c r="AE85" s="258"/>
      <c r="AF85" s="258"/>
      <c r="AG85" s="258"/>
      <c r="AH85" s="258"/>
      <c r="AI85" s="258"/>
      <c r="AM85" s="258"/>
      <c r="AN85" s="258"/>
      <c r="AO85" s="74">
        <v>82</v>
      </c>
      <c r="AP85" s="75"/>
      <c r="AQ85" s="75"/>
      <c r="AR85" s="75"/>
      <c r="AS85" s="76"/>
      <c r="AT85" s="75"/>
      <c r="AU85" s="75"/>
      <c r="AV85" s="76"/>
    </row>
    <row r="86" spans="2:48" ht="15" customHeight="1" x14ac:dyDescent="0.25">
      <c r="B86" s="260"/>
      <c r="D86" s="262"/>
      <c r="F86" s="264"/>
      <c r="G86" s="264"/>
      <c r="H86" s="265"/>
      <c r="I86" s="266"/>
      <c r="K86" s="268"/>
      <c r="L86" s="273"/>
      <c r="M86" s="274"/>
      <c r="N86" s="258"/>
      <c r="O86" s="258"/>
      <c r="P86" s="258"/>
      <c r="Q86" s="276"/>
      <c r="R86" s="272"/>
      <c r="S86" s="272"/>
      <c r="T86" s="272"/>
      <c r="U86" s="272"/>
      <c r="V86" s="272"/>
      <c r="W86" s="272"/>
      <c r="X86" s="272"/>
      <c r="Y86" s="272"/>
      <c r="Z86" s="258"/>
      <c r="AA86" s="258"/>
      <c r="AB86" s="258"/>
      <c r="AC86" s="258"/>
      <c r="AD86" s="258"/>
      <c r="AE86" s="258"/>
      <c r="AF86" s="258"/>
      <c r="AG86" s="258"/>
      <c r="AH86" s="270"/>
      <c r="AI86" s="270"/>
      <c r="AM86" s="270"/>
      <c r="AO86" s="74">
        <v>83</v>
      </c>
      <c r="AP86" s="75"/>
      <c r="AQ86" s="75"/>
      <c r="AR86" s="75"/>
      <c r="AS86" s="76"/>
      <c r="AT86" s="75"/>
      <c r="AU86" s="75"/>
      <c r="AV86" s="76"/>
    </row>
    <row r="87" spans="2:48" ht="15" customHeight="1" x14ac:dyDescent="0.25">
      <c r="B87" s="260"/>
      <c r="D87" s="262"/>
      <c r="F87" s="264"/>
      <c r="G87" s="264"/>
      <c r="H87" s="265"/>
      <c r="I87" s="266"/>
      <c r="K87" s="268"/>
      <c r="L87" s="273"/>
      <c r="M87" s="277"/>
      <c r="N87" s="258"/>
      <c r="O87" s="258"/>
      <c r="P87" s="258"/>
      <c r="Q87" s="276"/>
      <c r="R87" s="272"/>
      <c r="S87" s="272"/>
      <c r="T87" s="272"/>
      <c r="U87" s="272"/>
      <c r="V87" s="272"/>
      <c r="W87" s="272"/>
      <c r="X87" s="272"/>
      <c r="Y87" s="272"/>
      <c r="Z87" s="258"/>
      <c r="AA87" s="258"/>
      <c r="AB87" s="258"/>
      <c r="AC87" s="258"/>
      <c r="AD87" s="258"/>
      <c r="AE87" s="258"/>
      <c r="AF87" s="258"/>
      <c r="AG87" s="258"/>
      <c r="AH87" s="270"/>
      <c r="AI87" s="270"/>
      <c r="AM87" s="270"/>
      <c r="AO87" s="74">
        <v>84</v>
      </c>
      <c r="AP87" s="75"/>
      <c r="AQ87" s="75"/>
      <c r="AR87" s="75"/>
      <c r="AS87" s="76"/>
      <c r="AT87" s="75"/>
      <c r="AU87" s="75"/>
      <c r="AV87" s="76"/>
    </row>
    <row r="88" spans="2:48" ht="15" customHeight="1" x14ac:dyDescent="0.25">
      <c r="B88" s="260"/>
      <c r="D88" s="262"/>
      <c r="F88" s="264"/>
      <c r="G88" s="264"/>
      <c r="H88" s="265"/>
      <c r="I88" s="266"/>
      <c r="K88" s="268"/>
      <c r="L88" s="278"/>
      <c r="M88" s="274"/>
      <c r="N88" s="258"/>
      <c r="O88" s="258"/>
      <c r="P88" s="258"/>
      <c r="Q88" s="276"/>
      <c r="R88" s="272"/>
      <c r="S88" s="272"/>
      <c r="T88" s="272"/>
      <c r="U88" s="272"/>
      <c r="V88" s="272"/>
      <c r="W88" s="272"/>
      <c r="X88" s="272"/>
      <c r="Y88" s="272"/>
      <c r="Z88" s="258"/>
      <c r="AA88" s="258"/>
      <c r="AB88" s="258"/>
      <c r="AC88" s="258"/>
      <c r="AD88" s="258"/>
      <c r="AE88" s="258"/>
      <c r="AF88" s="258"/>
      <c r="AG88" s="258"/>
      <c r="AH88" s="270"/>
      <c r="AI88" s="270"/>
      <c r="AM88" s="270"/>
      <c r="AO88" s="74">
        <v>85</v>
      </c>
      <c r="AP88" s="75"/>
      <c r="AQ88" s="75"/>
      <c r="AR88" s="75"/>
      <c r="AS88" s="76"/>
      <c r="AT88" s="75"/>
      <c r="AU88" s="75"/>
      <c r="AV88" s="76"/>
    </row>
    <row r="89" spans="2:48" ht="15" customHeight="1" x14ac:dyDescent="0.25">
      <c r="B89" s="260"/>
      <c r="D89" s="262"/>
      <c r="F89" s="264"/>
      <c r="G89" s="264"/>
      <c r="H89" s="265"/>
      <c r="I89" s="266"/>
      <c r="K89" s="268"/>
      <c r="L89" s="278"/>
      <c r="M89" s="274"/>
      <c r="N89" s="258"/>
      <c r="O89" s="258"/>
      <c r="P89" s="258"/>
      <c r="Q89" s="276"/>
      <c r="R89" s="272"/>
      <c r="S89" s="272"/>
      <c r="T89" s="272"/>
      <c r="U89" s="272"/>
      <c r="V89" s="272"/>
      <c r="W89" s="272"/>
      <c r="X89" s="272"/>
      <c r="Y89" s="272"/>
      <c r="Z89" s="258"/>
      <c r="AA89" s="258"/>
      <c r="AB89" s="258"/>
      <c r="AC89" s="258"/>
      <c r="AD89" s="258"/>
      <c r="AE89" s="258"/>
      <c r="AF89" s="258"/>
      <c r="AG89" s="258"/>
      <c r="AH89" s="258"/>
      <c r="AO89" s="74">
        <v>86</v>
      </c>
      <c r="AP89" s="75"/>
      <c r="AQ89" s="75"/>
      <c r="AR89" s="75"/>
      <c r="AS89" s="76"/>
      <c r="AT89" s="75"/>
      <c r="AU89" s="75"/>
      <c r="AV89" s="76"/>
    </row>
    <row r="90" spans="2:48" ht="15" customHeight="1" x14ac:dyDescent="0.25">
      <c r="B90" s="260"/>
      <c r="D90" s="262"/>
      <c r="F90" s="264"/>
      <c r="G90" s="264"/>
      <c r="H90" s="265"/>
      <c r="I90" s="266"/>
      <c r="K90" s="268"/>
      <c r="L90" s="278"/>
      <c r="M90" s="274"/>
      <c r="N90" s="258"/>
      <c r="O90" s="258"/>
      <c r="P90" s="258"/>
      <c r="Q90" s="276"/>
      <c r="R90" s="272"/>
      <c r="S90" s="272"/>
      <c r="T90" s="272"/>
      <c r="U90" s="272"/>
      <c r="V90" s="272"/>
      <c r="W90" s="272"/>
      <c r="X90" s="272"/>
      <c r="Y90" s="272"/>
      <c r="Z90" s="258"/>
      <c r="AA90" s="258"/>
      <c r="AB90" s="258"/>
      <c r="AC90" s="258"/>
      <c r="AD90" s="258"/>
      <c r="AE90" s="258"/>
      <c r="AF90" s="258"/>
      <c r="AG90" s="258"/>
      <c r="AH90" s="258"/>
      <c r="AO90" s="74">
        <v>87</v>
      </c>
      <c r="AP90" s="75"/>
      <c r="AQ90" s="75"/>
      <c r="AR90" s="75"/>
      <c r="AS90" s="76"/>
      <c r="AT90" s="75"/>
      <c r="AU90" s="75"/>
      <c r="AV90" s="76"/>
    </row>
    <row r="91" spans="2:48" ht="15" customHeight="1" x14ac:dyDescent="0.25">
      <c r="B91" s="260"/>
      <c r="D91" s="262"/>
      <c r="F91" s="264"/>
      <c r="G91" s="264"/>
      <c r="H91" s="265"/>
      <c r="I91" s="266"/>
      <c r="K91" s="268"/>
      <c r="L91" s="278"/>
      <c r="M91" s="274"/>
      <c r="N91" s="258"/>
      <c r="O91" s="258"/>
      <c r="P91" s="258"/>
      <c r="Q91" s="276"/>
      <c r="R91" s="272"/>
      <c r="S91" s="272"/>
      <c r="T91" s="272"/>
      <c r="U91" s="272"/>
      <c r="V91" s="272"/>
      <c r="W91" s="272"/>
      <c r="X91" s="272"/>
      <c r="Y91" s="272"/>
      <c r="Z91" s="258"/>
      <c r="AA91" s="258"/>
      <c r="AB91" s="258"/>
      <c r="AC91" s="258"/>
      <c r="AD91" s="258"/>
      <c r="AE91" s="258"/>
      <c r="AF91" s="258"/>
      <c r="AG91" s="258"/>
      <c r="AH91" s="258"/>
      <c r="AO91" s="74">
        <v>88</v>
      </c>
      <c r="AP91" s="75"/>
      <c r="AQ91" s="75"/>
      <c r="AR91" s="75"/>
      <c r="AS91" s="76"/>
      <c r="AT91" s="75"/>
      <c r="AU91" s="75"/>
      <c r="AV91" s="76"/>
    </row>
    <row r="92" spans="2:48" ht="15" customHeight="1" x14ac:dyDescent="0.25">
      <c r="B92" s="260"/>
      <c r="D92" s="262"/>
      <c r="F92" s="264"/>
      <c r="G92" s="264"/>
      <c r="H92" s="265"/>
      <c r="I92" s="266"/>
      <c r="K92" s="268"/>
      <c r="L92" s="278"/>
      <c r="M92" s="274"/>
      <c r="N92" s="258"/>
      <c r="O92" s="258"/>
      <c r="P92" s="258"/>
      <c r="Q92" s="276"/>
      <c r="R92" s="272"/>
      <c r="S92" s="272"/>
      <c r="T92" s="272"/>
      <c r="U92" s="272"/>
      <c r="V92" s="272"/>
      <c r="W92" s="272"/>
      <c r="X92" s="272"/>
      <c r="Y92" s="272"/>
      <c r="Z92" s="258"/>
      <c r="AA92" s="258"/>
      <c r="AB92" s="258"/>
      <c r="AC92" s="258"/>
      <c r="AD92" s="258"/>
      <c r="AE92" s="258"/>
      <c r="AF92" s="258"/>
      <c r="AG92" s="258"/>
      <c r="AH92" s="258"/>
      <c r="AO92" s="74">
        <v>89</v>
      </c>
      <c r="AP92" s="75"/>
      <c r="AQ92" s="75"/>
      <c r="AR92" s="75"/>
      <c r="AS92" s="76"/>
      <c r="AT92" s="75"/>
      <c r="AU92" s="75"/>
      <c r="AV92" s="76"/>
    </row>
    <row r="93" spans="2:48" ht="15" customHeight="1" x14ac:dyDescent="0.25">
      <c r="B93" s="260"/>
      <c r="D93" s="262"/>
      <c r="F93" s="264"/>
      <c r="G93" s="264"/>
      <c r="H93" s="265"/>
      <c r="I93" s="266"/>
      <c r="K93" s="268"/>
      <c r="L93" s="278"/>
      <c r="M93" s="274"/>
      <c r="N93" s="258"/>
      <c r="O93" s="258"/>
      <c r="P93" s="258"/>
      <c r="Q93" s="276"/>
      <c r="W93" s="272"/>
      <c r="X93" s="272"/>
      <c r="Y93" s="272"/>
      <c r="Z93" s="258"/>
      <c r="AA93" s="258"/>
      <c r="AB93" s="258"/>
      <c r="AC93" s="258"/>
      <c r="AD93" s="258"/>
      <c r="AE93" s="258"/>
      <c r="AF93" s="258"/>
      <c r="AG93" s="258"/>
      <c r="AH93" s="258"/>
      <c r="AO93" s="74">
        <v>90</v>
      </c>
      <c r="AP93" s="75"/>
      <c r="AQ93" s="75"/>
      <c r="AR93" s="75"/>
      <c r="AS93" s="76"/>
      <c r="AT93" s="75"/>
      <c r="AU93" s="75"/>
      <c r="AV93" s="76"/>
    </row>
    <row r="94" spans="2:48" ht="15" customHeight="1" x14ac:dyDescent="0.25">
      <c r="B94" s="260"/>
      <c r="D94" s="262"/>
      <c r="F94" s="264"/>
      <c r="G94" s="264"/>
      <c r="H94" s="265"/>
      <c r="I94" s="266"/>
      <c r="K94" s="268"/>
      <c r="L94" s="278"/>
      <c r="M94" s="274"/>
      <c r="N94" s="258"/>
      <c r="O94" s="258"/>
      <c r="P94" s="258"/>
      <c r="Q94" s="276"/>
      <c r="W94" s="272"/>
      <c r="X94" s="272"/>
      <c r="Y94" s="272"/>
      <c r="Z94" s="258"/>
      <c r="AA94" s="258"/>
      <c r="AB94" s="258"/>
      <c r="AC94" s="258"/>
      <c r="AD94" s="258"/>
      <c r="AE94" s="258"/>
      <c r="AF94" s="258"/>
      <c r="AG94" s="258"/>
      <c r="AH94" s="258"/>
      <c r="AO94" s="74">
        <v>91</v>
      </c>
      <c r="AP94" s="75"/>
      <c r="AQ94" s="75"/>
      <c r="AR94" s="75"/>
      <c r="AS94" s="76"/>
      <c r="AT94" s="75"/>
      <c r="AU94" s="75"/>
      <c r="AV94" s="76"/>
    </row>
    <row r="95" spans="2:48" ht="15" customHeight="1" x14ac:dyDescent="0.25">
      <c r="B95" s="260"/>
      <c r="D95" s="262"/>
      <c r="F95" s="264"/>
      <c r="G95" s="264"/>
      <c r="H95" s="265"/>
      <c r="I95" s="266"/>
      <c r="K95" s="268"/>
      <c r="L95" s="278"/>
      <c r="M95" s="274"/>
      <c r="N95" s="258"/>
      <c r="O95" s="258"/>
      <c r="P95" s="258"/>
      <c r="Q95" s="276"/>
      <c r="W95" s="272"/>
      <c r="X95" s="272"/>
      <c r="Y95" s="272"/>
      <c r="Z95" s="258"/>
      <c r="AA95" s="258"/>
      <c r="AB95" s="258"/>
      <c r="AC95" s="258"/>
      <c r="AD95" s="258"/>
      <c r="AE95" s="258"/>
      <c r="AF95" s="258"/>
      <c r="AG95" s="258"/>
      <c r="AH95" s="258"/>
      <c r="AO95" s="74">
        <v>92</v>
      </c>
      <c r="AP95" s="279"/>
      <c r="AQ95" s="279"/>
      <c r="AR95" s="279"/>
      <c r="AS95" s="280"/>
      <c r="AT95" s="279"/>
      <c r="AU95" s="279"/>
      <c r="AV95" s="280"/>
    </row>
    <row r="96" spans="2:48" ht="15" customHeight="1" x14ac:dyDescent="0.25">
      <c r="B96" s="260"/>
      <c r="D96" s="262"/>
      <c r="F96" s="264"/>
      <c r="G96" s="264"/>
      <c r="H96" s="265"/>
      <c r="I96" s="266"/>
      <c r="K96" s="268"/>
      <c r="L96" s="273"/>
      <c r="M96" s="274"/>
      <c r="N96" s="270"/>
      <c r="O96" s="270"/>
      <c r="P96" s="270"/>
      <c r="Q96" s="275"/>
      <c r="R96" s="272"/>
      <c r="S96" s="272"/>
      <c r="T96" s="272"/>
      <c r="U96" s="272"/>
      <c r="V96" s="272"/>
      <c r="W96" s="272"/>
      <c r="X96" s="272"/>
      <c r="Y96" s="272"/>
      <c r="Z96" s="258"/>
      <c r="AA96" s="258"/>
      <c r="AB96" s="258"/>
      <c r="AC96" s="258"/>
      <c r="AD96" s="258"/>
      <c r="AE96" s="258"/>
      <c r="AF96" s="258"/>
      <c r="AG96" s="258"/>
      <c r="AH96" s="258"/>
      <c r="AI96" s="258"/>
      <c r="AM96" s="258"/>
      <c r="AN96" s="258"/>
      <c r="AO96" s="74">
        <v>93</v>
      </c>
      <c r="AP96" s="279"/>
      <c r="AQ96" s="279"/>
      <c r="AR96" s="279"/>
      <c r="AS96" s="280"/>
      <c r="AT96" s="279"/>
      <c r="AU96" s="279"/>
      <c r="AV96" s="280"/>
    </row>
    <row r="97" spans="2:49" ht="15" customHeight="1" x14ac:dyDescent="0.25">
      <c r="B97" s="260"/>
      <c r="D97" s="262"/>
      <c r="F97" s="264"/>
      <c r="G97" s="264"/>
      <c r="H97" s="265"/>
      <c r="I97" s="266"/>
      <c r="K97" s="268"/>
      <c r="L97" s="273"/>
      <c r="M97" s="274"/>
      <c r="N97" s="258"/>
      <c r="O97" s="258"/>
      <c r="P97" s="258"/>
      <c r="Q97" s="276"/>
      <c r="R97" s="272"/>
      <c r="S97" s="272"/>
      <c r="T97" s="272"/>
      <c r="U97" s="272"/>
      <c r="V97" s="272"/>
      <c r="W97" s="272"/>
      <c r="X97" s="272"/>
      <c r="Y97" s="272"/>
      <c r="Z97" s="258"/>
      <c r="AA97" s="258"/>
      <c r="AB97" s="258"/>
      <c r="AC97" s="258"/>
      <c r="AD97" s="258"/>
      <c r="AE97" s="258"/>
      <c r="AF97" s="258"/>
      <c r="AG97" s="258"/>
      <c r="AH97" s="258"/>
      <c r="AI97" s="258"/>
      <c r="AM97" s="258"/>
      <c r="AN97" s="258"/>
      <c r="AO97" s="74">
        <v>94</v>
      </c>
      <c r="AP97" s="279"/>
      <c r="AQ97" s="279"/>
      <c r="AR97" s="279"/>
      <c r="AS97" s="280"/>
      <c r="AT97" s="279"/>
      <c r="AU97" s="279"/>
      <c r="AV97" s="280"/>
    </row>
    <row r="98" spans="2:49" ht="15" customHeight="1" x14ac:dyDescent="0.25">
      <c r="B98" s="260"/>
      <c r="D98" s="262"/>
      <c r="F98" s="264"/>
      <c r="G98" s="264"/>
      <c r="H98" s="265"/>
      <c r="I98" s="266"/>
      <c r="K98" s="268"/>
      <c r="L98" s="273"/>
      <c r="M98" s="274"/>
      <c r="N98" s="258"/>
      <c r="O98" s="258"/>
      <c r="P98" s="258"/>
      <c r="Q98" s="276"/>
      <c r="R98" s="272"/>
      <c r="S98" s="272"/>
      <c r="T98" s="272"/>
      <c r="U98" s="272"/>
      <c r="V98" s="272"/>
      <c r="W98" s="272"/>
      <c r="X98" s="272"/>
      <c r="Y98" s="272"/>
      <c r="Z98" s="258"/>
      <c r="AA98" s="258"/>
      <c r="AB98" s="258"/>
      <c r="AC98" s="258"/>
      <c r="AD98" s="258"/>
      <c r="AE98" s="258"/>
      <c r="AF98" s="258"/>
      <c r="AG98" s="258"/>
      <c r="AH98" s="270"/>
      <c r="AI98" s="270"/>
      <c r="AM98" s="270"/>
      <c r="AO98" s="74">
        <v>95</v>
      </c>
      <c r="AP98" s="279"/>
      <c r="AQ98" s="279"/>
      <c r="AR98" s="279"/>
      <c r="AS98" s="280"/>
      <c r="AT98" s="279"/>
      <c r="AU98" s="279"/>
      <c r="AV98" s="280"/>
    </row>
    <row r="99" spans="2:49" ht="15" customHeight="1" x14ac:dyDescent="0.25">
      <c r="B99" s="260"/>
      <c r="D99" s="262"/>
      <c r="F99" s="264"/>
      <c r="G99" s="264"/>
      <c r="H99" s="265"/>
      <c r="I99" s="266"/>
      <c r="K99" s="268"/>
      <c r="L99" s="273"/>
      <c r="M99" s="277"/>
      <c r="N99" s="258"/>
      <c r="O99" s="258"/>
      <c r="P99" s="258"/>
      <c r="Q99" s="276"/>
      <c r="R99" s="272"/>
      <c r="S99" s="272"/>
      <c r="T99" s="272"/>
      <c r="U99" s="272"/>
      <c r="V99" s="272"/>
      <c r="W99" s="272"/>
      <c r="X99" s="272"/>
      <c r="Y99" s="272"/>
      <c r="Z99" s="258"/>
      <c r="AA99" s="258"/>
      <c r="AB99" s="258"/>
      <c r="AC99" s="258"/>
      <c r="AD99" s="258"/>
      <c r="AE99" s="258"/>
      <c r="AF99" s="258"/>
      <c r="AG99" s="258"/>
      <c r="AH99" s="270"/>
      <c r="AI99" s="270"/>
      <c r="AM99" s="270"/>
      <c r="AO99" s="74">
        <v>96</v>
      </c>
      <c r="AP99" s="279"/>
      <c r="AQ99" s="279"/>
      <c r="AR99" s="279"/>
      <c r="AS99" s="280"/>
      <c r="AT99" s="279"/>
      <c r="AU99" s="279"/>
      <c r="AV99" s="280"/>
    </row>
    <row r="100" spans="2:49" ht="15" customHeight="1" x14ac:dyDescent="0.25">
      <c r="B100" s="260"/>
      <c r="D100" s="262"/>
      <c r="F100" s="264"/>
      <c r="G100" s="264"/>
      <c r="H100" s="265"/>
      <c r="I100" s="266"/>
      <c r="K100" s="268"/>
      <c r="L100" s="278"/>
      <c r="M100" s="274"/>
      <c r="N100" s="258"/>
      <c r="O100" s="258"/>
      <c r="P100" s="258"/>
      <c r="Q100" s="276"/>
      <c r="R100" s="272"/>
      <c r="S100" s="272"/>
      <c r="T100" s="272"/>
      <c r="U100" s="272"/>
      <c r="V100" s="272"/>
      <c r="W100" s="272"/>
      <c r="X100" s="272"/>
      <c r="Y100" s="272"/>
      <c r="Z100" s="258"/>
      <c r="AA100" s="258"/>
      <c r="AB100" s="258"/>
      <c r="AC100" s="258"/>
      <c r="AD100" s="258"/>
      <c r="AE100" s="258"/>
      <c r="AF100" s="258"/>
      <c r="AG100" s="258"/>
      <c r="AH100" s="270"/>
      <c r="AI100" s="270"/>
      <c r="AM100" s="270"/>
      <c r="AO100" s="74">
        <v>97</v>
      </c>
      <c r="AP100" s="279"/>
      <c r="AQ100" s="279"/>
      <c r="AR100" s="279"/>
      <c r="AS100" s="280"/>
      <c r="AT100" s="279"/>
      <c r="AU100" s="279"/>
      <c r="AV100" s="280"/>
    </row>
    <row r="101" spans="2:49" ht="15" customHeight="1" x14ac:dyDescent="0.25">
      <c r="B101" s="260"/>
      <c r="D101" s="262"/>
      <c r="F101" s="264"/>
      <c r="G101" s="264"/>
      <c r="H101" s="265"/>
      <c r="I101" s="266"/>
      <c r="K101" s="268"/>
      <c r="L101" s="278"/>
      <c r="M101" s="274"/>
      <c r="N101" s="258"/>
      <c r="O101" s="258"/>
      <c r="P101" s="258"/>
      <c r="Q101" s="276"/>
      <c r="R101" s="272"/>
      <c r="S101" s="272"/>
      <c r="T101" s="272"/>
      <c r="U101" s="272"/>
      <c r="V101" s="272"/>
      <c r="W101" s="272"/>
      <c r="X101" s="272"/>
      <c r="Y101" s="272"/>
      <c r="Z101" s="258"/>
      <c r="AA101" s="258"/>
      <c r="AB101" s="258"/>
      <c r="AC101" s="258"/>
      <c r="AD101" s="258"/>
      <c r="AE101" s="258"/>
      <c r="AF101" s="258"/>
      <c r="AG101" s="258"/>
      <c r="AH101" s="258"/>
      <c r="AO101" s="74">
        <v>98</v>
      </c>
      <c r="AP101" s="279"/>
      <c r="AQ101" s="279"/>
      <c r="AR101" s="279"/>
      <c r="AS101" s="280"/>
      <c r="AT101" s="279"/>
      <c r="AU101" s="279"/>
      <c r="AV101" s="280"/>
    </row>
    <row r="102" spans="2:49" ht="15" customHeight="1" thickBot="1" x14ac:dyDescent="0.3">
      <c r="B102" s="260"/>
      <c r="D102" s="262"/>
      <c r="F102" s="264"/>
      <c r="G102" s="264"/>
      <c r="H102" s="265"/>
      <c r="I102" s="266"/>
      <c r="K102" s="268"/>
      <c r="L102" s="278"/>
      <c r="M102" s="274"/>
      <c r="N102" s="258"/>
      <c r="O102" s="258"/>
      <c r="P102" s="258"/>
      <c r="Q102" s="276"/>
      <c r="R102" s="272"/>
      <c r="S102" s="272"/>
      <c r="T102" s="272"/>
      <c r="U102" s="272"/>
      <c r="V102" s="272"/>
      <c r="W102" s="272"/>
      <c r="X102" s="272"/>
      <c r="Y102" s="272"/>
      <c r="Z102" s="258"/>
      <c r="AA102" s="258"/>
      <c r="AB102" s="258"/>
      <c r="AC102" s="258"/>
      <c r="AD102" s="258"/>
      <c r="AE102" s="258"/>
      <c r="AF102" s="258"/>
      <c r="AG102" s="258"/>
      <c r="AH102" s="258"/>
      <c r="AO102" s="281">
        <v>99</v>
      </c>
      <c r="AP102" s="282"/>
      <c r="AQ102" s="282"/>
      <c r="AR102" s="282"/>
      <c r="AS102" s="283"/>
      <c r="AT102" s="279"/>
      <c r="AU102" s="282"/>
      <c r="AV102" s="283"/>
    </row>
    <row r="103" spans="2:49" ht="15" customHeight="1" thickBot="1" x14ac:dyDescent="0.3">
      <c r="B103" s="260"/>
      <c r="D103" s="262"/>
      <c r="F103" s="264"/>
      <c r="G103" s="264"/>
      <c r="H103" s="265"/>
      <c r="I103" s="266"/>
      <c r="K103" s="268"/>
      <c r="L103" s="278"/>
      <c r="M103" s="274"/>
      <c r="N103" s="258"/>
      <c r="O103" s="258"/>
      <c r="P103" s="258"/>
      <c r="Q103" s="276"/>
      <c r="R103" s="272"/>
      <c r="S103" s="272"/>
      <c r="T103" s="272"/>
      <c r="U103" s="272"/>
      <c r="V103" s="272"/>
      <c r="W103" s="272"/>
      <c r="X103" s="272"/>
      <c r="Y103" s="272"/>
      <c r="Z103" s="258"/>
      <c r="AA103" s="258"/>
      <c r="AB103" s="258"/>
      <c r="AC103" s="258"/>
      <c r="AD103" s="258"/>
      <c r="AE103" s="258"/>
      <c r="AF103" s="258"/>
      <c r="AG103" s="258"/>
      <c r="AH103" s="258"/>
      <c r="AO103" s="284"/>
      <c r="AP103" s="285">
        <f t="shared" ref="AP103:AV103" si="5">SUM(AP4:AP102)</f>
        <v>103</v>
      </c>
      <c r="AQ103" s="286">
        <f t="shared" si="5"/>
        <v>98</v>
      </c>
      <c r="AR103" s="285">
        <f t="shared" si="5"/>
        <v>5</v>
      </c>
      <c r="AS103" s="287">
        <f t="shared" si="5"/>
        <v>0</v>
      </c>
      <c r="AT103" s="285">
        <f t="shared" si="5"/>
        <v>0</v>
      </c>
      <c r="AU103" s="285">
        <f t="shared" si="5"/>
        <v>90</v>
      </c>
      <c r="AV103" s="285">
        <f t="shared" si="5"/>
        <v>5</v>
      </c>
    </row>
    <row r="104" spans="2:49" ht="15" customHeight="1" x14ac:dyDescent="0.25">
      <c r="B104" s="260"/>
      <c r="D104" s="262"/>
      <c r="F104" s="264"/>
      <c r="G104" s="264"/>
      <c r="H104" s="265"/>
      <c r="I104" s="266"/>
      <c r="K104" s="268"/>
      <c r="L104" s="278"/>
      <c r="M104" s="274"/>
      <c r="N104" s="258"/>
      <c r="O104" s="258"/>
      <c r="P104" s="258"/>
      <c r="Q104" s="276"/>
      <c r="R104" s="272"/>
      <c r="S104" s="272"/>
      <c r="T104" s="272"/>
      <c r="U104" s="272"/>
      <c r="V104" s="272"/>
      <c r="W104" s="272"/>
      <c r="X104" s="272"/>
      <c r="Y104" s="272"/>
      <c r="Z104" s="258"/>
      <c r="AA104" s="258"/>
      <c r="AB104" s="258"/>
      <c r="AC104" s="258"/>
      <c r="AD104" s="258"/>
      <c r="AE104" s="258"/>
      <c r="AF104" s="258"/>
      <c r="AG104" s="258"/>
      <c r="AH104" s="258"/>
      <c r="AQ104" s="259"/>
      <c r="AR104" s="259"/>
      <c r="AS104" s="259"/>
      <c r="AT104" s="259"/>
      <c r="AU104" s="259"/>
      <c r="AV104" s="259"/>
      <c r="AW104" s="259"/>
    </row>
    <row r="105" spans="2:49" ht="15" customHeight="1" x14ac:dyDescent="0.25">
      <c r="B105" s="260"/>
      <c r="D105" s="262"/>
      <c r="F105" s="264"/>
      <c r="G105" s="264"/>
      <c r="H105" s="265"/>
      <c r="I105" s="266"/>
      <c r="K105" s="268"/>
      <c r="L105" s="278"/>
      <c r="M105" s="274"/>
      <c r="N105" s="258"/>
      <c r="O105" s="258"/>
      <c r="P105" s="258"/>
      <c r="Q105" s="276"/>
      <c r="W105" s="272"/>
      <c r="X105" s="272"/>
      <c r="Y105" s="272"/>
      <c r="Z105" s="258"/>
      <c r="AA105" s="258"/>
      <c r="AB105" s="258"/>
      <c r="AC105" s="258"/>
      <c r="AD105" s="258"/>
      <c r="AE105" s="258"/>
      <c r="AF105" s="258"/>
      <c r="AG105" s="258"/>
      <c r="AH105" s="258"/>
      <c r="AQ105" s="259"/>
      <c r="AR105" s="259"/>
      <c r="AS105" s="259"/>
      <c r="AT105" s="259"/>
      <c r="AU105" s="259"/>
      <c r="AV105" s="259"/>
      <c r="AW105" s="259"/>
    </row>
    <row r="106" spans="2:49" ht="15" customHeight="1" x14ac:dyDescent="0.25">
      <c r="B106" s="260"/>
      <c r="D106" s="262"/>
      <c r="F106" s="264"/>
      <c r="G106" s="264"/>
      <c r="H106" s="265"/>
      <c r="I106" s="266"/>
      <c r="K106" s="268"/>
      <c r="L106" s="278"/>
      <c r="M106" s="274"/>
      <c r="N106" s="258"/>
      <c r="O106" s="258"/>
      <c r="P106" s="258"/>
      <c r="Q106" s="276"/>
      <c r="W106" s="272"/>
      <c r="X106" s="272"/>
      <c r="Y106" s="272"/>
      <c r="Z106" s="258"/>
      <c r="AA106" s="258"/>
      <c r="AB106" s="258"/>
      <c r="AC106" s="258"/>
      <c r="AD106" s="258"/>
      <c r="AE106" s="258"/>
      <c r="AF106" s="258"/>
      <c r="AG106" s="258"/>
      <c r="AH106" s="258"/>
      <c r="AQ106" s="259"/>
      <c r="AR106" s="259"/>
      <c r="AS106" s="259"/>
      <c r="AT106" s="259"/>
      <c r="AU106" s="259"/>
      <c r="AV106" s="259"/>
      <c r="AW106" s="259"/>
    </row>
    <row r="107" spans="2:49" ht="15" customHeight="1" x14ac:dyDescent="0.25">
      <c r="B107" s="260"/>
      <c r="D107" s="262"/>
      <c r="F107" s="264"/>
      <c r="G107" s="264"/>
      <c r="H107" s="265"/>
      <c r="I107" s="266"/>
      <c r="K107" s="268"/>
      <c r="L107" s="278"/>
      <c r="M107" s="274"/>
      <c r="N107" s="258"/>
      <c r="O107" s="258"/>
      <c r="P107" s="258"/>
      <c r="Q107" s="276"/>
      <c r="W107" s="272"/>
      <c r="X107" s="272"/>
      <c r="Y107" s="272"/>
      <c r="Z107" s="258"/>
      <c r="AA107" s="258"/>
      <c r="AB107" s="258"/>
      <c r="AC107" s="258"/>
      <c r="AD107" s="258"/>
      <c r="AE107" s="258"/>
      <c r="AF107" s="258"/>
      <c r="AG107" s="258"/>
      <c r="AH107" s="258"/>
      <c r="AQ107" s="259"/>
      <c r="AR107" s="259"/>
      <c r="AS107" s="259"/>
      <c r="AT107" s="259"/>
      <c r="AU107" s="259"/>
      <c r="AV107" s="259"/>
      <c r="AW107" s="259"/>
    </row>
    <row r="108" spans="2:49" ht="15" customHeight="1" x14ac:dyDescent="0.25">
      <c r="B108" s="260"/>
      <c r="D108" s="262"/>
      <c r="F108" s="264"/>
      <c r="G108" s="264"/>
      <c r="H108" s="265"/>
      <c r="I108" s="266"/>
      <c r="K108" s="268"/>
      <c r="L108" s="273"/>
      <c r="M108" s="274"/>
      <c r="N108" s="270"/>
      <c r="O108" s="270"/>
      <c r="P108" s="270"/>
      <c r="Q108" s="275"/>
      <c r="R108" s="272"/>
      <c r="S108" s="272"/>
      <c r="T108" s="272"/>
      <c r="U108" s="272"/>
      <c r="V108" s="272"/>
      <c r="W108" s="272"/>
      <c r="X108" s="272"/>
      <c r="Y108" s="272"/>
      <c r="Z108" s="258"/>
      <c r="AA108" s="258"/>
      <c r="AB108" s="258"/>
      <c r="AC108" s="258"/>
      <c r="AD108" s="258"/>
      <c r="AE108" s="258"/>
      <c r="AF108" s="258"/>
      <c r="AG108" s="258"/>
      <c r="AH108" s="258"/>
      <c r="AI108" s="258"/>
      <c r="AQ108" s="259"/>
      <c r="AR108" s="259"/>
      <c r="AS108" s="259"/>
      <c r="AT108" s="259"/>
      <c r="AU108" s="259"/>
      <c r="AV108" s="259"/>
      <c r="AW108" s="259"/>
    </row>
    <row r="109" spans="2:49" ht="15" customHeight="1" x14ac:dyDescent="0.25">
      <c r="B109" s="260"/>
      <c r="D109" s="262"/>
      <c r="F109" s="264"/>
      <c r="G109" s="264"/>
      <c r="H109" s="265"/>
      <c r="I109" s="266"/>
      <c r="K109" s="268"/>
      <c r="L109" s="273"/>
      <c r="M109" s="274"/>
      <c r="N109" s="258"/>
      <c r="O109" s="258"/>
      <c r="P109" s="258"/>
      <c r="Q109" s="276"/>
      <c r="R109" s="272"/>
      <c r="S109" s="272"/>
      <c r="T109" s="272"/>
      <c r="U109" s="272"/>
      <c r="V109" s="272"/>
      <c r="W109" s="272"/>
      <c r="X109" s="272"/>
      <c r="Y109" s="272"/>
      <c r="Z109" s="258"/>
      <c r="AA109" s="258"/>
      <c r="AB109" s="258"/>
      <c r="AC109" s="258"/>
      <c r="AD109" s="258"/>
      <c r="AE109" s="258"/>
      <c r="AF109" s="258"/>
      <c r="AG109" s="258"/>
      <c r="AH109" s="258"/>
      <c r="AI109" s="258"/>
      <c r="AQ109" s="259"/>
      <c r="AR109" s="259"/>
      <c r="AS109" s="259"/>
      <c r="AT109" s="259"/>
      <c r="AU109" s="259"/>
      <c r="AV109" s="259"/>
      <c r="AW109" s="259"/>
    </row>
    <row r="110" spans="2:49" ht="15" customHeight="1" x14ac:dyDescent="0.25">
      <c r="B110" s="260"/>
      <c r="D110" s="262"/>
      <c r="F110" s="264"/>
      <c r="G110" s="264"/>
      <c r="H110" s="265"/>
      <c r="I110" s="266"/>
      <c r="K110" s="268"/>
      <c r="L110" s="273"/>
      <c r="M110" s="274"/>
      <c r="N110" s="258"/>
      <c r="O110" s="258"/>
      <c r="P110" s="258"/>
      <c r="Q110" s="276"/>
      <c r="R110" s="272"/>
      <c r="S110" s="272"/>
      <c r="T110" s="272"/>
      <c r="U110" s="272"/>
      <c r="V110" s="272"/>
      <c r="W110" s="272"/>
      <c r="X110" s="272"/>
      <c r="Y110" s="272"/>
      <c r="Z110" s="258"/>
      <c r="AA110" s="258"/>
      <c r="AB110" s="258"/>
      <c r="AC110" s="258"/>
      <c r="AD110" s="258"/>
      <c r="AE110" s="258"/>
      <c r="AF110" s="258"/>
      <c r="AG110" s="258"/>
      <c r="AH110" s="270"/>
      <c r="AI110" s="270"/>
      <c r="AQ110" s="259"/>
      <c r="AR110" s="259"/>
      <c r="AS110" s="259"/>
      <c r="AT110" s="259"/>
      <c r="AU110" s="259"/>
      <c r="AV110" s="259"/>
      <c r="AW110" s="259"/>
    </row>
    <row r="111" spans="2:49" ht="15" customHeight="1" x14ac:dyDescent="0.25">
      <c r="B111" s="260"/>
      <c r="D111" s="262"/>
      <c r="F111" s="264"/>
      <c r="G111" s="264"/>
      <c r="H111" s="265"/>
      <c r="I111" s="266"/>
      <c r="K111" s="268"/>
      <c r="L111" s="273"/>
      <c r="M111" s="277"/>
      <c r="N111" s="258"/>
      <c r="O111" s="258"/>
      <c r="P111" s="258"/>
      <c r="Q111" s="276"/>
      <c r="R111" s="272"/>
      <c r="S111" s="272"/>
      <c r="T111" s="272"/>
      <c r="U111" s="272"/>
      <c r="V111" s="272"/>
      <c r="W111" s="272"/>
      <c r="X111" s="272"/>
      <c r="Y111" s="272"/>
      <c r="Z111" s="258"/>
      <c r="AA111" s="258"/>
      <c r="AB111" s="258"/>
      <c r="AC111" s="258"/>
      <c r="AD111" s="258"/>
      <c r="AE111" s="258"/>
      <c r="AF111" s="258"/>
      <c r="AG111" s="258"/>
      <c r="AH111" s="270"/>
      <c r="AI111" s="270"/>
      <c r="AQ111" s="259"/>
      <c r="AR111" s="259"/>
      <c r="AS111" s="259"/>
      <c r="AT111" s="259"/>
      <c r="AU111" s="259"/>
      <c r="AV111" s="259"/>
      <c r="AW111" s="259"/>
    </row>
    <row r="112" spans="2:49" ht="15" customHeight="1" x14ac:dyDescent="0.25">
      <c r="B112" s="260"/>
      <c r="D112" s="262"/>
      <c r="F112" s="264"/>
      <c r="G112" s="264"/>
      <c r="H112" s="265"/>
      <c r="I112" s="266"/>
      <c r="K112" s="268"/>
      <c r="L112" s="278"/>
      <c r="M112" s="274"/>
      <c r="N112" s="258"/>
      <c r="O112" s="258"/>
      <c r="P112" s="258"/>
      <c r="Q112" s="276"/>
      <c r="R112" s="272"/>
      <c r="S112" s="272"/>
      <c r="T112" s="272"/>
      <c r="U112" s="272"/>
      <c r="V112" s="272"/>
      <c r="W112" s="272"/>
      <c r="X112" s="272"/>
      <c r="Y112" s="272"/>
      <c r="Z112" s="258"/>
      <c r="AA112" s="258"/>
      <c r="AB112" s="258"/>
      <c r="AC112" s="258"/>
      <c r="AD112" s="258"/>
      <c r="AE112" s="258"/>
      <c r="AF112" s="258"/>
      <c r="AG112" s="258"/>
      <c r="AH112" s="270"/>
      <c r="AI112" s="270"/>
      <c r="AQ112" s="259"/>
      <c r="AR112" s="259"/>
      <c r="AS112" s="259"/>
      <c r="AT112" s="259"/>
      <c r="AU112" s="259"/>
      <c r="AV112" s="259"/>
      <c r="AW112" s="259"/>
    </row>
    <row r="113" spans="2:49" ht="15" customHeight="1" x14ac:dyDescent="0.25">
      <c r="B113" s="260"/>
      <c r="D113" s="262"/>
      <c r="F113" s="264"/>
      <c r="G113" s="264"/>
      <c r="H113" s="265"/>
      <c r="I113" s="266"/>
      <c r="K113" s="268"/>
      <c r="L113" s="278"/>
      <c r="M113" s="274"/>
      <c r="N113" s="258"/>
      <c r="O113" s="258"/>
      <c r="P113" s="258"/>
      <c r="Q113" s="276"/>
      <c r="R113" s="272"/>
      <c r="S113" s="272"/>
      <c r="T113" s="272"/>
      <c r="U113" s="272"/>
      <c r="V113" s="272"/>
      <c r="W113" s="272"/>
      <c r="X113" s="272"/>
      <c r="Y113" s="272"/>
      <c r="Z113" s="258"/>
      <c r="AA113" s="258"/>
      <c r="AB113" s="258"/>
      <c r="AC113" s="258"/>
      <c r="AD113" s="258"/>
      <c r="AE113" s="258"/>
      <c r="AF113" s="258"/>
      <c r="AG113" s="258"/>
      <c r="AH113" s="258"/>
      <c r="AQ113" s="259"/>
      <c r="AR113" s="259"/>
      <c r="AS113" s="259"/>
      <c r="AT113" s="259"/>
      <c r="AU113" s="259"/>
      <c r="AV113" s="259"/>
      <c r="AW113" s="259"/>
    </row>
    <row r="114" spans="2:49" ht="15" customHeight="1" x14ac:dyDescent="0.25">
      <c r="B114" s="260"/>
      <c r="D114" s="262"/>
      <c r="F114" s="264"/>
      <c r="G114" s="264"/>
      <c r="H114" s="265"/>
      <c r="I114" s="266"/>
      <c r="K114" s="268"/>
      <c r="L114" s="278"/>
      <c r="M114" s="274"/>
      <c r="N114" s="258"/>
      <c r="O114" s="258"/>
      <c r="P114" s="258"/>
      <c r="Q114" s="276"/>
      <c r="R114" s="272"/>
      <c r="S114" s="272"/>
      <c r="T114" s="272"/>
      <c r="U114" s="272"/>
      <c r="V114" s="272"/>
      <c r="W114" s="272"/>
      <c r="X114" s="272"/>
      <c r="Y114" s="272"/>
      <c r="Z114" s="258"/>
      <c r="AA114" s="258"/>
      <c r="AB114" s="258"/>
      <c r="AC114" s="258"/>
      <c r="AD114" s="258"/>
      <c r="AE114" s="258"/>
      <c r="AF114" s="258"/>
      <c r="AG114" s="258"/>
      <c r="AH114" s="258"/>
      <c r="AQ114" s="259"/>
      <c r="AR114" s="259"/>
      <c r="AS114" s="259"/>
      <c r="AT114" s="259"/>
      <c r="AU114" s="259"/>
      <c r="AV114" s="259"/>
      <c r="AW114" s="259"/>
    </row>
    <row r="115" spans="2:49" ht="15" customHeight="1" x14ac:dyDescent="0.25">
      <c r="B115" s="260"/>
      <c r="D115" s="262"/>
      <c r="F115" s="264"/>
      <c r="G115" s="264"/>
      <c r="H115" s="265"/>
      <c r="I115" s="266"/>
      <c r="K115" s="268"/>
      <c r="L115" s="278"/>
      <c r="M115" s="274"/>
      <c r="N115" s="258"/>
      <c r="O115" s="258"/>
      <c r="P115" s="258"/>
      <c r="Q115" s="276"/>
      <c r="R115" s="272"/>
      <c r="S115" s="272"/>
      <c r="T115" s="272"/>
      <c r="U115" s="272"/>
      <c r="V115" s="272"/>
      <c r="W115" s="272"/>
      <c r="X115" s="272"/>
      <c r="Y115" s="272"/>
      <c r="Z115" s="258"/>
      <c r="AA115" s="258"/>
      <c r="AB115" s="258"/>
      <c r="AC115" s="258"/>
      <c r="AD115" s="258"/>
      <c r="AE115" s="258"/>
      <c r="AF115" s="258"/>
      <c r="AG115" s="258"/>
      <c r="AH115" s="258"/>
      <c r="AQ115" s="259"/>
      <c r="AR115" s="259"/>
      <c r="AS115" s="259"/>
      <c r="AT115" s="259"/>
      <c r="AU115" s="259"/>
      <c r="AV115" s="259"/>
      <c r="AW115" s="259"/>
    </row>
    <row r="116" spans="2:49" ht="15" customHeight="1" x14ac:dyDescent="0.25">
      <c r="B116" s="260"/>
      <c r="D116" s="262"/>
      <c r="F116" s="264"/>
      <c r="G116" s="264"/>
      <c r="H116" s="265"/>
      <c r="I116" s="266"/>
      <c r="K116" s="268"/>
      <c r="L116" s="278"/>
      <c r="M116" s="274"/>
      <c r="N116" s="258"/>
      <c r="O116" s="258"/>
      <c r="P116" s="258"/>
      <c r="Q116" s="276"/>
      <c r="R116" s="272"/>
      <c r="S116" s="272"/>
      <c r="T116" s="272"/>
      <c r="U116" s="272"/>
      <c r="V116" s="272"/>
      <c r="W116" s="272"/>
      <c r="X116" s="272"/>
      <c r="Y116" s="272"/>
      <c r="Z116" s="258"/>
      <c r="AA116" s="258"/>
      <c r="AB116" s="258"/>
      <c r="AC116" s="258"/>
      <c r="AD116" s="258"/>
      <c r="AE116" s="258"/>
      <c r="AF116" s="258"/>
      <c r="AG116" s="258"/>
      <c r="AH116" s="258"/>
      <c r="AQ116" s="259"/>
      <c r="AR116" s="259"/>
      <c r="AS116" s="259"/>
      <c r="AT116" s="259"/>
      <c r="AU116" s="259"/>
      <c r="AV116" s="259"/>
      <c r="AW116" s="259"/>
    </row>
    <row r="117" spans="2:49" ht="15" customHeight="1" x14ac:dyDescent="0.25">
      <c r="B117" s="260"/>
      <c r="D117" s="262"/>
      <c r="F117" s="264"/>
      <c r="G117" s="264"/>
      <c r="H117" s="265"/>
      <c r="I117" s="266"/>
      <c r="K117" s="268"/>
      <c r="L117" s="278"/>
      <c r="M117" s="274"/>
      <c r="N117" s="258"/>
      <c r="O117" s="258"/>
      <c r="P117" s="258"/>
      <c r="Q117" s="276"/>
      <c r="W117" s="272"/>
      <c r="X117" s="272"/>
      <c r="Y117" s="272"/>
      <c r="Z117" s="258"/>
      <c r="AA117" s="258"/>
      <c r="AB117" s="258"/>
      <c r="AC117" s="258"/>
      <c r="AD117" s="258"/>
      <c r="AE117" s="258"/>
      <c r="AF117" s="258"/>
      <c r="AG117" s="258"/>
      <c r="AH117" s="258"/>
      <c r="AQ117" s="259"/>
      <c r="AR117" s="259"/>
      <c r="AS117" s="259"/>
      <c r="AT117" s="259"/>
      <c r="AU117" s="259"/>
      <c r="AV117" s="259"/>
      <c r="AW117" s="259"/>
    </row>
    <row r="118" spans="2:49" ht="15" customHeight="1" x14ac:dyDescent="0.25">
      <c r="B118" s="260"/>
      <c r="D118" s="262"/>
      <c r="F118" s="264"/>
      <c r="G118" s="264"/>
      <c r="H118" s="265"/>
      <c r="I118" s="266"/>
      <c r="K118" s="268"/>
      <c r="L118" s="278"/>
      <c r="M118" s="274"/>
      <c r="N118" s="258"/>
      <c r="O118" s="258"/>
      <c r="P118" s="258"/>
      <c r="Q118" s="276"/>
      <c r="W118" s="272"/>
      <c r="X118" s="272"/>
      <c r="Y118" s="272"/>
      <c r="Z118" s="258"/>
      <c r="AA118" s="258"/>
      <c r="AB118" s="258"/>
      <c r="AC118" s="258"/>
      <c r="AD118" s="258"/>
      <c r="AE118" s="258"/>
      <c r="AF118" s="258"/>
      <c r="AG118" s="258"/>
      <c r="AH118" s="258"/>
      <c r="AQ118" s="259"/>
      <c r="AR118" s="259"/>
      <c r="AS118" s="259"/>
      <c r="AT118" s="259"/>
      <c r="AU118" s="259"/>
      <c r="AV118" s="259"/>
      <c r="AW118" s="259"/>
    </row>
    <row r="119" spans="2:49" ht="15" customHeight="1" x14ac:dyDescent="0.25">
      <c r="B119" s="260"/>
      <c r="D119" s="262"/>
      <c r="F119" s="264"/>
      <c r="G119" s="264"/>
      <c r="H119" s="265"/>
      <c r="I119" s="266"/>
      <c r="K119" s="268"/>
      <c r="L119" s="278"/>
      <c r="M119" s="274"/>
      <c r="N119" s="258"/>
      <c r="O119" s="258"/>
      <c r="P119" s="258"/>
      <c r="Q119" s="276"/>
      <c r="W119" s="272"/>
      <c r="X119" s="272"/>
      <c r="Y119" s="272"/>
      <c r="Z119" s="258"/>
      <c r="AA119" s="258"/>
      <c r="AB119" s="258"/>
      <c r="AC119" s="258"/>
      <c r="AD119" s="258"/>
      <c r="AE119" s="258"/>
      <c r="AF119" s="258"/>
      <c r="AG119" s="258"/>
      <c r="AH119" s="258"/>
      <c r="AQ119" s="259"/>
      <c r="AR119" s="259"/>
      <c r="AS119" s="259"/>
      <c r="AT119" s="259"/>
      <c r="AU119" s="259"/>
      <c r="AV119" s="259"/>
      <c r="AW119" s="259"/>
    </row>
    <row r="120" spans="2:49" ht="15" customHeight="1" x14ac:dyDescent="0.25">
      <c r="B120" s="260"/>
      <c r="D120" s="262"/>
      <c r="F120" s="264"/>
      <c r="G120" s="264"/>
      <c r="H120" s="265"/>
      <c r="I120" s="266"/>
      <c r="K120" s="268"/>
      <c r="L120" s="273"/>
      <c r="M120" s="274"/>
      <c r="N120" s="270"/>
      <c r="O120" s="270"/>
      <c r="P120" s="270"/>
      <c r="Q120" s="275"/>
      <c r="R120" s="272"/>
      <c r="S120" s="272"/>
      <c r="T120" s="272"/>
      <c r="U120" s="272"/>
      <c r="V120" s="272"/>
      <c r="W120" s="272"/>
      <c r="X120" s="272"/>
      <c r="Y120" s="272"/>
      <c r="Z120" s="258"/>
      <c r="AA120" s="258"/>
      <c r="AB120" s="258"/>
      <c r="AC120" s="258"/>
      <c r="AD120" s="258"/>
      <c r="AE120" s="258"/>
      <c r="AF120" s="258"/>
      <c r="AG120" s="258"/>
      <c r="AH120" s="258"/>
      <c r="AI120" s="258"/>
      <c r="AQ120" s="259"/>
      <c r="AR120" s="259"/>
      <c r="AS120" s="259"/>
      <c r="AT120" s="259"/>
      <c r="AU120" s="259"/>
      <c r="AV120" s="259"/>
      <c r="AW120" s="259"/>
    </row>
    <row r="121" spans="2:49" ht="15" customHeight="1" x14ac:dyDescent="0.25">
      <c r="B121" s="260"/>
      <c r="D121" s="262"/>
      <c r="F121" s="264"/>
      <c r="G121" s="264"/>
      <c r="H121" s="265"/>
      <c r="I121" s="266"/>
      <c r="K121" s="268"/>
      <c r="L121" s="273"/>
      <c r="M121" s="274"/>
      <c r="N121" s="258"/>
      <c r="O121" s="258"/>
      <c r="P121" s="258"/>
      <c r="Q121" s="276"/>
      <c r="R121" s="272"/>
      <c r="S121" s="272"/>
      <c r="T121" s="272"/>
      <c r="U121" s="272"/>
      <c r="V121" s="272"/>
      <c r="W121" s="272"/>
      <c r="X121" s="272"/>
      <c r="Y121" s="272"/>
      <c r="Z121" s="258"/>
      <c r="AA121" s="258"/>
      <c r="AB121" s="258"/>
      <c r="AC121" s="258"/>
      <c r="AD121" s="258"/>
      <c r="AE121" s="258"/>
      <c r="AF121" s="258"/>
      <c r="AG121" s="258"/>
      <c r="AH121" s="258"/>
      <c r="AI121" s="258"/>
      <c r="AQ121" s="259"/>
      <c r="AR121" s="259"/>
      <c r="AS121" s="259"/>
      <c r="AT121" s="259"/>
      <c r="AU121" s="259"/>
      <c r="AV121" s="259"/>
      <c r="AW121" s="259"/>
    </row>
    <row r="122" spans="2:49" ht="15" customHeight="1" x14ac:dyDescent="0.25">
      <c r="B122" s="260"/>
      <c r="D122" s="262"/>
      <c r="F122" s="264"/>
      <c r="G122" s="264"/>
      <c r="H122" s="265"/>
      <c r="I122" s="266"/>
      <c r="K122" s="268"/>
      <c r="L122" s="273"/>
      <c r="M122" s="274"/>
      <c r="N122" s="258"/>
      <c r="O122" s="258"/>
      <c r="P122" s="258"/>
      <c r="Q122" s="276"/>
      <c r="R122" s="272"/>
      <c r="S122" s="272"/>
      <c r="T122" s="272"/>
      <c r="U122" s="272"/>
      <c r="V122" s="272"/>
      <c r="W122" s="272"/>
      <c r="X122" s="272"/>
      <c r="Y122" s="272"/>
      <c r="Z122" s="258"/>
      <c r="AA122" s="258"/>
      <c r="AB122" s="258"/>
      <c r="AC122" s="258"/>
      <c r="AD122" s="258"/>
      <c r="AE122" s="258"/>
      <c r="AF122" s="258"/>
      <c r="AG122" s="258"/>
      <c r="AH122" s="270"/>
      <c r="AI122" s="270"/>
      <c r="AQ122" s="259"/>
      <c r="AR122" s="259"/>
      <c r="AS122" s="259"/>
      <c r="AT122" s="259"/>
      <c r="AU122" s="259"/>
      <c r="AV122" s="259"/>
      <c r="AW122" s="259"/>
    </row>
    <row r="123" spans="2:49" ht="15" customHeight="1" x14ac:dyDescent="0.25">
      <c r="B123" s="260"/>
      <c r="D123" s="262"/>
      <c r="F123" s="264"/>
      <c r="G123" s="264"/>
      <c r="H123" s="265"/>
      <c r="I123" s="266"/>
      <c r="K123" s="268"/>
      <c r="L123" s="273"/>
      <c r="M123" s="277"/>
      <c r="N123" s="258"/>
      <c r="O123" s="258"/>
      <c r="P123" s="258"/>
      <c r="Q123" s="276"/>
      <c r="R123" s="272"/>
      <c r="S123" s="272"/>
      <c r="T123" s="272"/>
      <c r="U123" s="272"/>
      <c r="V123" s="272"/>
      <c r="W123" s="272"/>
      <c r="X123" s="272"/>
      <c r="Y123" s="272"/>
      <c r="Z123" s="258"/>
      <c r="AA123" s="258"/>
      <c r="AB123" s="258"/>
      <c r="AC123" s="258"/>
      <c r="AD123" s="258"/>
      <c r="AE123" s="258"/>
      <c r="AF123" s="258"/>
      <c r="AG123" s="258"/>
      <c r="AH123" s="270"/>
      <c r="AI123" s="270"/>
      <c r="AQ123" s="259"/>
      <c r="AR123" s="259"/>
      <c r="AS123" s="259"/>
      <c r="AT123" s="259"/>
      <c r="AU123" s="259"/>
      <c r="AV123" s="259"/>
      <c r="AW123" s="259"/>
    </row>
    <row r="124" spans="2:49" ht="15" customHeight="1" x14ac:dyDescent="0.25">
      <c r="B124" s="260"/>
      <c r="D124" s="262"/>
      <c r="F124" s="264"/>
      <c r="G124" s="264"/>
      <c r="H124" s="265"/>
      <c r="I124" s="266"/>
      <c r="K124" s="268"/>
      <c r="L124" s="278"/>
      <c r="M124" s="274"/>
      <c r="N124" s="258"/>
      <c r="O124" s="258"/>
      <c r="P124" s="258"/>
      <c r="Q124" s="276"/>
      <c r="R124" s="272"/>
      <c r="S124" s="272"/>
      <c r="T124" s="272"/>
      <c r="U124" s="272"/>
      <c r="V124" s="272"/>
      <c r="W124" s="272"/>
      <c r="X124" s="272"/>
      <c r="Y124" s="272"/>
      <c r="Z124" s="258"/>
      <c r="AA124" s="258"/>
      <c r="AB124" s="258"/>
      <c r="AC124" s="258"/>
      <c r="AD124" s="258"/>
      <c r="AE124" s="258"/>
      <c r="AF124" s="258"/>
      <c r="AG124" s="258"/>
      <c r="AH124" s="270"/>
      <c r="AI124" s="270"/>
      <c r="AQ124" s="259"/>
      <c r="AR124" s="259"/>
      <c r="AS124" s="259"/>
      <c r="AT124" s="259"/>
      <c r="AU124" s="259"/>
      <c r="AV124" s="259"/>
      <c r="AW124" s="259"/>
    </row>
    <row r="125" spans="2:49" ht="15" customHeight="1" x14ac:dyDescent="0.25">
      <c r="B125" s="260"/>
      <c r="D125" s="262"/>
      <c r="F125" s="264"/>
      <c r="G125" s="264"/>
      <c r="H125" s="265"/>
      <c r="I125" s="266"/>
      <c r="K125" s="268"/>
      <c r="L125" s="278"/>
      <c r="M125" s="274"/>
      <c r="N125" s="258"/>
      <c r="O125" s="258"/>
      <c r="P125" s="258"/>
      <c r="Q125" s="276"/>
      <c r="R125" s="272"/>
      <c r="S125" s="272"/>
      <c r="T125" s="272"/>
      <c r="U125" s="272"/>
      <c r="V125" s="272"/>
      <c r="W125" s="272"/>
      <c r="X125" s="272"/>
      <c r="Y125" s="272"/>
      <c r="Z125" s="258"/>
      <c r="AA125" s="258"/>
      <c r="AB125" s="258"/>
      <c r="AC125" s="258"/>
      <c r="AD125" s="258"/>
      <c r="AE125" s="258"/>
      <c r="AF125" s="258"/>
      <c r="AG125" s="258"/>
      <c r="AH125" s="258"/>
      <c r="AQ125" s="259"/>
      <c r="AR125" s="259"/>
      <c r="AS125" s="259"/>
      <c r="AT125" s="259"/>
      <c r="AU125" s="259"/>
      <c r="AV125" s="259"/>
      <c r="AW125" s="259"/>
    </row>
    <row r="126" spans="2:49" ht="15" customHeight="1" x14ac:dyDescent="0.25">
      <c r="B126" s="260"/>
      <c r="D126" s="262"/>
      <c r="F126" s="264"/>
      <c r="G126" s="264"/>
      <c r="H126" s="265"/>
      <c r="I126" s="266"/>
      <c r="K126" s="268"/>
      <c r="L126" s="278"/>
      <c r="M126" s="274"/>
      <c r="N126" s="258"/>
      <c r="O126" s="258"/>
      <c r="P126" s="258"/>
      <c r="Q126" s="276"/>
      <c r="R126" s="272"/>
      <c r="S126" s="272"/>
      <c r="T126" s="272"/>
      <c r="U126" s="272"/>
      <c r="V126" s="272"/>
      <c r="W126" s="272"/>
      <c r="X126" s="272"/>
      <c r="Y126" s="272"/>
      <c r="Z126" s="258"/>
      <c r="AA126" s="258"/>
      <c r="AB126" s="258"/>
      <c r="AC126" s="258"/>
      <c r="AD126" s="258"/>
      <c r="AE126" s="258"/>
      <c r="AF126" s="258"/>
      <c r="AG126" s="258"/>
      <c r="AH126" s="258"/>
      <c r="AQ126" s="259"/>
      <c r="AR126" s="259"/>
      <c r="AS126" s="259"/>
      <c r="AT126" s="259"/>
      <c r="AU126" s="259"/>
      <c r="AV126" s="259"/>
      <c r="AW126" s="259"/>
    </row>
    <row r="127" spans="2:49" ht="15" customHeight="1" x14ac:dyDescent="0.25">
      <c r="B127" s="260"/>
      <c r="D127" s="262"/>
      <c r="F127" s="264"/>
      <c r="G127" s="264"/>
      <c r="H127" s="265"/>
      <c r="I127" s="266"/>
      <c r="K127" s="268"/>
      <c r="L127" s="278"/>
      <c r="M127" s="274"/>
      <c r="N127" s="258"/>
      <c r="O127" s="258"/>
      <c r="P127" s="258"/>
      <c r="Q127" s="276"/>
      <c r="R127" s="272"/>
      <c r="S127" s="272"/>
      <c r="T127" s="272"/>
      <c r="U127" s="272"/>
      <c r="V127" s="272"/>
      <c r="W127" s="272"/>
      <c r="X127" s="272"/>
      <c r="Y127" s="272"/>
      <c r="Z127" s="258"/>
      <c r="AA127" s="258"/>
      <c r="AB127" s="258"/>
      <c r="AC127" s="258"/>
      <c r="AD127" s="258"/>
      <c r="AE127" s="258"/>
      <c r="AF127" s="258"/>
      <c r="AG127" s="258"/>
      <c r="AH127" s="258"/>
      <c r="AQ127" s="259"/>
      <c r="AR127" s="259"/>
      <c r="AS127" s="259"/>
      <c r="AT127" s="259"/>
      <c r="AU127" s="259"/>
      <c r="AV127" s="259"/>
      <c r="AW127" s="259"/>
    </row>
    <row r="128" spans="2:49" ht="15" customHeight="1" x14ac:dyDescent="0.25">
      <c r="B128" s="260"/>
      <c r="D128" s="262"/>
      <c r="F128" s="264"/>
      <c r="G128" s="264"/>
      <c r="H128" s="265"/>
      <c r="I128" s="266"/>
      <c r="K128" s="268"/>
      <c r="L128" s="278"/>
      <c r="M128" s="274"/>
      <c r="N128" s="258"/>
      <c r="O128" s="258"/>
      <c r="P128" s="258"/>
      <c r="Q128" s="276"/>
      <c r="R128" s="272"/>
      <c r="S128" s="272"/>
      <c r="T128" s="272"/>
      <c r="U128" s="272"/>
      <c r="V128" s="272"/>
      <c r="W128" s="272"/>
      <c r="X128" s="272"/>
      <c r="Y128" s="272"/>
      <c r="Z128" s="258"/>
      <c r="AA128" s="258"/>
      <c r="AB128" s="258"/>
      <c r="AC128" s="258"/>
      <c r="AD128" s="258"/>
      <c r="AE128" s="258"/>
      <c r="AF128" s="258"/>
      <c r="AG128" s="258"/>
      <c r="AH128" s="258"/>
      <c r="AQ128" s="259"/>
      <c r="AR128" s="259"/>
      <c r="AS128" s="259"/>
      <c r="AT128" s="259"/>
      <c r="AU128" s="259"/>
      <c r="AV128" s="259"/>
      <c r="AW128" s="259"/>
    </row>
    <row r="129" spans="2:49" ht="15" customHeight="1" x14ac:dyDescent="0.25">
      <c r="B129" s="260"/>
      <c r="D129" s="262"/>
      <c r="F129" s="264"/>
      <c r="G129" s="264"/>
      <c r="H129" s="265"/>
      <c r="I129" s="266"/>
      <c r="K129" s="268"/>
      <c r="L129" s="278"/>
      <c r="M129" s="274"/>
      <c r="N129" s="258"/>
      <c r="O129" s="258"/>
      <c r="P129" s="258"/>
      <c r="Q129" s="276"/>
      <c r="W129" s="272"/>
      <c r="X129" s="272"/>
      <c r="Y129" s="272"/>
      <c r="Z129" s="258"/>
      <c r="AA129" s="258"/>
      <c r="AB129" s="258"/>
      <c r="AC129" s="258"/>
      <c r="AD129" s="258"/>
      <c r="AE129" s="258"/>
      <c r="AF129" s="258"/>
      <c r="AG129" s="258"/>
      <c r="AH129" s="258"/>
      <c r="AQ129" s="259"/>
      <c r="AR129" s="259"/>
      <c r="AS129" s="259"/>
      <c r="AT129" s="259"/>
      <c r="AU129" s="259"/>
      <c r="AV129" s="259"/>
      <c r="AW129" s="259"/>
    </row>
    <row r="130" spans="2:49" ht="15" customHeight="1" x14ac:dyDescent="0.25">
      <c r="B130" s="260"/>
      <c r="D130" s="262"/>
      <c r="F130" s="264"/>
      <c r="G130" s="264"/>
      <c r="H130" s="265"/>
      <c r="I130" s="266"/>
      <c r="K130" s="268"/>
      <c r="L130" s="278"/>
      <c r="M130" s="274"/>
      <c r="N130" s="258"/>
      <c r="O130" s="258"/>
      <c r="P130" s="258"/>
      <c r="Q130" s="276"/>
      <c r="W130" s="272"/>
      <c r="X130" s="272"/>
      <c r="Y130" s="272"/>
      <c r="Z130" s="258"/>
      <c r="AA130" s="258"/>
      <c r="AB130" s="258"/>
      <c r="AC130" s="258"/>
      <c r="AD130" s="258"/>
      <c r="AE130" s="258"/>
      <c r="AF130" s="258"/>
      <c r="AG130" s="258"/>
      <c r="AH130" s="258"/>
      <c r="AQ130" s="259"/>
      <c r="AR130" s="259"/>
      <c r="AS130" s="259"/>
      <c r="AT130" s="259"/>
      <c r="AU130" s="259"/>
      <c r="AV130" s="259"/>
      <c r="AW130" s="259"/>
    </row>
    <row r="131" spans="2:49" ht="15" customHeight="1" x14ac:dyDescent="0.25">
      <c r="B131" s="260"/>
      <c r="D131" s="262"/>
      <c r="F131" s="264"/>
      <c r="G131" s="264"/>
      <c r="H131" s="265"/>
      <c r="I131" s="266"/>
      <c r="K131" s="268"/>
      <c r="L131" s="278"/>
      <c r="M131" s="274"/>
      <c r="N131" s="258"/>
      <c r="O131" s="258"/>
      <c r="P131" s="258"/>
      <c r="Q131" s="276"/>
      <c r="W131" s="272"/>
      <c r="X131" s="272"/>
      <c r="Y131" s="272"/>
      <c r="Z131" s="258"/>
      <c r="AA131" s="258"/>
      <c r="AB131" s="258"/>
      <c r="AC131" s="258"/>
      <c r="AD131" s="258"/>
      <c r="AE131" s="258"/>
      <c r="AF131" s="258"/>
      <c r="AG131" s="258"/>
      <c r="AH131" s="258"/>
      <c r="AQ131" s="259"/>
      <c r="AR131" s="259"/>
      <c r="AS131" s="259"/>
      <c r="AT131" s="259"/>
      <c r="AU131" s="259"/>
      <c r="AV131" s="259"/>
      <c r="AW131" s="259"/>
    </row>
    <row r="132" spans="2:49" ht="15" customHeight="1" x14ac:dyDescent="0.25">
      <c r="B132" s="260"/>
      <c r="D132" s="262"/>
      <c r="F132" s="264"/>
      <c r="G132" s="264"/>
      <c r="H132" s="265"/>
      <c r="I132" s="266"/>
      <c r="K132" s="268"/>
      <c r="L132" s="273"/>
      <c r="M132" s="274"/>
      <c r="N132" s="270"/>
      <c r="O132" s="270"/>
      <c r="P132" s="270"/>
      <c r="Q132" s="275"/>
      <c r="R132" s="272"/>
      <c r="S132" s="272"/>
      <c r="T132" s="272"/>
      <c r="U132" s="272"/>
      <c r="V132" s="272"/>
      <c r="W132" s="272"/>
      <c r="X132" s="272"/>
      <c r="Y132" s="272"/>
      <c r="Z132" s="258"/>
      <c r="AA132" s="258"/>
      <c r="AB132" s="258"/>
      <c r="AC132" s="258"/>
      <c r="AD132" s="258"/>
      <c r="AE132" s="258"/>
      <c r="AF132" s="258"/>
      <c r="AG132" s="258"/>
      <c r="AH132" s="258"/>
      <c r="AI132" s="258"/>
      <c r="AQ132" s="259"/>
      <c r="AR132" s="259"/>
      <c r="AS132" s="259"/>
      <c r="AT132" s="259"/>
      <c r="AU132" s="259"/>
      <c r="AV132" s="259"/>
      <c r="AW132" s="259"/>
    </row>
    <row r="133" spans="2:49" ht="15" customHeight="1" x14ac:dyDescent="0.25">
      <c r="B133" s="260"/>
      <c r="D133" s="262"/>
      <c r="F133" s="264"/>
      <c r="G133" s="264"/>
      <c r="H133" s="265"/>
      <c r="I133" s="266"/>
      <c r="K133" s="268"/>
      <c r="L133" s="273"/>
      <c r="M133" s="274"/>
      <c r="N133" s="258"/>
      <c r="O133" s="258"/>
      <c r="P133" s="258"/>
      <c r="Q133" s="276"/>
      <c r="R133" s="272"/>
      <c r="S133" s="272"/>
      <c r="T133" s="272"/>
      <c r="U133" s="272"/>
      <c r="V133" s="272"/>
      <c r="W133" s="272"/>
      <c r="X133" s="272"/>
      <c r="Y133" s="272"/>
      <c r="Z133" s="258"/>
      <c r="AA133" s="258"/>
      <c r="AB133" s="258"/>
      <c r="AC133" s="258"/>
      <c r="AD133" s="258"/>
      <c r="AE133" s="258"/>
      <c r="AF133" s="258"/>
      <c r="AG133" s="258"/>
      <c r="AH133" s="258"/>
      <c r="AI133" s="258"/>
      <c r="AQ133" s="259"/>
      <c r="AR133" s="259"/>
      <c r="AS133" s="259"/>
      <c r="AT133" s="259"/>
      <c r="AU133" s="259"/>
      <c r="AV133" s="259"/>
      <c r="AW133" s="259"/>
    </row>
    <row r="134" spans="2:49" ht="15" customHeight="1" x14ac:dyDescent="0.25">
      <c r="B134" s="260"/>
      <c r="D134" s="262"/>
      <c r="F134" s="264"/>
      <c r="G134" s="264"/>
      <c r="H134" s="265"/>
      <c r="I134" s="266"/>
      <c r="K134" s="268"/>
      <c r="L134" s="273"/>
      <c r="M134" s="274"/>
      <c r="N134" s="258"/>
      <c r="O134" s="258"/>
      <c r="P134" s="258"/>
      <c r="Q134" s="276"/>
      <c r="R134" s="272"/>
      <c r="S134" s="272"/>
      <c r="T134" s="272"/>
      <c r="U134" s="272"/>
      <c r="V134" s="272"/>
      <c r="W134" s="272"/>
      <c r="X134" s="272"/>
      <c r="Y134" s="272"/>
      <c r="Z134" s="258"/>
      <c r="AA134" s="258"/>
      <c r="AB134" s="258"/>
      <c r="AC134" s="258"/>
      <c r="AD134" s="258"/>
      <c r="AE134" s="258"/>
      <c r="AF134" s="258"/>
      <c r="AG134" s="258"/>
      <c r="AH134" s="270"/>
      <c r="AI134" s="270"/>
      <c r="AQ134" s="259"/>
      <c r="AR134" s="259"/>
      <c r="AS134" s="259"/>
      <c r="AT134" s="259"/>
      <c r="AU134" s="259"/>
      <c r="AV134" s="259"/>
      <c r="AW134" s="259"/>
    </row>
    <row r="135" spans="2:49" ht="15" customHeight="1" x14ac:dyDescent="0.25">
      <c r="B135" s="260"/>
      <c r="D135" s="262"/>
      <c r="F135" s="264"/>
      <c r="G135" s="264"/>
      <c r="H135" s="265"/>
      <c r="I135" s="266"/>
      <c r="K135" s="268"/>
      <c r="L135" s="273"/>
      <c r="M135" s="277"/>
      <c r="N135" s="258"/>
      <c r="O135" s="258"/>
      <c r="P135" s="258"/>
      <c r="Q135" s="276"/>
      <c r="R135" s="272"/>
      <c r="S135" s="272"/>
      <c r="T135" s="272"/>
      <c r="U135" s="272"/>
      <c r="V135" s="272"/>
      <c r="W135" s="272"/>
      <c r="X135" s="272"/>
      <c r="Y135" s="272"/>
      <c r="Z135" s="258"/>
      <c r="AA135" s="258"/>
      <c r="AB135" s="258"/>
      <c r="AC135" s="258"/>
      <c r="AD135" s="258"/>
      <c r="AE135" s="258"/>
      <c r="AF135" s="258"/>
      <c r="AG135" s="258"/>
      <c r="AH135" s="270"/>
      <c r="AI135" s="270"/>
      <c r="AQ135" s="259"/>
      <c r="AR135" s="259"/>
      <c r="AS135" s="259"/>
      <c r="AT135" s="259"/>
      <c r="AU135" s="259"/>
      <c r="AV135" s="259"/>
      <c r="AW135" s="259"/>
    </row>
    <row r="136" spans="2:49" ht="15" customHeight="1" x14ac:dyDescent="0.25">
      <c r="B136" s="260"/>
      <c r="D136" s="262"/>
      <c r="F136" s="288"/>
      <c r="G136" s="289"/>
      <c r="H136" s="265"/>
      <c r="I136" s="266"/>
      <c r="K136" s="268"/>
      <c r="L136" s="278"/>
      <c r="M136" s="274"/>
      <c r="N136" s="258"/>
      <c r="O136" s="258"/>
      <c r="P136" s="258"/>
      <c r="Q136" s="276"/>
      <c r="R136" s="272"/>
      <c r="S136" s="272"/>
      <c r="T136" s="272"/>
      <c r="U136" s="272"/>
      <c r="V136" s="272"/>
      <c r="W136" s="272"/>
      <c r="X136" s="272"/>
      <c r="Y136" s="272"/>
      <c r="Z136" s="258"/>
      <c r="AA136" s="258"/>
      <c r="AB136" s="258"/>
      <c r="AC136" s="258"/>
      <c r="AD136" s="258"/>
      <c r="AE136" s="258"/>
      <c r="AF136" s="258"/>
      <c r="AG136" s="258"/>
      <c r="AH136" s="270"/>
      <c r="AI136" s="270"/>
      <c r="AQ136" s="259"/>
      <c r="AR136" s="259"/>
      <c r="AS136" s="259"/>
      <c r="AT136" s="259"/>
      <c r="AU136" s="259"/>
      <c r="AV136" s="259"/>
      <c r="AW136" s="259"/>
    </row>
    <row r="137" spans="2:49" ht="15" customHeight="1" x14ac:dyDescent="0.25">
      <c r="B137" s="260"/>
      <c r="D137" s="262"/>
      <c r="F137" s="288"/>
      <c r="G137" s="288"/>
      <c r="H137" s="265"/>
      <c r="I137" s="266"/>
      <c r="K137" s="268"/>
      <c r="L137" s="278"/>
      <c r="M137" s="274"/>
      <c r="N137" s="258"/>
      <c r="O137" s="258"/>
      <c r="P137" s="258"/>
      <c r="Q137" s="276"/>
      <c r="R137" s="272"/>
      <c r="S137" s="272"/>
      <c r="T137" s="272"/>
      <c r="U137" s="272"/>
      <c r="V137" s="272"/>
      <c r="W137" s="272"/>
      <c r="X137" s="272"/>
      <c r="Y137" s="272"/>
      <c r="Z137" s="258"/>
      <c r="AA137" s="258"/>
      <c r="AB137" s="258"/>
      <c r="AC137" s="258"/>
      <c r="AD137" s="258"/>
      <c r="AE137" s="258"/>
      <c r="AF137" s="258"/>
      <c r="AG137" s="258"/>
      <c r="AH137" s="258"/>
      <c r="AQ137" s="259"/>
      <c r="AR137" s="259"/>
      <c r="AS137" s="259"/>
      <c r="AT137" s="259"/>
      <c r="AU137" s="259"/>
      <c r="AV137" s="259"/>
      <c r="AW137" s="259"/>
    </row>
    <row r="138" spans="2:49" ht="15" customHeight="1" x14ac:dyDescent="0.25">
      <c r="B138" s="260"/>
      <c r="D138" s="262"/>
      <c r="F138" s="288"/>
      <c r="G138" s="289"/>
      <c r="H138" s="265"/>
      <c r="I138" s="266"/>
      <c r="K138" s="268"/>
      <c r="L138" s="278"/>
      <c r="M138" s="274"/>
      <c r="N138" s="258"/>
      <c r="O138" s="258"/>
      <c r="P138" s="258"/>
      <c r="Q138" s="276"/>
      <c r="R138" s="272"/>
      <c r="S138" s="272"/>
      <c r="T138" s="272"/>
      <c r="U138" s="272"/>
      <c r="V138" s="272"/>
      <c r="W138" s="272"/>
      <c r="X138" s="272"/>
      <c r="Y138" s="272"/>
      <c r="Z138" s="258"/>
      <c r="AA138" s="258"/>
      <c r="AB138" s="258"/>
      <c r="AC138" s="258"/>
      <c r="AD138" s="258"/>
      <c r="AE138" s="258"/>
      <c r="AF138" s="258"/>
      <c r="AG138" s="258"/>
      <c r="AH138" s="258"/>
      <c r="AQ138" s="259"/>
      <c r="AR138" s="259"/>
      <c r="AS138" s="259"/>
      <c r="AT138" s="259"/>
      <c r="AU138" s="259"/>
      <c r="AV138" s="259"/>
      <c r="AW138" s="259"/>
    </row>
    <row r="139" spans="2:49" ht="15" customHeight="1" x14ac:dyDescent="0.25">
      <c r="B139" s="260"/>
      <c r="C139" s="290"/>
      <c r="D139" s="262"/>
      <c r="E139" s="291"/>
      <c r="F139" s="292"/>
      <c r="G139" s="289"/>
      <c r="H139" s="243"/>
      <c r="I139" s="266"/>
      <c r="K139" s="268"/>
      <c r="L139" s="278"/>
      <c r="M139" s="274"/>
      <c r="N139" s="258"/>
      <c r="O139" s="258"/>
      <c r="P139" s="258"/>
      <c r="Q139" s="276"/>
      <c r="R139" s="272"/>
      <c r="S139" s="272"/>
      <c r="T139" s="272"/>
      <c r="U139" s="272"/>
      <c r="V139" s="272"/>
      <c r="W139" s="272"/>
      <c r="X139" s="272"/>
      <c r="Y139" s="272"/>
      <c r="Z139" s="258"/>
      <c r="AA139" s="258"/>
      <c r="AB139" s="258"/>
      <c r="AC139" s="258"/>
      <c r="AD139" s="258"/>
      <c r="AE139" s="258"/>
      <c r="AF139" s="258"/>
      <c r="AG139" s="258"/>
      <c r="AH139" s="258"/>
      <c r="AQ139" s="259"/>
      <c r="AR139" s="259"/>
      <c r="AS139" s="259"/>
      <c r="AT139" s="259"/>
      <c r="AU139" s="259"/>
      <c r="AV139" s="259"/>
      <c r="AW139" s="259"/>
    </row>
    <row r="140" spans="2:49" ht="15" customHeight="1" x14ac:dyDescent="0.25">
      <c r="B140" s="260"/>
      <c r="C140" s="290"/>
      <c r="D140" s="262"/>
      <c r="E140" s="291"/>
      <c r="F140" s="292"/>
      <c r="G140" s="289"/>
      <c r="H140" s="243"/>
      <c r="I140" s="266"/>
      <c r="K140" s="268"/>
      <c r="L140" s="278"/>
      <c r="M140" s="274"/>
      <c r="N140" s="258"/>
      <c r="O140" s="258"/>
      <c r="P140" s="258"/>
      <c r="Q140" s="276"/>
      <c r="R140" s="272"/>
      <c r="S140" s="272"/>
      <c r="T140" s="272"/>
      <c r="U140" s="272"/>
      <c r="V140" s="272"/>
      <c r="W140" s="272"/>
      <c r="X140" s="272"/>
      <c r="Y140" s="272"/>
      <c r="Z140" s="258"/>
      <c r="AA140" s="258"/>
      <c r="AB140" s="258"/>
      <c r="AC140" s="258"/>
      <c r="AD140" s="258"/>
      <c r="AE140" s="258"/>
      <c r="AF140" s="258"/>
      <c r="AG140" s="258"/>
      <c r="AH140" s="258"/>
      <c r="AQ140" s="259"/>
      <c r="AR140" s="259"/>
      <c r="AS140" s="259"/>
      <c r="AT140" s="259"/>
      <c r="AU140" s="259"/>
      <c r="AV140" s="259"/>
      <c r="AW140" s="259"/>
    </row>
    <row r="141" spans="2:49" ht="15" customHeight="1" x14ac:dyDescent="0.25">
      <c r="B141" s="260"/>
      <c r="D141" s="262"/>
      <c r="F141" s="288"/>
      <c r="G141" s="289"/>
      <c r="H141" s="265"/>
      <c r="I141" s="266"/>
      <c r="K141" s="268"/>
      <c r="L141" s="278"/>
      <c r="M141" s="274"/>
      <c r="N141" s="258"/>
      <c r="O141" s="258"/>
      <c r="P141" s="258"/>
      <c r="Q141" s="276"/>
      <c r="W141" s="272"/>
      <c r="X141" s="272"/>
      <c r="Y141" s="272"/>
      <c r="Z141" s="258"/>
      <c r="AA141" s="258"/>
      <c r="AB141" s="258"/>
      <c r="AC141" s="258"/>
      <c r="AD141" s="258"/>
      <c r="AE141" s="258"/>
      <c r="AF141" s="258"/>
      <c r="AG141" s="258"/>
      <c r="AH141" s="258"/>
      <c r="AQ141" s="259"/>
      <c r="AR141" s="259"/>
      <c r="AS141" s="259"/>
      <c r="AT141" s="259"/>
      <c r="AU141" s="259"/>
      <c r="AV141" s="259"/>
      <c r="AW141" s="259"/>
    </row>
    <row r="142" spans="2:49" ht="15" customHeight="1" x14ac:dyDescent="0.25">
      <c r="B142" s="260"/>
      <c r="D142" s="262"/>
      <c r="F142" s="288"/>
      <c r="G142" s="288"/>
      <c r="H142" s="265"/>
      <c r="I142" s="266"/>
      <c r="K142" s="268"/>
      <c r="L142" s="278"/>
      <c r="M142" s="274"/>
      <c r="N142" s="258"/>
      <c r="O142" s="258"/>
      <c r="P142" s="258"/>
      <c r="Q142" s="276"/>
      <c r="W142" s="272"/>
      <c r="X142" s="272"/>
      <c r="Y142" s="272"/>
      <c r="Z142" s="258"/>
      <c r="AA142" s="258"/>
      <c r="AB142" s="258"/>
      <c r="AC142" s="258"/>
      <c r="AD142" s="258"/>
      <c r="AE142" s="258"/>
      <c r="AF142" s="258"/>
      <c r="AG142" s="258"/>
      <c r="AH142" s="258"/>
      <c r="AQ142" s="259"/>
      <c r="AR142" s="259"/>
      <c r="AS142" s="259"/>
      <c r="AT142" s="259"/>
      <c r="AU142" s="259"/>
      <c r="AV142" s="259"/>
      <c r="AW142" s="259"/>
    </row>
    <row r="143" spans="2:49" ht="15" customHeight="1" x14ac:dyDescent="0.25">
      <c r="B143" s="260"/>
      <c r="D143" s="262"/>
      <c r="F143" s="288"/>
      <c r="G143" s="288"/>
      <c r="H143" s="265"/>
      <c r="I143" s="266"/>
      <c r="K143" s="268"/>
      <c r="L143" s="278"/>
      <c r="M143" s="274"/>
      <c r="N143" s="258"/>
      <c r="O143" s="258"/>
      <c r="P143" s="258"/>
      <c r="Q143" s="276"/>
      <c r="W143" s="272"/>
      <c r="X143" s="272"/>
      <c r="Y143" s="272"/>
      <c r="Z143" s="258"/>
      <c r="AA143" s="258"/>
      <c r="AB143" s="258"/>
      <c r="AC143" s="258"/>
      <c r="AD143" s="258"/>
      <c r="AE143" s="258"/>
      <c r="AF143" s="258"/>
      <c r="AG143" s="258"/>
      <c r="AH143" s="258"/>
      <c r="AQ143" s="259"/>
      <c r="AR143" s="259"/>
      <c r="AS143" s="259"/>
      <c r="AT143" s="259"/>
      <c r="AU143" s="259"/>
      <c r="AV143" s="259"/>
      <c r="AW143" s="259"/>
    </row>
    <row r="144" spans="2:49" ht="15" customHeight="1" x14ac:dyDescent="0.25">
      <c r="B144" s="260"/>
      <c r="D144" s="262"/>
      <c r="F144" s="288"/>
      <c r="G144" s="289"/>
      <c r="H144" s="265"/>
      <c r="I144" s="266"/>
      <c r="K144" s="268"/>
      <c r="L144" s="273"/>
      <c r="M144" s="274"/>
      <c r="N144" s="270"/>
      <c r="O144" s="270"/>
      <c r="P144" s="270"/>
      <c r="Q144" s="275"/>
      <c r="R144" s="272"/>
      <c r="S144" s="272"/>
      <c r="T144" s="272"/>
      <c r="U144" s="272"/>
      <c r="V144" s="272"/>
      <c r="W144" s="272"/>
      <c r="X144" s="272"/>
      <c r="Y144" s="272"/>
      <c r="Z144" s="258"/>
      <c r="AA144" s="258"/>
      <c r="AB144" s="258"/>
      <c r="AC144" s="258"/>
      <c r="AD144" s="258"/>
      <c r="AE144" s="258"/>
      <c r="AF144" s="258"/>
      <c r="AG144" s="258"/>
      <c r="AH144" s="258"/>
      <c r="AI144" s="258"/>
      <c r="AQ144" s="259"/>
      <c r="AR144" s="259"/>
      <c r="AS144" s="259"/>
      <c r="AT144" s="259"/>
      <c r="AU144" s="259"/>
      <c r="AV144" s="259"/>
      <c r="AW144" s="259"/>
    </row>
    <row r="145" spans="2:49" ht="15" customHeight="1" x14ac:dyDescent="0.25">
      <c r="B145" s="260"/>
      <c r="D145" s="262"/>
      <c r="F145" s="264"/>
      <c r="G145" s="264"/>
      <c r="H145" s="265"/>
      <c r="I145" s="266"/>
      <c r="K145" s="268"/>
      <c r="L145" s="273"/>
      <c r="M145" s="274"/>
      <c r="N145" s="258"/>
      <c r="O145" s="258"/>
      <c r="P145" s="258"/>
      <c r="Q145" s="276"/>
      <c r="R145" s="272"/>
      <c r="S145" s="272"/>
      <c r="T145" s="272"/>
      <c r="U145" s="272"/>
      <c r="V145" s="272"/>
      <c r="W145" s="272"/>
      <c r="X145" s="272"/>
      <c r="Y145" s="272"/>
      <c r="Z145" s="258"/>
      <c r="AA145" s="258"/>
      <c r="AB145" s="258"/>
      <c r="AC145" s="258"/>
      <c r="AD145" s="258"/>
      <c r="AE145" s="258"/>
      <c r="AF145" s="258"/>
      <c r="AG145" s="258"/>
      <c r="AH145" s="258"/>
      <c r="AI145" s="258"/>
      <c r="AQ145" s="259"/>
      <c r="AR145" s="259"/>
      <c r="AS145" s="259"/>
      <c r="AT145" s="259"/>
      <c r="AU145" s="259"/>
      <c r="AV145" s="259"/>
      <c r="AW145" s="259"/>
    </row>
    <row r="146" spans="2:49" ht="15" customHeight="1" x14ac:dyDescent="0.25">
      <c r="B146" s="260"/>
      <c r="D146" s="262"/>
      <c r="F146" s="264"/>
      <c r="G146" s="264"/>
      <c r="H146" s="265"/>
      <c r="I146" s="266"/>
      <c r="K146" s="268"/>
      <c r="L146" s="273"/>
      <c r="M146" s="274"/>
      <c r="N146" s="258"/>
      <c r="O146" s="258"/>
      <c r="P146" s="258"/>
      <c r="Q146" s="276"/>
      <c r="R146" s="272"/>
      <c r="S146" s="272"/>
      <c r="T146" s="272"/>
      <c r="U146" s="272"/>
      <c r="V146" s="272"/>
      <c r="W146" s="272"/>
      <c r="X146" s="272"/>
      <c r="Y146" s="272"/>
      <c r="Z146" s="258"/>
      <c r="AA146" s="258"/>
      <c r="AB146" s="258"/>
      <c r="AC146" s="258"/>
      <c r="AD146" s="258"/>
      <c r="AE146" s="258"/>
      <c r="AF146" s="258"/>
      <c r="AG146" s="258"/>
      <c r="AH146" s="270"/>
      <c r="AI146" s="270"/>
      <c r="AQ146" s="259"/>
      <c r="AR146" s="259"/>
      <c r="AS146" s="259"/>
      <c r="AT146" s="259"/>
      <c r="AU146" s="259"/>
      <c r="AV146" s="259"/>
      <c r="AW146" s="259"/>
    </row>
    <row r="147" spans="2:49" ht="15" customHeight="1" x14ac:dyDescent="0.25">
      <c r="B147" s="260"/>
      <c r="D147" s="262"/>
      <c r="F147" s="264"/>
      <c r="G147" s="264"/>
      <c r="H147" s="265"/>
      <c r="I147" s="266"/>
      <c r="K147" s="268"/>
      <c r="L147" s="273"/>
      <c r="M147" s="277"/>
      <c r="N147" s="258"/>
      <c r="O147" s="258"/>
      <c r="P147" s="258"/>
      <c r="Q147" s="276"/>
      <c r="R147" s="272"/>
      <c r="S147" s="272"/>
      <c r="T147" s="272"/>
      <c r="U147" s="272"/>
      <c r="V147" s="272"/>
      <c r="W147" s="272"/>
      <c r="X147" s="272"/>
      <c r="Y147" s="272"/>
      <c r="Z147" s="258"/>
      <c r="AA147" s="258"/>
      <c r="AB147" s="258"/>
      <c r="AC147" s="258"/>
      <c r="AD147" s="258"/>
      <c r="AE147" s="258"/>
      <c r="AF147" s="258"/>
      <c r="AG147" s="258"/>
      <c r="AH147" s="270"/>
      <c r="AI147" s="270"/>
      <c r="AQ147" s="259"/>
      <c r="AR147" s="259"/>
      <c r="AS147" s="259"/>
      <c r="AT147" s="259"/>
      <c r="AU147" s="259"/>
      <c r="AV147" s="259"/>
      <c r="AW147" s="259"/>
    </row>
    <row r="148" spans="2:49" ht="15" customHeight="1" x14ac:dyDescent="0.25">
      <c r="B148" s="260"/>
      <c r="D148" s="262"/>
      <c r="F148" s="264"/>
      <c r="G148" s="264"/>
      <c r="H148" s="265"/>
      <c r="I148" s="266"/>
      <c r="K148" s="268"/>
      <c r="L148" s="278"/>
      <c r="M148" s="274"/>
      <c r="N148" s="258"/>
      <c r="O148" s="258"/>
      <c r="P148" s="258"/>
      <c r="Q148" s="276"/>
      <c r="R148" s="272"/>
      <c r="S148" s="272"/>
      <c r="T148" s="272"/>
      <c r="U148" s="272"/>
      <c r="V148" s="272"/>
      <c r="W148" s="272"/>
      <c r="X148" s="272"/>
      <c r="Y148" s="272"/>
      <c r="Z148" s="258"/>
      <c r="AA148" s="258"/>
      <c r="AB148" s="258"/>
      <c r="AC148" s="258"/>
      <c r="AD148" s="258"/>
      <c r="AE148" s="258"/>
      <c r="AF148" s="258"/>
      <c r="AG148" s="258"/>
      <c r="AH148" s="270"/>
      <c r="AI148" s="270"/>
      <c r="AQ148" s="259"/>
      <c r="AR148" s="259"/>
      <c r="AS148" s="259"/>
      <c r="AT148" s="259"/>
      <c r="AU148" s="259"/>
      <c r="AV148" s="259"/>
      <c r="AW148" s="259"/>
    </row>
    <row r="149" spans="2:49" ht="15" customHeight="1" x14ac:dyDescent="0.25">
      <c r="B149" s="260"/>
      <c r="D149" s="262"/>
      <c r="F149" s="264"/>
      <c r="G149" s="264"/>
      <c r="H149" s="265"/>
      <c r="I149" s="266"/>
      <c r="K149" s="268"/>
      <c r="L149" s="278"/>
      <c r="M149" s="274"/>
      <c r="N149" s="258"/>
      <c r="O149" s="258"/>
      <c r="P149" s="258"/>
      <c r="Q149" s="276"/>
      <c r="R149" s="272"/>
      <c r="S149" s="272"/>
      <c r="T149" s="272"/>
      <c r="U149" s="272"/>
      <c r="V149" s="272"/>
      <c r="W149" s="272"/>
      <c r="X149" s="272"/>
      <c r="Y149" s="272"/>
      <c r="Z149" s="258"/>
      <c r="AA149" s="258"/>
      <c r="AB149" s="258"/>
      <c r="AC149" s="258"/>
      <c r="AD149" s="258"/>
      <c r="AE149" s="258"/>
      <c r="AF149" s="258"/>
      <c r="AG149" s="258"/>
      <c r="AH149" s="258"/>
      <c r="AQ149" s="259"/>
      <c r="AR149" s="259"/>
      <c r="AS149" s="259"/>
      <c r="AT149" s="259"/>
      <c r="AU149" s="259"/>
      <c r="AV149" s="259"/>
      <c r="AW149" s="259"/>
    </row>
    <row r="150" spans="2:49" ht="15" customHeight="1" x14ac:dyDescent="0.25">
      <c r="B150" s="260"/>
      <c r="D150" s="262"/>
      <c r="F150" s="264"/>
      <c r="G150" s="264"/>
      <c r="H150" s="265"/>
      <c r="I150" s="266"/>
      <c r="K150" s="268"/>
      <c r="L150" s="278"/>
      <c r="M150" s="274"/>
      <c r="N150" s="258"/>
      <c r="O150" s="258"/>
      <c r="P150" s="258"/>
      <c r="Q150" s="276"/>
      <c r="R150" s="272"/>
      <c r="S150" s="272"/>
      <c r="T150" s="272"/>
      <c r="U150" s="272"/>
      <c r="V150" s="272"/>
      <c r="W150" s="272"/>
      <c r="X150" s="272"/>
      <c r="Y150" s="272"/>
      <c r="Z150" s="258"/>
      <c r="AA150" s="258"/>
      <c r="AB150" s="258"/>
      <c r="AC150" s="258"/>
      <c r="AD150" s="258"/>
      <c r="AE150" s="258"/>
      <c r="AF150" s="258"/>
      <c r="AG150" s="258"/>
      <c r="AH150" s="258"/>
      <c r="AQ150" s="259"/>
      <c r="AR150" s="259"/>
      <c r="AS150" s="259"/>
      <c r="AT150" s="259"/>
      <c r="AU150" s="259"/>
      <c r="AV150" s="259"/>
      <c r="AW150" s="259"/>
    </row>
    <row r="151" spans="2:49" ht="15" customHeight="1" x14ac:dyDescent="0.25">
      <c r="B151" s="260"/>
      <c r="D151" s="262"/>
      <c r="F151" s="264"/>
      <c r="G151" s="264"/>
      <c r="H151" s="265"/>
      <c r="I151" s="266"/>
      <c r="K151" s="268"/>
      <c r="L151" s="278"/>
      <c r="M151" s="274"/>
      <c r="N151" s="258"/>
      <c r="O151" s="258"/>
      <c r="P151" s="258"/>
      <c r="Q151" s="276"/>
      <c r="R151" s="272"/>
      <c r="S151" s="272"/>
      <c r="T151" s="272"/>
      <c r="U151" s="272"/>
      <c r="V151" s="272"/>
      <c r="W151" s="272"/>
      <c r="X151" s="272"/>
      <c r="Y151" s="272"/>
      <c r="Z151" s="258"/>
      <c r="AA151" s="258"/>
      <c r="AB151" s="258"/>
      <c r="AC151" s="258"/>
      <c r="AD151" s="258"/>
      <c r="AE151" s="258"/>
      <c r="AF151" s="258"/>
      <c r="AG151" s="258"/>
      <c r="AH151" s="258"/>
      <c r="AQ151" s="259"/>
      <c r="AR151" s="259"/>
      <c r="AS151" s="259"/>
      <c r="AT151" s="259"/>
      <c r="AU151" s="259"/>
      <c r="AV151" s="259"/>
      <c r="AW151" s="259"/>
    </row>
    <row r="152" spans="2:49" ht="15" customHeight="1" x14ac:dyDescent="0.25">
      <c r="B152" s="260"/>
      <c r="D152" s="262"/>
      <c r="F152" s="264"/>
      <c r="G152" s="264"/>
      <c r="H152" s="265"/>
      <c r="I152" s="266"/>
      <c r="K152" s="268"/>
      <c r="L152" s="278"/>
      <c r="M152" s="274"/>
      <c r="N152" s="258"/>
      <c r="O152" s="258"/>
      <c r="P152" s="258"/>
      <c r="Q152" s="276"/>
      <c r="R152" s="272"/>
      <c r="S152" s="272"/>
      <c r="T152" s="272"/>
      <c r="U152" s="272"/>
      <c r="V152" s="272"/>
      <c r="W152" s="272"/>
      <c r="X152" s="272"/>
      <c r="Y152" s="272"/>
      <c r="Z152" s="258"/>
      <c r="AA152" s="258"/>
      <c r="AB152" s="258"/>
      <c r="AC152" s="258"/>
      <c r="AD152" s="258"/>
      <c r="AE152" s="258"/>
      <c r="AF152" s="258"/>
      <c r="AG152" s="258"/>
      <c r="AH152" s="258"/>
      <c r="AQ152" s="259"/>
      <c r="AR152" s="259"/>
      <c r="AS152" s="259"/>
      <c r="AT152" s="259"/>
      <c r="AU152" s="259"/>
      <c r="AV152" s="259"/>
      <c r="AW152" s="259"/>
    </row>
    <row r="153" spans="2:49" ht="15" customHeight="1" x14ac:dyDescent="0.25">
      <c r="B153" s="260"/>
      <c r="D153" s="262"/>
      <c r="F153" s="264"/>
      <c r="G153" s="264"/>
      <c r="H153" s="265"/>
      <c r="I153" s="266"/>
      <c r="K153" s="268"/>
      <c r="L153" s="278"/>
      <c r="M153" s="274"/>
      <c r="N153" s="258"/>
      <c r="O153" s="258"/>
      <c r="P153" s="258"/>
      <c r="Q153" s="276"/>
      <c r="W153" s="272"/>
      <c r="X153" s="272"/>
      <c r="Y153" s="272"/>
      <c r="Z153" s="258"/>
      <c r="AA153" s="258"/>
      <c r="AB153" s="258"/>
      <c r="AC153" s="258"/>
      <c r="AD153" s="258"/>
      <c r="AE153" s="258"/>
      <c r="AF153" s="258"/>
      <c r="AG153" s="258"/>
      <c r="AH153" s="258"/>
      <c r="AQ153" s="259"/>
      <c r="AR153" s="259"/>
      <c r="AS153" s="259"/>
      <c r="AT153" s="259"/>
      <c r="AU153" s="259"/>
      <c r="AV153" s="259"/>
      <c r="AW153" s="259"/>
    </row>
    <row r="154" spans="2:49" ht="15" customHeight="1" x14ac:dyDescent="0.25">
      <c r="B154" s="260"/>
      <c r="D154" s="262"/>
      <c r="F154" s="264"/>
      <c r="G154" s="264"/>
      <c r="H154" s="265"/>
      <c r="I154" s="266"/>
      <c r="K154" s="268"/>
      <c r="L154" s="278"/>
      <c r="M154" s="274"/>
      <c r="N154" s="258"/>
      <c r="O154" s="258"/>
      <c r="P154" s="258"/>
      <c r="Q154" s="276"/>
      <c r="W154" s="272"/>
      <c r="X154" s="272"/>
      <c r="Y154" s="272"/>
      <c r="Z154" s="258"/>
      <c r="AA154" s="258"/>
      <c r="AB154" s="258"/>
      <c r="AC154" s="258"/>
      <c r="AD154" s="258"/>
      <c r="AE154" s="258"/>
      <c r="AF154" s="258"/>
      <c r="AG154" s="258"/>
      <c r="AH154" s="258"/>
      <c r="AQ154" s="259"/>
      <c r="AR154" s="259"/>
      <c r="AS154" s="259"/>
      <c r="AT154" s="259"/>
      <c r="AU154" s="259"/>
      <c r="AV154" s="259"/>
      <c r="AW154" s="259"/>
    </row>
    <row r="155" spans="2:49" ht="15" customHeight="1" x14ac:dyDescent="0.25">
      <c r="B155" s="260"/>
      <c r="D155" s="262"/>
      <c r="F155" s="264"/>
      <c r="G155" s="264"/>
      <c r="H155" s="265"/>
      <c r="I155" s="266"/>
      <c r="K155" s="268"/>
      <c r="L155" s="278"/>
      <c r="M155" s="274"/>
      <c r="N155" s="258"/>
      <c r="O155" s="258"/>
      <c r="P155" s="258"/>
      <c r="Q155" s="276"/>
      <c r="W155" s="272"/>
      <c r="X155" s="272"/>
      <c r="Y155" s="272"/>
      <c r="Z155" s="258"/>
      <c r="AA155" s="258"/>
      <c r="AB155" s="258"/>
      <c r="AC155" s="258"/>
      <c r="AD155" s="258"/>
      <c r="AE155" s="258"/>
      <c r="AF155" s="258"/>
      <c r="AG155" s="258"/>
      <c r="AH155" s="258"/>
      <c r="AQ155" s="259"/>
      <c r="AR155" s="259"/>
      <c r="AS155" s="259"/>
      <c r="AT155" s="259"/>
      <c r="AU155" s="259"/>
      <c r="AV155" s="259"/>
      <c r="AW155" s="259"/>
    </row>
    <row r="156" spans="2:49" ht="15" customHeight="1" x14ac:dyDescent="0.25">
      <c r="B156" s="260"/>
      <c r="D156" s="262"/>
      <c r="F156" s="264"/>
      <c r="G156" s="264"/>
      <c r="H156" s="265"/>
      <c r="I156" s="266"/>
      <c r="K156" s="268"/>
      <c r="L156" s="273"/>
      <c r="M156" s="274"/>
      <c r="N156" s="270"/>
      <c r="O156" s="270"/>
      <c r="P156" s="270"/>
      <c r="Q156" s="275"/>
      <c r="R156" s="272"/>
      <c r="S156" s="272"/>
      <c r="T156" s="272"/>
      <c r="U156" s="272"/>
      <c r="V156" s="272"/>
      <c r="W156" s="272"/>
      <c r="X156" s="272"/>
      <c r="Y156" s="272"/>
      <c r="Z156" s="258"/>
      <c r="AA156" s="258"/>
      <c r="AB156" s="258"/>
      <c r="AC156" s="258"/>
      <c r="AD156" s="258"/>
      <c r="AE156" s="258"/>
      <c r="AF156" s="258"/>
      <c r="AG156" s="258"/>
      <c r="AH156" s="258"/>
      <c r="AI156" s="258"/>
      <c r="AQ156" s="259"/>
      <c r="AR156" s="259"/>
      <c r="AS156" s="259"/>
      <c r="AT156" s="259"/>
      <c r="AU156" s="259"/>
      <c r="AV156" s="259"/>
      <c r="AW156" s="259"/>
    </row>
    <row r="157" spans="2:49" ht="15" customHeight="1" x14ac:dyDescent="0.25">
      <c r="B157" s="260"/>
      <c r="D157" s="262"/>
      <c r="F157" s="264"/>
      <c r="G157" s="264"/>
      <c r="H157" s="265"/>
      <c r="I157" s="266"/>
      <c r="K157" s="268"/>
      <c r="L157" s="273"/>
      <c r="M157" s="274"/>
      <c r="N157" s="258"/>
      <c r="O157" s="258"/>
      <c r="P157" s="258"/>
      <c r="Q157" s="276"/>
      <c r="R157" s="272"/>
      <c r="S157" s="272"/>
      <c r="T157" s="272"/>
      <c r="U157" s="272"/>
      <c r="V157" s="272"/>
      <c r="W157" s="272"/>
      <c r="X157" s="272"/>
      <c r="Y157" s="272"/>
      <c r="Z157" s="258"/>
      <c r="AA157" s="258"/>
      <c r="AB157" s="258"/>
      <c r="AC157" s="258"/>
      <c r="AD157" s="258"/>
      <c r="AE157" s="258"/>
      <c r="AF157" s="258"/>
      <c r="AG157" s="258"/>
      <c r="AH157" s="258"/>
      <c r="AI157" s="258"/>
      <c r="AQ157" s="259"/>
      <c r="AR157" s="259"/>
      <c r="AS157" s="259"/>
      <c r="AT157" s="259"/>
      <c r="AU157" s="259"/>
      <c r="AV157" s="259"/>
      <c r="AW157" s="259"/>
    </row>
    <row r="158" spans="2:49" ht="15" customHeight="1" x14ac:dyDescent="0.25">
      <c r="B158" s="260"/>
      <c r="D158" s="262"/>
      <c r="F158" s="264"/>
      <c r="G158" s="264"/>
      <c r="H158" s="265"/>
      <c r="I158" s="266"/>
      <c r="K158" s="268"/>
      <c r="L158" s="273"/>
      <c r="M158" s="274"/>
      <c r="N158" s="258"/>
      <c r="O158" s="258"/>
      <c r="P158" s="258"/>
      <c r="Q158" s="276"/>
      <c r="R158" s="272"/>
      <c r="S158" s="272"/>
      <c r="T158" s="272"/>
      <c r="U158" s="272"/>
      <c r="V158" s="272"/>
      <c r="W158" s="272"/>
      <c r="X158" s="272"/>
      <c r="Y158" s="272"/>
      <c r="Z158" s="258"/>
      <c r="AA158" s="258"/>
      <c r="AB158" s="258"/>
      <c r="AC158" s="258"/>
      <c r="AD158" s="258"/>
      <c r="AE158" s="258"/>
      <c r="AF158" s="258"/>
      <c r="AG158" s="258"/>
      <c r="AH158" s="270"/>
      <c r="AI158" s="270"/>
      <c r="AQ158" s="259"/>
      <c r="AR158" s="259"/>
      <c r="AS158" s="259"/>
      <c r="AT158" s="259"/>
      <c r="AU158" s="259"/>
      <c r="AV158" s="259"/>
      <c r="AW158" s="259"/>
    </row>
    <row r="159" spans="2:49" ht="15" customHeight="1" x14ac:dyDescent="0.25">
      <c r="B159" s="260"/>
      <c r="D159" s="262"/>
      <c r="F159" s="264"/>
      <c r="G159" s="264"/>
      <c r="H159" s="265"/>
      <c r="I159" s="266"/>
      <c r="K159" s="268"/>
      <c r="L159" s="273"/>
      <c r="M159" s="277"/>
      <c r="N159" s="258"/>
      <c r="O159" s="258"/>
      <c r="P159" s="258"/>
      <c r="Q159" s="276"/>
      <c r="R159" s="272"/>
      <c r="S159" s="272"/>
      <c r="T159" s="272"/>
      <c r="U159" s="272"/>
      <c r="V159" s="272"/>
      <c r="W159" s="272"/>
      <c r="X159" s="272"/>
      <c r="Y159" s="272"/>
      <c r="Z159" s="258"/>
      <c r="AA159" s="258"/>
      <c r="AB159" s="258"/>
      <c r="AC159" s="258"/>
      <c r="AD159" s="258"/>
      <c r="AE159" s="258"/>
      <c r="AF159" s="258"/>
      <c r="AG159" s="258"/>
      <c r="AH159" s="270"/>
      <c r="AI159" s="270"/>
      <c r="AQ159" s="259"/>
      <c r="AR159" s="259"/>
      <c r="AS159" s="259"/>
      <c r="AT159" s="259"/>
      <c r="AU159" s="259"/>
      <c r="AV159" s="259"/>
      <c r="AW159" s="259"/>
    </row>
    <row r="160" spans="2:49" ht="15" customHeight="1" x14ac:dyDescent="0.25">
      <c r="B160" s="260"/>
      <c r="D160" s="262"/>
      <c r="F160" s="264"/>
      <c r="G160" s="264"/>
      <c r="H160" s="265"/>
      <c r="I160" s="266"/>
      <c r="K160" s="268"/>
      <c r="L160" s="278"/>
      <c r="M160" s="274"/>
      <c r="N160" s="258"/>
      <c r="O160" s="258"/>
      <c r="P160" s="258"/>
      <c r="Q160" s="276"/>
      <c r="R160" s="272"/>
      <c r="S160" s="272"/>
      <c r="T160" s="272"/>
      <c r="U160" s="272"/>
      <c r="V160" s="272"/>
      <c r="W160" s="272"/>
      <c r="X160" s="272"/>
      <c r="Y160" s="272"/>
      <c r="Z160" s="258"/>
      <c r="AA160" s="258"/>
      <c r="AB160" s="258"/>
      <c r="AC160" s="258"/>
      <c r="AD160" s="258"/>
      <c r="AE160" s="258"/>
      <c r="AF160" s="258"/>
      <c r="AG160" s="258"/>
      <c r="AH160" s="270"/>
      <c r="AI160" s="270"/>
      <c r="AQ160" s="259"/>
      <c r="AR160" s="259"/>
      <c r="AS160" s="259"/>
      <c r="AT160" s="259"/>
      <c r="AU160" s="259"/>
      <c r="AV160" s="259"/>
      <c r="AW160" s="259"/>
    </row>
    <row r="161" spans="2:49" ht="15" customHeight="1" x14ac:dyDescent="0.25">
      <c r="B161" s="260"/>
      <c r="D161" s="262"/>
      <c r="F161" s="264"/>
      <c r="G161" s="264"/>
      <c r="H161" s="265"/>
      <c r="I161" s="266"/>
      <c r="K161" s="268"/>
      <c r="L161" s="278"/>
      <c r="M161" s="274"/>
      <c r="N161" s="258"/>
      <c r="O161" s="258"/>
      <c r="P161" s="258"/>
      <c r="Q161" s="276"/>
      <c r="R161" s="272"/>
      <c r="S161" s="272"/>
      <c r="T161" s="272"/>
      <c r="U161" s="272"/>
      <c r="V161" s="272"/>
      <c r="W161" s="272"/>
      <c r="X161" s="272"/>
      <c r="Y161" s="272"/>
      <c r="Z161" s="258"/>
      <c r="AA161" s="258"/>
      <c r="AB161" s="258"/>
      <c r="AC161" s="258"/>
      <c r="AD161" s="258"/>
      <c r="AE161" s="258"/>
      <c r="AF161" s="258"/>
      <c r="AG161" s="258"/>
      <c r="AH161" s="258"/>
      <c r="AQ161" s="259"/>
      <c r="AR161" s="259"/>
      <c r="AS161" s="259"/>
      <c r="AT161" s="259"/>
      <c r="AU161" s="259"/>
      <c r="AV161" s="259"/>
      <c r="AW161" s="259"/>
    </row>
    <row r="162" spans="2:49" ht="15" customHeight="1" x14ac:dyDescent="0.25">
      <c r="B162" s="260"/>
      <c r="D162" s="262"/>
      <c r="F162" s="264"/>
      <c r="G162" s="264"/>
      <c r="H162" s="265"/>
      <c r="I162" s="266"/>
      <c r="K162" s="268"/>
      <c r="L162" s="278"/>
      <c r="M162" s="274"/>
      <c r="N162" s="258"/>
      <c r="O162" s="258"/>
      <c r="P162" s="258"/>
      <c r="Q162" s="276"/>
      <c r="R162" s="272"/>
      <c r="S162" s="272"/>
      <c r="T162" s="272"/>
      <c r="U162" s="272"/>
      <c r="V162" s="272"/>
      <c r="W162" s="272"/>
      <c r="X162" s="272"/>
      <c r="Y162" s="272"/>
      <c r="Z162" s="258"/>
      <c r="AA162" s="258"/>
      <c r="AB162" s="258"/>
      <c r="AC162" s="258"/>
      <c r="AD162" s="258"/>
      <c r="AE162" s="258"/>
      <c r="AF162" s="258"/>
      <c r="AG162" s="258"/>
      <c r="AH162" s="258"/>
      <c r="AQ162" s="259"/>
      <c r="AR162" s="259"/>
      <c r="AS162" s="259"/>
      <c r="AT162" s="259"/>
      <c r="AU162" s="259"/>
      <c r="AV162" s="259"/>
      <c r="AW162" s="259"/>
    </row>
    <row r="163" spans="2:49" ht="15" customHeight="1" x14ac:dyDescent="0.25">
      <c r="B163" s="260"/>
      <c r="D163" s="262"/>
      <c r="F163" s="264"/>
      <c r="G163" s="264"/>
      <c r="H163" s="265"/>
      <c r="I163" s="266"/>
      <c r="K163" s="268"/>
      <c r="L163" s="278"/>
      <c r="M163" s="274"/>
      <c r="N163" s="258"/>
      <c r="O163" s="258"/>
      <c r="P163" s="258"/>
      <c r="Q163" s="276"/>
      <c r="R163" s="272"/>
      <c r="S163" s="272"/>
      <c r="T163" s="272"/>
      <c r="U163" s="272"/>
      <c r="V163" s="272"/>
      <c r="W163" s="272"/>
      <c r="X163" s="272"/>
      <c r="Y163" s="272"/>
      <c r="Z163" s="258"/>
      <c r="AA163" s="258"/>
      <c r="AB163" s="258"/>
      <c r="AC163" s="258"/>
      <c r="AD163" s="258"/>
      <c r="AE163" s="258"/>
      <c r="AF163" s="258"/>
      <c r="AG163" s="258"/>
      <c r="AH163" s="258"/>
      <c r="AQ163" s="259"/>
      <c r="AR163" s="259"/>
      <c r="AS163" s="259"/>
      <c r="AT163" s="259"/>
      <c r="AU163" s="259"/>
      <c r="AV163" s="259"/>
      <c r="AW163" s="259"/>
    </row>
    <row r="164" spans="2:49" ht="15" customHeight="1" x14ac:dyDescent="0.25">
      <c r="B164" s="260"/>
      <c r="D164" s="262"/>
      <c r="F164" s="264"/>
      <c r="G164" s="264"/>
      <c r="H164" s="265"/>
      <c r="I164" s="266"/>
      <c r="K164" s="268"/>
      <c r="L164" s="278"/>
      <c r="M164" s="274"/>
      <c r="N164" s="258"/>
      <c r="O164" s="258"/>
      <c r="P164" s="258"/>
      <c r="Q164" s="276"/>
      <c r="R164" s="272"/>
      <c r="S164" s="272"/>
      <c r="T164" s="272"/>
      <c r="U164" s="272"/>
      <c r="V164" s="272"/>
      <c r="W164" s="272"/>
      <c r="X164" s="272"/>
      <c r="Y164" s="272"/>
      <c r="Z164" s="258"/>
      <c r="AA164" s="258"/>
      <c r="AB164" s="258"/>
      <c r="AC164" s="258"/>
      <c r="AD164" s="258"/>
      <c r="AE164" s="258"/>
      <c r="AF164" s="258"/>
      <c r="AG164" s="258"/>
      <c r="AH164" s="258"/>
      <c r="AQ164" s="259"/>
      <c r="AR164" s="259"/>
      <c r="AS164" s="259"/>
      <c r="AT164" s="259"/>
      <c r="AU164" s="259"/>
      <c r="AV164" s="259"/>
      <c r="AW164" s="259"/>
    </row>
    <row r="165" spans="2:49" ht="15" customHeight="1" x14ac:dyDescent="0.25">
      <c r="B165" s="260"/>
      <c r="D165" s="262"/>
      <c r="F165" s="264"/>
      <c r="G165" s="264"/>
      <c r="H165" s="265"/>
      <c r="I165" s="266"/>
      <c r="K165" s="268"/>
      <c r="L165" s="278"/>
      <c r="M165" s="274"/>
      <c r="N165" s="258"/>
      <c r="O165" s="258"/>
      <c r="P165" s="258"/>
      <c r="Q165" s="276"/>
      <c r="W165" s="272"/>
      <c r="X165" s="272"/>
      <c r="Y165" s="272"/>
      <c r="Z165" s="258"/>
      <c r="AA165" s="258"/>
      <c r="AB165" s="258"/>
      <c r="AC165" s="258"/>
      <c r="AD165" s="258"/>
      <c r="AE165" s="258"/>
      <c r="AF165" s="258"/>
      <c r="AG165" s="258"/>
      <c r="AH165" s="258"/>
      <c r="AQ165" s="259"/>
      <c r="AR165" s="259"/>
      <c r="AS165" s="259"/>
      <c r="AT165" s="259"/>
      <c r="AU165" s="259"/>
      <c r="AV165" s="259"/>
      <c r="AW165" s="259"/>
    </row>
    <row r="166" spans="2:49" ht="15" customHeight="1" x14ac:dyDescent="0.25">
      <c r="B166" s="260"/>
      <c r="D166" s="262"/>
      <c r="F166" s="264"/>
      <c r="G166" s="264"/>
      <c r="H166" s="265"/>
      <c r="I166" s="266"/>
      <c r="K166" s="268"/>
      <c r="L166" s="278"/>
      <c r="M166" s="274"/>
      <c r="N166" s="258"/>
      <c r="O166" s="258"/>
      <c r="P166" s="258"/>
      <c r="Q166" s="276"/>
      <c r="W166" s="272"/>
      <c r="X166" s="272"/>
      <c r="Y166" s="272"/>
      <c r="Z166" s="258"/>
      <c r="AA166" s="258"/>
      <c r="AB166" s="258"/>
      <c r="AC166" s="258"/>
      <c r="AD166" s="258"/>
      <c r="AE166" s="258"/>
      <c r="AF166" s="258"/>
      <c r="AG166" s="258"/>
      <c r="AH166" s="258"/>
      <c r="AQ166" s="259"/>
      <c r="AR166" s="259"/>
      <c r="AS166" s="259"/>
      <c r="AT166" s="259"/>
      <c r="AU166" s="259"/>
      <c r="AV166" s="259"/>
      <c r="AW166" s="259"/>
    </row>
    <row r="167" spans="2:49" ht="15" customHeight="1" x14ac:dyDescent="0.25">
      <c r="B167" s="260"/>
      <c r="D167" s="262"/>
      <c r="F167" s="264"/>
      <c r="G167" s="264"/>
      <c r="H167" s="265"/>
      <c r="I167" s="266"/>
      <c r="K167" s="268"/>
      <c r="L167" s="278"/>
      <c r="M167" s="274"/>
      <c r="N167" s="258"/>
      <c r="O167" s="258"/>
      <c r="P167" s="258"/>
      <c r="Q167" s="276"/>
      <c r="W167" s="272"/>
      <c r="X167" s="272"/>
      <c r="Y167" s="272"/>
      <c r="Z167" s="258"/>
      <c r="AA167" s="258"/>
      <c r="AB167" s="258"/>
      <c r="AC167" s="258"/>
      <c r="AD167" s="258"/>
      <c r="AE167" s="258"/>
      <c r="AF167" s="258"/>
      <c r="AG167" s="258"/>
      <c r="AH167" s="258"/>
      <c r="AQ167" s="259"/>
      <c r="AR167" s="259"/>
      <c r="AS167" s="259"/>
      <c r="AT167" s="259"/>
      <c r="AU167" s="259"/>
      <c r="AV167" s="259"/>
      <c r="AW167" s="259"/>
    </row>
    <row r="168" spans="2:49" ht="15" customHeight="1" x14ac:dyDescent="0.25">
      <c r="B168" s="260"/>
      <c r="D168" s="262"/>
      <c r="F168" s="264"/>
      <c r="G168" s="264"/>
      <c r="H168" s="265"/>
      <c r="I168" s="266"/>
      <c r="K168" s="268"/>
      <c r="L168" s="273"/>
      <c r="M168" s="274"/>
      <c r="N168" s="270"/>
      <c r="O168" s="270"/>
      <c r="P168" s="270"/>
      <c r="Q168" s="275"/>
      <c r="R168" s="272"/>
      <c r="S168" s="272"/>
      <c r="T168" s="272"/>
      <c r="U168" s="272"/>
      <c r="V168" s="272"/>
      <c r="W168" s="272"/>
      <c r="X168" s="272"/>
      <c r="Y168" s="272"/>
      <c r="Z168" s="258"/>
      <c r="AA168" s="258"/>
      <c r="AB168" s="258"/>
      <c r="AC168" s="258"/>
      <c r="AD168" s="258"/>
      <c r="AE168" s="258"/>
      <c r="AF168" s="258"/>
      <c r="AG168" s="258"/>
      <c r="AH168" s="258"/>
      <c r="AI168" s="258"/>
      <c r="AQ168" s="259"/>
      <c r="AR168" s="259"/>
      <c r="AS168" s="259"/>
      <c r="AT168" s="259"/>
      <c r="AU168" s="259"/>
      <c r="AV168" s="259"/>
      <c r="AW168" s="259"/>
    </row>
    <row r="169" spans="2:49" ht="15" customHeight="1" x14ac:dyDescent="0.25">
      <c r="B169" s="260"/>
      <c r="D169" s="262"/>
      <c r="F169" s="264"/>
      <c r="G169" s="264"/>
      <c r="H169" s="265"/>
      <c r="I169" s="266"/>
      <c r="K169" s="268"/>
      <c r="L169" s="273"/>
      <c r="M169" s="274"/>
      <c r="N169" s="258"/>
      <c r="O169" s="258"/>
      <c r="P169" s="258"/>
      <c r="Q169" s="276"/>
      <c r="R169" s="272"/>
      <c r="S169" s="272"/>
      <c r="T169" s="272"/>
      <c r="U169" s="272"/>
      <c r="V169" s="272"/>
      <c r="W169" s="272"/>
      <c r="X169" s="272"/>
      <c r="Y169" s="272"/>
      <c r="Z169" s="258"/>
      <c r="AA169" s="258"/>
      <c r="AB169" s="258"/>
      <c r="AC169" s="258"/>
      <c r="AD169" s="258"/>
      <c r="AE169" s="258"/>
      <c r="AF169" s="258"/>
      <c r="AG169" s="258"/>
      <c r="AH169" s="258"/>
      <c r="AI169" s="258"/>
      <c r="AQ169" s="259"/>
      <c r="AR169" s="259"/>
      <c r="AS169" s="259"/>
      <c r="AT169" s="259"/>
      <c r="AU169" s="259"/>
      <c r="AV169" s="259"/>
      <c r="AW169" s="259"/>
    </row>
    <row r="170" spans="2:49" ht="15" customHeight="1" x14ac:dyDescent="0.25">
      <c r="B170" s="260"/>
      <c r="D170" s="262"/>
      <c r="F170" s="264"/>
      <c r="G170" s="264"/>
      <c r="H170" s="265"/>
      <c r="I170" s="266"/>
      <c r="K170" s="268"/>
      <c r="L170" s="273"/>
      <c r="M170" s="274"/>
      <c r="N170" s="258"/>
      <c r="O170" s="258"/>
      <c r="P170" s="258"/>
      <c r="Q170" s="276"/>
      <c r="R170" s="272"/>
      <c r="S170" s="272"/>
      <c r="T170" s="272"/>
      <c r="U170" s="272"/>
      <c r="V170" s="272"/>
      <c r="W170" s="272"/>
      <c r="X170" s="272"/>
      <c r="Y170" s="272"/>
      <c r="Z170" s="258"/>
      <c r="AA170" s="258"/>
      <c r="AB170" s="258"/>
      <c r="AC170" s="258"/>
      <c r="AD170" s="258"/>
      <c r="AE170" s="258"/>
      <c r="AF170" s="258"/>
      <c r="AG170" s="258"/>
      <c r="AH170" s="270"/>
      <c r="AI170" s="270"/>
      <c r="AQ170" s="259"/>
      <c r="AR170" s="259"/>
      <c r="AS170" s="259"/>
      <c r="AT170" s="259"/>
      <c r="AU170" s="259"/>
      <c r="AV170" s="259"/>
      <c r="AW170" s="259"/>
    </row>
    <row r="171" spans="2:49" ht="15" customHeight="1" x14ac:dyDescent="0.25">
      <c r="B171" s="260"/>
      <c r="D171" s="262"/>
      <c r="F171" s="264"/>
      <c r="G171" s="264"/>
      <c r="H171" s="265"/>
      <c r="I171" s="266"/>
      <c r="K171" s="268"/>
      <c r="L171" s="273"/>
      <c r="M171" s="277"/>
      <c r="N171" s="258"/>
      <c r="O171" s="258"/>
      <c r="P171" s="258"/>
      <c r="Q171" s="276"/>
      <c r="R171" s="272"/>
      <c r="S171" s="272"/>
      <c r="T171" s="272"/>
      <c r="U171" s="272"/>
      <c r="V171" s="272"/>
      <c r="W171" s="272"/>
      <c r="X171" s="272"/>
      <c r="Y171" s="272"/>
      <c r="Z171" s="258"/>
      <c r="AA171" s="258"/>
      <c r="AB171" s="258"/>
      <c r="AC171" s="258"/>
      <c r="AD171" s="258"/>
      <c r="AE171" s="258"/>
      <c r="AF171" s="258"/>
      <c r="AG171" s="258"/>
      <c r="AH171" s="270"/>
      <c r="AI171" s="270"/>
      <c r="AQ171" s="259"/>
      <c r="AR171" s="259"/>
      <c r="AS171" s="259"/>
      <c r="AT171" s="259"/>
      <c r="AU171" s="259"/>
      <c r="AV171" s="259"/>
      <c r="AW171" s="259"/>
    </row>
    <row r="172" spans="2:49" ht="15" customHeight="1" x14ac:dyDescent="0.25">
      <c r="B172" s="260"/>
      <c r="D172" s="262"/>
      <c r="F172" s="264"/>
      <c r="G172" s="264"/>
      <c r="H172" s="265"/>
      <c r="I172" s="266"/>
      <c r="K172" s="268"/>
      <c r="L172" s="278"/>
      <c r="M172" s="274"/>
      <c r="N172" s="258"/>
      <c r="O172" s="258"/>
      <c r="P172" s="258"/>
      <c r="Q172" s="276"/>
      <c r="R172" s="272"/>
      <c r="S172" s="272"/>
      <c r="T172" s="272"/>
      <c r="U172" s="272"/>
      <c r="V172" s="272"/>
      <c r="W172" s="272"/>
      <c r="X172" s="272"/>
      <c r="Y172" s="272"/>
      <c r="Z172" s="258"/>
      <c r="AA172" s="258"/>
      <c r="AB172" s="258"/>
      <c r="AC172" s="258"/>
      <c r="AD172" s="258"/>
      <c r="AE172" s="258"/>
      <c r="AF172" s="258"/>
      <c r="AG172" s="258"/>
      <c r="AH172" s="270"/>
      <c r="AI172" s="270"/>
      <c r="AQ172" s="259"/>
      <c r="AR172" s="259"/>
      <c r="AS172" s="259"/>
      <c r="AT172" s="259"/>
      <c r="AU172" s="259"/>
      <c r="AV172" s="259"/>
      <c r="AW172" s="259"/>
    </row>
    <row r="173" spans="2:49" ht="15" customHeight="1" x14ac:dyDescent="0.25">
      <c r="B173" s="260"/>
      <c r="D173" s="262"/>
      <c r="F173" s="264"/>
      <c r="G173" s="264"/>
      <c r="H173" s="265"/>
      <c r="I173" s="266"/>
      <c r="K173" s="268"/>
      <c r="L173" s="278"/>
      <c r="M173" s="274"/>
      <c r="N173" s="258"/>
      <c r="O173" s="258"/>
      <c r="P173" s="258"/>
      <c r="Q173" s="276"/>
      <c r="R173" s="272"/>
      <c r="S173" s="272"/>
      <c r="T173" s="272"/>
      <c r="U173" s="272"/>
      <c r="V173" s="272"/>
      <c r="W173" s="272"/>
      <c r="X173" s="272"/>
      <c r="Y173" s="272"/>
      <c r="Z173" s="258"/>
      <c r="AA173" s="258"/>
      <c r="AB173" s="258"/>
      <c r="AC173" s="258"/>
      <c r="AD173" s="258"/>
      <c r="AE173" s="258"/>
      <c r="AF173" s="258"/>
      <c r="AG173" s="258"/>
      <c r="AH173" s="258"/>
      <c r="AQ173" s="259"/>
      <c r="AR173" s="259"/>
      <c r="AS173" s="259"/>
      <c r="AT173" s="259"/>
      <c r="AU173" s="259"/>
      <c r="AV173" s="259"/>
      <c r="AW173" s="259"/>
    </row>
    <row r="174" spans="2:49" ht="15" customHeight="1" x14ac:dyDescent="0.25">
      <c r="B174" s="260"/>
      <c r="D174" s="262"/>
      <c r="F174" s="264"/>
      <c r="G174" s="264"/>
      <c r="H174" s="265"/>
      <c r="I174" s="266"/>
      <c r="K174" s="268"/>
      <c r="L174" s="278"/>
      <c r="M174" s="274"/>
      <c r="N174" s="258"/>
      <c r="O174" s="258"/>
      <c r="P174" s="258"/>
      <c r="Q174" s="276"/>
      <c r="R174" s="272"/>
      <c r="S174" s="272"/>
      <c r="T174" s="272"/>
      <c r="U174" s="272"/>
      <c r="V174" s="272"/>
      <c r="W174" s="272"/>
      <c r="X174" s="272"/>
      <c r="Y174" s="272"/>
      <c r="Z174" s="258"/>
      <c r="AA174" s="258"/>
      <c r="AB174" s="258"/>
      <c r="AC174" s="258"/>
      <c r="AD174" s="258"/>
      <c r="AE174" s="258"/>
      <c r="AF174" s="258"/>
      <c r="AG174" s="258"/>
      <c r="AH174" s="258"/>
      <c r="AQ174" s="259"/>
      <c r="AR174" s="259"/>
      <c r="AS174" s="259"/>
      <c r="AT174" s="259"/>
      <c r="AU174" s="259"/>
      <c r="AV174" s="259"/>
      <c r="AW174" s="259"/>
    </row>
    <row r="175" spans="2:49" ht="15" customHeight="1" x14ac:dyDescent="0.25">
      <c r="B175" s="260"/>
      <c r="D175" s="262"/>
      <c r="F175" s="264"/>
      <c r="G175" s="264"/>
      <c r="H175" s="265"/>
      <c r="I175" s="266"/>
      <c r="K175" s="268"/>
      <c r="L175" s="278"/>
      <c r="M175" s="274"/>
      <c r="N175" s="258"/>
      <c r="O175" s="258"/>
      <c r="P175" s="258"/>
      <c r="Q175" s="276"/>
      <c r="R175" s="272"/>
      <c r="S175" s="272"/>
      <c r="T175" s="272"/>
      <c r="U175" s="272"/>
      <c r="V175" s="272"/>
      <c r="W175" s="272"/>
      <c r="X175" s="272"/>
      <c r="Y175" s="272"/>
      <c r="Z175" s="258"/>
      <c r="AA175" s="258"/>
      <c r="AB175" s="258"/>
      <c r="AC175" s="258"/>
      <c r="AD175" s="258"/>
      <c r="AE175" s="258"/>
      <c r="AF175" s="258"/>
      <c r="AG175" s="258"/>
      <c r="AH175" s="258"/>
      <c r="AQ175" s="259"/>
      <c r="AR175" s="259"/>
      <c r="AS175" s="259"/>
      <c r="AT175" s="259"/>
      <c r="AU175" s="259"/>
      <c r="AV175" s="259"/>
      <c r="AW175" s="259"/>
    </row>
    <row r="176" spans="2:49" ht="15" customHeight="1" x14ac:dyDescent="0.25">
      <c r="B176" s="260"/>
      <c r="D176" s="262"/>
      <c r="F176" s="264"/>
      <c r="G176" s="264"/>
      <c r="H176" s="265"/>
      <c r="I176" s="266"/>
      <c r="K176" s="268"/>
      <c r="L176" s="278"/>
      <c r="M176" s="274"/>
      <c r="N176" s="258"/>
      <c r="O176" s="258"/>
      <c r="P176" s="258"/>
      <c r="Q176" s="276"/>
      <c r="R176" s="272"/>
      <c r="S176" s="272"/>
      <c r="T176" s="272"/>
      <c r="U176" s="272"/>
      <c r="V176" s="272"/>
      <c r="W176" s="272"/>
      <c r="X176" s="272"/>
      <c r="Y176" s="272"/>
      <c r="Z176" s="258"/>
      <c r="AA176" s="258"/>
      <c r="AB176" s="258"/>
      <c r="AC176" s="258"/>
      <c r="AD176" s="258"/>
      <c r="AE176" s="258"/>
      <c r="AF176" s="258"/>
      <c r="AG176" s="258"/>
      <c r="AH176" s="258"/>
      <c r="AQ176" s="259"/>
      <c r="AR176" s="259"/>
      <c r="AS176" s="259"/>
      <c r="AT176" s="259"/>
      <c r="AU176" s="259"/>
      <c r="AV176" s="259"/>
      <c r="AW176" s="259"/>
    </row>
    <row r="177" spans="2:49" ht="15" customHeight="1" x14ac:dyDescent="0.25">
      <c r="B177" s="260"/>
      <c r="D177" s="262"/>
      <c r="F177" s="264"/>
      <c r="G177" s="264"/>
      <c r="H177" s="265"/>
      <c r="I177" s="266"/>
      <c r="K177" s="268"/>
      <c r="L177" s="278"/>
      <c r="M177" s="274"/>
      <c r="N177" s="258"/>
      <c r="O177" s="258"/>
      <c r="P177" s="258"/>
      <c r="Q177" s="276"/>
      <c r="W177" s="272"/>
      <c r="X177" s="272"/>
      <c r="Y177" s="272"/>
      <c r="Z177" s="258"/>
      <c r="AA177" s="258"/>
      <c r="AB177" s="258"/>
      <c r="AC177" s="258"/>
      <c r="AD177" s="258"/>
      <c r="AE177" s="258"/>
      <c r="AF177" s="258"/>
      <c r="AG177" s="258"/>
      <c r="AH177" s="258"/>
      <c r="AQ177" s="259"/>
      <c r="AR177" s="259"/>
      <c r="AS177" s="259"/>
      <c r="AT177" s="259"/>
      <c r="AU177" s="259"/>
      <c r="AV177" s="259"/>
      <c r="AW177" s="259"/>
    </row>
    <row r="178" spans="2:49" ht="15" customHeight="1" x14ac:dyDescent="0.25">
      <c r="B178" s="260"/>
      <c r="D178" s="262"/>
      <c r="F178" s="264"/>
      <c r="G178" s="264"/>
      <c r="H178" s="265"/>
      <c r="I178" s="266"/>
      <c r="K178" s="268"/>
      <c r="L178" s="278"/>
      <c r="M178" s="274"/>
      <c r="N178" s="258"/>
      <c r="O178" s="258"/>
      <c r="P178" s="258"/>
      <c r="Q178" s="276"/>
      <c r="W178" s="272"/>
      <c r="X178" s="272"/>
      <c r="Y178" s="272"/>
      <c r="Z178" s="258"/>
      <c r="AA178" s="258"/>
      <c r="AB178" s="258"/>
      <c r="AC178" s="258"/>
      <c r="AD178" s="258"/>
      <c r="AE178" s="258"/>
      <c r="AF178" s="258"/>
      <c r="AG178" s="258"/>
      <c r="AH178" s="258"/>
      <c r="AQ178" s="259"/>
      <c r="AR178" s="259"/>
      <c r="AS178" s="259"/>
      <c r="AT178" s="259"/>
      <c r="AU178" s="259"/>
      <c r="AV178" s="259"/>
      <c r="AW178" s="259"/>
    </row>
    <row r="179" spans="2:49" ht="15" customHeight="1" x14ac:dyDescent="0.25">
      <c r="B179" s="260"/>
      <c r="D179" s="262"/>
      <c r="F179" s="264"/>
      <c r="G179" s="264"/>
      <c r="H179" s="265"/>
      <c r="I179" s="266"/>
      <c r="K179" s="268"/>
      <c r="L179" s="278"/>
      <c r="M179" s="274"/>
      <c r="N179" s="258"/>
      <c r="O179" s="258"/>
      <c r="P179" s="258"/>
      <c r="Q179" s="276"/>
      <c r="W179" s="272"/>
      <c r="X179" s="272"/>
      <c r="Y179" s="272"/>
      <c r="Z179" s="258"/>
      <c r="AA179" s="258"/>
      <c r="AB179" s="258"/>
      <c r="AC179" s="258"/>
      <c r="AD179" s="258"/>
      <c r="AE179" s="258"/>
      <c r="AF179" s="258"/>
      <c r="AG179" s="258"/>
      <c r="AH179" s="258"/>
      <c r="AQ179" s="259"/>
      <c r="AR179" s="259"/>
      <c r="AS179" s="259"/>
      <c r="AT179" s="259"/>
      <c r="AU179" s="259"/>
      <c r="AV179" s="259"/>
      <c r="AW179" s="259"/>
    </row>
    <row r="180" spans="2:49" ht="15" customHeight="1" x14ac:dyDescent="0.25">
      <c r="B180" s="260"/>
      <c r="D180" s="262"/>
      <c r="F180" s="264"/>
      <c r="G180" s="264"/>
      <c r="H180" s="265"/>
      <c r="I180" s="266"/>
      <c r="K180" s="268"/>
      <c r="L180" s="273"/>
      <c r="M180" s="274"/>
      <c r="N180" s="270"/>
      <c r="O180" s="270"/>
      <c r="P180" s="270"/>
      <c r="Q180" s="275"/>
      <c r="R180" s="272"/>
      <c r="S180" s="272"/>
      <c r="T180" s="272"/>
      <c r="U180" s="272"/>
      <c r="V180" s="272"/>
      <c r="W180" s="272"/>
      <c r="X180" s="272"/>
      <c r="Y180" s="272"/>
      <c r="Z180" s="258"/>
      <c r="AA180" s="258"/>
      <c r="AB180" s="258"/>
      <c r="AC180" s="258"/>
      <c r="AD180" s="258"/>
      <c r="AE180" s="258"/>
      <c r="AF180" s="258"/>
      <c r="AG180" s="258"/>
      <c r="AH180" s="258"/>
      <c r="AI180" s="258"/>
      <c r="AQ180" s="259"/>
      <c r="AR180" s="259"/>
      <c r="AS180" s="259"/>
      <c r="AT180" s="259"/>
      <c r="AU180" s="259"/>
      <c r="AV180" s="259"/>
      <c r="AW180" s="259"/>
    </row>
    <row r="181" spans="2:49" ht="15" customHeight="1" x14ac:dyDescent="0.25">
      <c r="B181" s="260"/>
      <c r="D181" s="262"/>
      <c r="F181" s="264"/>
      <c r="G181" s="264"/>
      <c r="H181" s="265"/>
      <c r="I181" s="266"/>
      <c r="K181" s="268"/>
      <c r="L181" s="273"/>
      <c r="M181" s="274"/>
      <c r="N181" s="258"/>
      <c r="O181" s="258"/>
      <c r="P181" s="258"/>
      <c r="Q181" s="276"/>
      <c r="R181" s="272"/>
      <c r="S181" s="272"/>
      <c r="T181" s="272"/>
      <c r="U181" s="272"/>
      <c r="V181" s="272"/>
      <c r="W181" s="272"/>
      <c r="X181" s="272"/>
      <c r="Y181" s="272"/>
      <c r="Z181" s="258"/>
      <c r="AA181" s="258"/>
      <c r="AB181" s="258"/>
      <c r="AC181" s="258"/>
      <c r="AD181" s="258"/>
      <c r="AE181" s="258"/>
      <c r="AF181" s="258"/>
      <c r="AG181" s="258"/>
      <c r="AH181" s="258"/>
      <c r="AI181" s="258"/>
      <c r="AQ181" s="259"/>
      <c r="AR181" s="259"/>
      <c r="AS181" s="259"/>
      <c r="AT181" s="259"/>
      <c r="AU181" s="259"/>
      <c r="AV181" s="259"/>
      <c r="AW181" s="259"/>
    </row>
    <row r="182" spans="2:49" ht="15" customHeight="1" x14ac:dyDescent="0.25">
      <c r="B182" s="260"/>
      <c r="D182" s="262"/>
      <c r="F182" s="264"/>
      <c r="G182" s="264"/>
      <c r="H182" s="265"/>
      <c r="I182" s="266"/>
      <c r="K182" s="268"/>
      <c r="L182" s="273"/>
      <c r="M182" s="274"/>
      <c r="N182" s="258"/>
      <c r="O182" s="258"/>
      <c r="P182" s="258"/>
      <c r="Q182" s="276"/>
      <c r="R182" s="272"/>
      <c r="S182" s="272"/>
      <c r="T182" s="272"/>
      <c r="U182" s="272"/>
      <c r="V182" s="272"/>
      <c r="W182" s="272"/>
      <c r="X182" s="272"/>
      <c r="Y182" s="272"/>
      <c r="Z182" s="258"/>
      <c r="AA182" s="258"/>
      <c r="AB182" s="258"/>
      <c r="AC182" s="258"/>
      <c r="AD182" s="258"/>
      <c r="AE182" s="258"/>
      <c r="AF182" s="258"/>
      <c r="AG182" s="258"/>
      <c r="AH182" s="270"/>
      <c r="AI182" s="270"/>
      <c r="AQ182" s="259"/>
      <c r="AR182" s="259"/>
      <c r="AS182" s="259"/>
      <c r="AT182" s="259"/>
      <c r="AU182" s="259"/>
      <c r="AV182" s="259"/>
      <c r="AW182" s="259"/>
    </row>
    <row r="183" spans="2:49" ht="15" customHeight="1" x14ac:dyDescent="0.25">
      <c r="B183" s="260"/>
      <c r="D183" s="262"/>
      <c r="F183" s="264"/>
      <c r="G183" s="264"/>
      <c r="H183" s="265"/>
      <c r="I183" s="266"/>
      <c r="K183" s="268"/>
      <c r="L183" s="273"/>
      <c r="M183" s="277"/>
      <c r="N183" s="258"/>
      <c r="O183" s="258"/>
      <c r="P183" s="258"/>
      <c r="Q183" s="276"/>
      <c r="R183" s="272"/>
      <c r="S183" s="272"/>
      <c r="T183" s="272"/>
      <c r="U183" s="272"/>
      <c r="V183" s="272"/>
      <c r="W183" s="272"/>
      <c r="X183" s="272"/>
      <c r="Y183" s="272"/>
      <c r="Z183" s="258"/>
      <c r="AA183" s="258"/>
      <c r="AB183" s="258"/>
      <c r="AC183" s="258"/>
      <c r="AD183" s="258"/>
      <c r="AE183" s="258"/>
      <c r="AF183" s="258"/>
      <c r="AG183" s="258"/>
      <c r="AH183" s="270"/>
      <c r="AI183" s="270"/>
      <c r="AQ183" s="259"/>
      <c r="AR183" s="259"/>
      <c r="AS183" s="259"/>
      <c r="AT183" s="259"/>
      <c r="AU183" s="259"/>
      <c r="AV183" s="259"/>
      <c r="AW183" s="259"/>
    </row>
    <row r="184" spans="2:49" ht="15" customHeight="1" x14ac:dyDescent="0.25">
      <c r="B184" s="260"/>
      <c r="D184" s="262"/>
      <c r="F184" s="264"/>
      <c r="G184" s="264"/>
      <c r="H184" s="265"/>
      <c r="I184" s="266"/>
      <c r="K184" s="268"/>
      <c r="L184" s="278"/>
      <c r="M184" s="274"/>
      <c r="N184" s="258"/>
      <c r="O184" s="258"/>
      <c r="P184" s="258"/>
      <c r="Q184" s="276"/>
      <c r="R184" s="272"/>
      <c r="S184" s="272"/>
      <c r="T184" s="272"/>
      <c r="U184" s="272"/>
      <c r="V184" s="272"/>
      <c r="W184" s="272"/>
      <c r="X184" s="272"/>
      <c r="Y184" s="272"/>
      <c r="Z184" s="258"/>
      <c r="AA184" s="258"/>
      <c r="AB184" s="258"/>
      <c r="AC184" s="258"/>
      <c r="AD184" s="258"/>
      <c r="AE184" s="258"/>
      <c r="AF184" s="258"/>
      <c r="AG184" s="258"/>
      <c r="AH184" s="270"/>
      <c r="AI184" s="270"/>
      <c r="AQ184" s="259"/>
      <c r="AR184" s="259"/>
      <c r="AS184" s="259"/>
      <c r="AT184" s="259"/>
      <c r="AU184" s="259"/>
      <c r="AV184" s="259"/>
      <c r="AW184" s="259"/>
    </row>
    <row r="185" spans="2:49" ht="15" customHeight="1" x14ac:dyDescent="0.25">
      <c r="B185" s="260"/>
      <c r="D185" s="262"/>
      <c r="F185" s="264"/>
      <c r="G185" s="264"/>
      <c r="H185" s="265"/>
      <c r="I185" s="266"/>
      <c r="K185" s="268"/>
      <c r="L185" s="278"/>
      <c r="M185" s="274"/>
      <c r="N185" s="258"/>
      <c r="O185" s="258"/>
      <c r="P185" s="258"/>
      <c r="Q185" s="276"/>
      <c r="R185" s="272"/>
      <c r="S185" s="272"/>
      <c r="T185" s="272"/>
      <c r="U185" s="272"/>
      <c r="V185" s="272"/>
      <c r="W185" s="272"/>
      <c r="X185" s="272"/>
      <c r="Y185" s="272"/>
      <c r="Z185" s="258"/>
      <c r="AA185" s="258"/>
      <c r="AB185" s="258"/>
      <c r="AC185" s="258"/>
      <c r="AD185" s="258"/>
      <c r="AE185" s="258"/>
      <c r="AF185" s="258"/>
      <c r="AG185" s="258"/>
      <c r="AH185" s="258"/>
      <c r="AQ185" s="259"/>
      <c r="AR185" s="259"/>
      <c r="AS185" s="259"/>
      <c r="AT185" s="259"/>
      <c r="AU185" s="259"/>
      <c r="AV185" s="259"/>
      <c r="AW185" s="259"/>
    </row>
    <row r="186" spans="2:49" ht="15" customHeight="1" x14ac:dyDescent="0.25">
      <c r="B186" s="260"/>
      <c r="D186" s="262"/>
      <c r="F186" s="264"/>
      <c r="G186" s="264"/>
      <c r="H186" s="265"/>
      <c r="I186" s="266"/>
      <c r="K186" s="268"/>
      <c r="L186" s="278"/>
      <c r="M186" s="274"/>
      <c r="N186" s="258"/>
      <c r="O186" s="258"/>
      <c r="P186" s="258"/>
      <c r="Q186" s="276"/>
      <c r="R186" s="272"/>
      <c r="S186" s="272"/>
      <c r="T186" s="272"/>
      <c r="U186" s="272"/>
      <c r="V186" s="272"/>
      <c r="W186" s="272"/>
      <c r="X186" s="272"/>
      <c r="Y186" s="272"/>
      <c r="Z186" s="258"/>
      <c r="AA186" s="258"/>
      <c r="AB186" s="258"/>
      <c r="AC186" s="258"/>
      <c r="AD186" s="258"/>
      <c r="AE186" s="258"/>
      <c r="AF186" s="258"/>
      <c r="AG186" s="258"/>
      <c r="AH186" s="258"/>
      <c r="AQ186" s="259"/>
      <c r="AR186" s="259"/>
      <c r="AS186" s="259"/>
      <c r="AT186" s="259"/>
      <c r="AU186" s="259"/>
      <c r="AV186" s="259"/>
      <c r="AW186" s="259"/>
    </row>
    <row r="187" spans="2:49" ht="15" customHeight="1" x14ac:dyDescent="0.25">
      <c r="B187" s="260"/>
      <c r="D187" s="262"/>
      <c r="F187" s="264"/>
      <c r="G187" s="264"/>
      <c r="H187" s="265"/>
      <c r="I187" s="266"/>
      <c r="K187" s="268"/>
      <c r="L187" s="278"/>
      <c r="M187" s="274"/>
      <c r="N187" s="258"/>
      <c r="O187" s="258"/>
      <c r="P187" s="258"/>
      <c r="Q187" s="276"/>
      <c r="R187" s="272"/>
      <c r="S187" s="272"/>
      <c r="T187" s="272"/>
      <c r="U187" s="272"/>
      <c r="V187" s="272"/>
      <c r="W187" s="272"/>
      <c r="X187" s="272"/>
      <c r="Y187" s="272"/>
      <c r="Z187" s="258"/>
      <c r="AA187" s="258"/>
      <c r="AB187" s="258"/>
      <c r="AC187" s="258"/>
      <c r="AD187" s="258"/>
      <c r="AE187" s="258"/>
      <c r="AF187" s="258"/>
      <c r="AG187" s="258"/>
      <c r="AH187" s="258"/>
      <c r="AQ187" s="259"/>
      <c r="AR187" s="259"/>
      <c r="AS187" s="259"/>
      <c r="AT187" s="259"/>
      <c r="AU187" s="259"/>
      <c r="AV187" s="259"/>
      <c r="AW187" s="259"/>
    </row>
    <row r="188" spans="2:49" ht="15" customHeight="1" x14ac:dyDescent="0.25">
      <c r="B188" s="260"/>
      <c r="D188" s="262"/>
      <c r="F188" s="264"/>
      <c r="G188" s="264"/>
      <c r="H188" s="265"/>
      <c r="I188" s="266"/>
      <c r="K188" s="268"/>
      <c r="L188" s="278"/>
      <c r="M188" s="274"/>
      <c r="N188" s="258"/>
      <c r="O188" s="258"/>
      <c r="P188" s="258"/>
      <c r="Q188" s="276"/>
      <c r="R188" s="272"/>
      <c r="S188" s="272"/>
      <c r="T188" s="272"/>
      <c r="U188" s="272"/>
      <c r="V188" s="272"/>
      <c r="W188" s="272"/>
      <c r="X188" s="272"/>
      <c r="Y188" s="272"/>
      <c r="Z188" s="258"/>
      <c r="AA188" s="258"/>
      <c r="AB188" s="258"/>
      <c r="AC188" s="258"/>
      <c r="AD188" s="258"/>
      <c r="AE188" s="258"/>
      <c r="AF188" s="258"/>
      <c r="AG188" s="258"/>
      <c r="AH188" s="258"/>
      <c r="AQ188" s="259"/>
      <c r="AR188" s="259"/>
      <c r="AS188" s="259"/>
      <c r="AT188" s="259"/>
      <c r="AU188" s="259"/>
      <c r="AV188" s="259"/>
      <c r="AW188" s="259"/>
    </row>
    <row r="189" spans="2:49" ht="15" customHeight="1" x14ac:dyDescent="0.25">
      <c r="B189" s="260"/>
      <c r="D189" s="262"/>
      <c r="F189" s="264"/>
      <c r="G189" s="264"/>
      <c r="H189" s="265"/>
      <c r="I189" s="266"/>
      <c r="K189" s="268"/>
      <c r="L189" s="278"/>
      <c r="M189" s="274"/>
      <c r="N189" s="258"/>
      <c r="O189" s="258"/>
      <c r="P189" s="258"/>
      <c r="Q189" s="276"/>
      <c r="W189" s="272"/>
      <c r="X189" s="272"/>
      <c r="Y189" s="272"/>
      <c r="Z189" s="258"/>
      <c r="AA189" s="258"/>
      <c r="AB189" s="258"/>
      <c r="AC189" s="258"/>
      <c r="AD189" s="258"/>
      <c r="AE189" s="258"/>
      <c r="AF189" s="258"/>
      <c r="AG189" s="258"/>
      <c r="AH189" s="258"/>
      <c r="AQ189" s="259"/>
      <c r="AR189" s="259"/>
      <c r="AS189" s="259"/>
      <c r="AT189" s="259"/>
      <c r="AU189" s="259"/>
      <c r="AV189" s="259"/>
      <c r="AW189" s="259"/>
    </row>
    <row r="190" spans="2:49" ht="15" customHeight="1" x14ac:dyDescent="0.25">
      <c r="B190" s="260"/>
      <c r="D190" s="262"/>
      <c r="F190" s="264"/>
      <c r="G190" s="264"/>
      <c r="H190" s="265"/>
      <c r="I190" s="266"/>
      <c r="K190" s="268"/>
      <c r="L190" s="278"/>
      <c r="M190" s="274"/>
      <c r="N190" s="258"/>
      <c r="O190" s="258"/>
      <c r="P190" s="258"/>
      <c r="Q190" s="276"/>
      <c r="W190" s="272"/>
      <c r="X190" s="272"/>
      <c r="Y190" s="272"/>
      <c r="Z190" s="258"/>
      <c r="AA190" s="258"/>
      <c r="AB190" s="258"/>
      <c r="AC190" s="258"/>
      <c r="AD190" s="258"/>
      <c r="AE190" s="258"/>
      <c r="AF190" s="258"/>
      <c r="AG190" s="258"/>
      <c r="AH190" s="258"/>
      <c r="AQ190" s="259"/>
      <c r="AR190" s="259"/>
      <c r="AS190" s="259"/>
      <c r="AT190" s="259"/>
      <c r="AU190" s="259"/>
      <c r="AV190" s="259"/>
      <c r="AW190" s="259"/>
    </row>
    <row r="191" spans="2:49" ht="15" customHeight="1" x14ac:dyDescent="0.25">
      <c r="B191" s="260"/>
      <c r="D191" s="262"/>
      <c r="F191" s="264"/>
      <c r="G191" s="264"/>
      <c r="H191" s="265"/>
      <c r="I191" s="266"/>
      <c r="K191" s="268"/>
      <c r="L191" s="278"/>
      <c r="M191" s="274"/>
      <c r="N191" s="258"/>
      <c r="O191" s="258"/>
      <c r="P191" s="258"/>
      <c r="Q191" s="276"/>
      <c r="W191" s="272"/>
      <c r="X191" s="272"/>
      <c r="Y191" s="272"/>
      <c r="Z191" s="258"/>
      <c r="AA191" s="258"/>
      <c r="AB191" s="258"/>
      <c r="AC191" s="258"/>
      <c r="AD191" s="258"/>
      <c r="AE191" s="258"/>
      <c r="AF191" s="258"/>
      <c r="AG191" s="258"/>
      <c r="AH191" s="258"/>
      <c r="AQ191" s="259"/>
      <c r="AR191" s="259"/>
      <c r="AS191" s="259"/>
      <c r="AT191" s="259"/>
      <c r="AU191" s="259"/>
      <c r="AV191" s="259"/>
      <c r="AW191" s="259"/>
    </row>
    <row r="192" spans="2:49" ht="15" customHeight="1" x14ac:dyDescent="0.25">
      <c r="B192" s="260"/>
      <c r="D192" s="262"/>
      <c r="F192" s="293"/>
      <c r="G192" s="264"/>
      <c r="H192" s="265"/>
      <c r="I192" s="266"/>
      <c r="K192" s="268"/>
      <c r="L192" s="273"/>
      <c r="M192" s="274"/>
      <c r="N192" s="270"/>
      <c r="O192" s="270"/>
      <c r="P192" s="270"/>
      <c r="Q192" s="275"/>
      <c r="R192" s="272"/>
      <c r="S192" s="272"/>
      <c r="T192" s="272"/>
      <c r="U192" s="272"/>
      <c r="V192" s="272"/>
      <c r="W192" s="272"/>
      <c r="X192" s="272"/>
      <c r="Y192" s="272"/>
      <c r="Z192" s="258"/>
      <c r="AA192" s="258"/>
      <c r="AB192" s="258"/>
      <c r="AC192" s="258"/>
      <c r="AD192" s="258"/>
      <c r="AE192" s="258"/>
      <c r="AF192" s="258"/>
      <c r="AG192" s="258"/>
      <c r="AH192" s="258"/>
      <c r="AI192" s="258"/>
      <c r="AQ192" s="259"/>
      <c r="AR192" s="259"/>
      <c r="AS192" s="259"/>
      <c r="AT192" s="259"/>
      <c r="AU192" s="259"/>
      <c r="AV192" s="259"/>
      <c r="AW192" s="259"/>
    </row>
    <row r="193" spans="2:49" ht="15" customHeight="1" x14ac:dyDescent="0.25">
      <c r="B193" s="260"/>
      <c r="D193" s="262"/>
      <c r="F193" s="293"/>
      <c r="G193" s="264"/>
      <c r="H193" s="265"/>
      <c r="I193" s="266"/>
      <c r="K193" s="268"/>
      <c r="L193" s="273"/>
      <c r="M193" s="274"/>
      <c r="N193" s="258"/>
      <c r="O193" s="258"/>
      <c r="P193" s="258"/>
      <c r="Q193" s="276"/>
      <c r="R193" s="272"/>
      <c r="S193" s="272"/>
      <c r="T193" s="272"/>
      <c r="U193" s="272"/>
      <c r="V193" s="272"/>
      <c r="W193" s="272"/>
      <c r="X193" s="272"/>
      <c r="Y193" s="272"/>
      <c r="Z193" s="258"/>
      <c r="AA193" s="258"/>
      <c r="AB193" s="258"/>
      <c r="AC193" s="258"/>
      <c r="AD193" s="258"/>
      <c r="AE193" s="258"/>
      <c r="AF193" s="258"/>
      <c r="AG193" s="258"/>
      <c r="AH193" s="258"/>
      <c r="AI193" s="258"/>
      <c r="AQ193" s="259"/>
      <c r="AR193" s="259"/>
      <c r="AS193" s="259"/>
      <c r="AT193" s="259"/>
      <c r="AU193" s="259"/>
      <c r="AV193" s="259"/>
      <c r="AW193" s="259"/>
    </row>
    <row r="194" spans="2:49" ht="15" customHeight="1" x14ac:dyDescent="0.25">
      <c r="B194" s="260"/>
      <c r="D194" s="262"/>
      <c r="F194" s="293"/>
      <c r="G194" s="264"/>
      <c r="H194" s="265"/>
      <c r="I194" s="266"/>
      <c r="K194" s="268"/>
      <c r="L194" s="273"/>
      <c r="M194" s="274"/>
      <c r="N194" s="258"/>
      <c r="O194" s="258"/>
      <c r="P194" s="258"/>
      <c r="Q194" s="276"/>
      <c r="R194" s="272"/>
      <c r="S194" s="272"/>
      <c r="T194" s="272"/>
      <c r="U194" s="272"/>
      <c r="V194" s="272"/>
      <c r="W194" s="272"/>
      <c r="X194" s="272"/>
      <c r="Y194" s="272"/>
      <c r="Z194" s="258"/>
      <c r="AA194" s="258"/>
      <c r="AB194" s="258"/>
      <c r="AC194" s="258"/>
      <c r="AD194" s="258"/>
      <c r="AE194" s="258"/>
      <c r="AF194" s="258"/>
      <c r="AG194" s="258"/>
      <c r="AH194" s="270"/>
      <c r="AI194" s="270"/>
      <c r="AQ194" s="259"/>
      <c r="AR194" s="259"/>
      <c r="AS194" s="259"/>
      <c r="AT194" s="259"/>
      <c r="AU194" s="259"/>
      <c r="AV194" s="259"/>
      <c r="AW194" s="259"/>
    </row>
    <row r="195" spans="2:49" ht="15" customHeight="1" x14ac:dyDescent="0.25">
      <c r="B195" s="260"/>
      <c r="D195" s="262"/>
      <c r="F195" s="293"/>
      <c r="G195" s="264"/>
      <c r="H195" s="265"/>
      <c r="I195" s="266"/>
      <c r="K195" s="268"/>
      <c r="L195" s="273"/>
      <c r="M195" s="277"/>
      <c r="N195" s="258"/>
      <c r="O195" s="258"/>
      <c r="P195" s="258"/>
      <c r="Q195" s="276"/>
      <c r="R195" s="272"/>
      <c r="S195" s="272"/>
      <c r="T195" s="272"/>
      <c r="U195" s="272"/>
      <c r="V195" s="272"/>
      <c r="W195" s="272"/>
      <c r="X195" s="272"/>
      <c r="Y195" s="272"/>
      <c r="Z195" s="258"/>
      <c r="AA195" s="258"/>
      <c r="AB195" s="258"/>
      <c r="AC195" s="258"/>
      <c r="AD195" s="258"/>
      <c r="AE195" s="258"/>
      <c r="AF195" s="258"/>
      <c r="AG195" s="258"/>
      <c r="AH195" s="270"/>
      <c r="AI195" s="270"/>
      <c r="AQ195" s="259"/>
      <c r="AR195" s="259"/>
      <c r="AS195" s="259"/>
      <c r="AT195" s="259"/>
      <c r="AU195" s="259"/>
      <c r="AV195" s="259"/>
      <c r="AW195" s="259"/>
    </row>
    <row r="196" spans="2:49" ht="15" customHeight="1" x14ac:dyDescent="0.25">
      <c r="B196" s="260"/>
      <c r="D196" s="262"/>
      <c r="F196" s="293"/>
      <c r="G196" s="264"/>
      <c r="H196" s="265"/>
      <c r="I196" s="266"/>
      <c r="K196" s="268"/>
      <c r="L196" s="278"/>
      <c r="M196" s="274"/>
      <c r="N196" s="258"/>
      <c r="O196" s="258"/>
      <c r="P196" s="258"/>
      <c r="Q196" s="276"/>
      <c r="R196" s="272"/>
      <c r="S196" s="272"/>
      <c r="T196" s="272"/>
      <c r="U196" s="272"/>
      <c r="V196" s="272"/>
      <c r="W196" s="272"/>
      <c r="X196" s="272"/>
      <c r="Y196" s="272"/>
      <c r="Z196" s="258"/>
      <c r="AA196" s="258"/>
      <c r="AB196" s="258"/>
      <c r="AC196" s="258"/>
      <c r="AD196" s="258"/>
      <c r="AE196" s="258"/>
      <c r="AF196" s="258"/>
      <c r="AG196" s="258"/>
      <c r="AH196" s="270"/>
      <c r="AI196" s="270"/>
      <c r="AQ196" s="259"/>
      <c r="AR196" s="259"/>
      <c r="AS196" s="259"/>
      <c r="AT196" s="259"/>
      <c r="AU196" s="259"/>
      <c r="AV196" s="259"/>
      <c r="AW196" s="259"/>
    </row>
    <row r="197" spans="2:49" ht="15" customHeight="1" x14ac:dyDescent="0.25">
      <c r="B197" s="260"/>
      <c r="D197" s="262"/>
      <c r="F197" s="293"/>
      <c r="G197" s="264"/>
      <c r="H197" s="265"/>
      <c r="I197" s="266"/>
      <c r="K197" s="268"/>
      <c r="L197" s="278"/>
      <c r="M197" s="274"/>
      <c r="N197" s="258"/>
      <c r="O197" s="258"/>
      <c r="P197" s="258"/>
      <c r="Q197" s="276"/>
      <c r="R197" s="272"/>
      <c r="S197" s="272"/>
      <c r="T197" s="272"/>
      <c r="U197" s="272"/>
      <c r="V197" s="272"/>
      <c r="W197" s="272"/>
      <c r="X197" s="272"/>
      <c r="Y197" s="272"/>
      <c r="Z197" s="258"/>
      <c r="AA197" s="258"/>
      <c r="AB197" s="258"/>
      <c r="AC197" s="258"/>
      <c r="AD197" s="258"/>
      <c r="AE197" s="258"/>
      <c r="AF197" s="258"/>
      <c r="AG197" s="258"/>
      <c r="AH197" s="258"/>
      <c r="AQ197" s="259"/>
      <c r="AR197" s="259"/>
      <c r="AS197" s="259"/>
      <c r="AT197" s="259"/>
      <c r="AU197" s="259"/>
      <c r="AV197" s="259"/>
      <c r="AW197" s="259"/>
    </row>
    <row r="198" spans="2:49" ht="15" customHeight="1" x14ac:dyDescent="0.25">
      <c r="B198" s="260"/>
      <c r="D198" s="262"/>
      <c r="F198" s="293"/>
      <c r="G198" s="264"/>
      <c r="H198" s="265"/>
      <c r="I198" s="266"/>
      <c r="K198" s="268"/>
      <c r="L198" s="278"/>
      <c r="M198" s="274"/>
      <c r="N198" s="258"/>
      <c r="O198" s="258"/>
      <c r="P198" s="258"/>
      <c r="Q198" s="276"/>
      <c r="R198" s="272"/>
      <c r="S198" s="272"/>
      <c r="T198" s="272"/>
      <c r="U198" s="272"/>
      <c r="V198" s="272"/>
      <c r="W198" s="272"/>
      <c r="X198" s="272"/>
      <c r="Y198" s="272"/>
      <c r="Z198" s="258"/>
      <c r="AA198" s="258"/>
      <c r="AB198" s="258"/>
      <c r="AC198" s="258"/>
      <c r="AD198" s="258"/>
      <c r="AE198" s="258"/>
      <c r="AF198" s="258"/>
      <c r="AG198" s="258"/>
      <c r="AH198" s="258"/>
      <c r="AQ198" s="259"/>
      <c r="AR198" s="259"/>
      <c r="AS198" s="259"/>
      <c r="AT198" s="259"/>
      <c r="AU198" s="259"/>
      <c r="AV198" s="259"/>
      <c r="AW198" s="259"/>
    </row>
    <row r="199" spans="2:49" ht="15" customHeight="1" x14ac:dyDescent="0.25">
      <c r="B199" s="260"/>
      <c r="D199" s="262"/>
      <c r="F199" s="293"/>
      <c r="G199" s="264"/>
      <c r="H199" s="265"/>
      <c r="I199" s="266"/>
      <c r="K199" s="268"/>
      <c r="L199" s="278"/>
      <c r="M199" s="274"/>
      <c r="N199" s="258"/>
      <c r="O199" s="258"/>
      <c r="P199" s="258"/>
      <c r="Q199" s="276"/>
      <c r="R199" s="272"/>
      <c r="S199" s="272"/>
      <c r="T199" s="272"/>
      <c r="U199" s="272"/>
      <c r="V199" s="272"/>
      <c r="W199" s="272"/>
      <c r="X199" s="272"/>
      <c r="Y199" s="272"/>
      <c r="Z199" s="258"/>
      <c r="AA199" s="258"/>
      <c r="AB199" s="258"/>
      <c r="AC199" s="258"/>
      <c r="AD199" s="258"/>
      <c r="AE199" s="258"/>
      <c r="AF199" s="258"/>
      <c r="AG199" s="258"/>
      <c r="AH199" s="258"/>
      <c r="AQ199" s="259"/>
      <c r="AR199" s="259"/>
      <c r="AS199" s="259"/>
      <c r="AT199" s="259"/>
      <c r="AU199" s="259"/>
      <c r="AV199" s="259"/>
      <c r="AW199" s="259"/>
    </row>
    <row r="200" spans="2:49" ht="15" customHeight="1" x14ac:dyDescent="0.25">
      <c r="B200" s="260"/>
      <c r="D200" s="262"/>
      <c r="F200" s="293"/>
      <c r="G200" s="264"/>
      <c r="H200" s="265"/>
      <c r="I200" s="266"/>
      <c r="K200" s="268"/>
      <c r="L200" s="278"/>
      <c r="M200" s="274"/>
      <c r="N200" s="258"/>
      <c r="O200" s="258"/>
      <c r="P200" s="258"/>
      <c r="Q200" s="276"/>
      <c r="R200" s="272"/>
      <c r="S200" s="272"/>
      <c r="T200" s="272"/>
      <c r="U200" s="272"/>
      <c r="V200" s="272"/>
      <c r="W200" s="272"/>
      <c r="X200" s="272"/>
      <c r="Y200" s="272"/>
      <c r="Z200" s="258"/>
      <c r="AA200" s="258"/>
      <c r="AB200" s="258"/>
      <c r="AC200" s="258"/>
      <c r="AD200" s="258"/>
      <c r="AE200" s="258"/>
      <c r="AF200" s="258"/>
      <c r="AG200" s="258"/>
      <c r="AH200" s="258"/>
      <c r="AQ200" s="259"/>
      <c r="AR200" s="259"/>
      <c r="AS200" s="259"/>
      <c r="AT200" s="259"/>
      <c r="AU200" s="259"/>
      <c r="AV200" s="259"/>
      <c r="AW200" s="259"/>
    </row>
    <row r="201" spans="2:49" ht="15" customHeight="1" x14ac:dyDescent="0.25">
      <c r="B201" s="260"/>
      <c r="D201" s="262"/>
      <c r="G201" s="264"/>
      <c r="H201" s="265"/>
      <c r="I201" s="266"/>
      <c r="K201" s="268"/>
      <c r="L201" s="278"/>
      <c r="M201" s="274"/>
      <c r="N201" s="258"/>
      <c r="O201" s="258"/>
      <c r="P201" s="258"/>
      <c r="Q201" s="276"/>
      <c r="W201" s="272"/>
      <c r="X201" s="272"/>
      <c r="Y201" s="272"/>
      <c r="Z201" s="258"/>
      <c r="AA201" s="258"/>
      <c r="AB201" s="258"/>
      <c r="AC201" s="258"/>
      <c r="AD201" s="258"/>
      <c r="AE201" s="258"/>
      <c r="AF201" s="258"/>
      <c r="AG201" s="258"/>
      <c r="AH201" s="258"/>
      <c r="AQ201" s="259"/>
      <c r="AR201" s="259"/>
      <c r="AS201" s="259"/>
      <c r="AT201" s="259"/>
      <c r="AU201" s="259"/>
      <c r="AV201" s="259"/>
      <c r="AW201" s="259"/>
    </row>
    <row r="202" spans="2:49" ht="15" customHeight="1" x14ac:dyDescent="0.25">
      <c r="B202" s="260"/>
      <c r="D202" s="262"/>
      <c r="G202" s="264"/>
      <c r="H202" s="265"/>
      <c r="I202" s="266"/>
      <c r="K202" s="268"/>
      <c r="L202" s="278"/>
      <c r="M202" s="274"/>
      <c r="N202" s="258"/>
      <c r="O202" s="258"/>
      <c r="P202" s="258"/>
      <c r="Q202" s="276"/>
      <c r="W202" s="272"/>
      <c r="X202" s="272"/>
      <c r="Y202" s="272"/>
      <c r="Z202" s="258"/>
      <c r="AA202" s="258"/>
      <c r="AB202" s="258"/>
      <c r="AC202" s="258"/>
      <c r="AD202" s="258"/>
      <c r="AE202" s="258"/>
      <c r="AF202" s="258"/>
      <c r="AG202" s="258"/>
      <c r="AH202" s="258"/>
      <c r="AQ202" s="259"/>
      <c r="AR202" s="259"/>
      <c r="AS202" s="259"/>
      <c r="AT202" s="259"/>
      <c r="AU202" s="259"/>
      <c r="AV202" s="259"/>
      <c r="AW202" s="259"/>
    </row>
    <row r="203" spans="2:49" ht="15" customHeight="1" x14ac:dyDescent="0.25">
      <c r="B203" s="260"/>
      <c r="D203" s="262"/>
      <c r="G203" s="264"/>
      <c r="H203" s="265"/>
      <c r="I203" s="266"/>
      <c r="K203" s="268"/>
      <c r="L203" s="278"/>
      <c r="M203" s="274"/>
      <c r="N203" s="258"/>
      <c r="O203" s="258"/>
      <c r="P203" s="258"/>
      <c r="Q203" s="276"/>
      <c r="W203" s="272"/>
      <c r="X203" s="272"/>
      <c r="Y203" s="272"/>
      <c r="Z203" s="258"/>
      <c r="AA203" s="258"/>
      <c r="AB203" s="258"/>
      <c r="AC203" s="258"/>
      <c r="AD203" s="258"/>
      <c r="AE203" s="258"/>
      <c r="AF203" s="258"/>
      <c r="AG203" s="258"/>
      <c r="AH203" s="258"/>
      <c r="AQ203" s="259"/>
      <c r="AR203" s="259"/>
      <c r="AS203" s="259"/>
      <c r="AT203" s="259"/>
      <c r="AU203" s="259"/>
      <c r="AV203" s="259"/>
      <c r="AW203" s="259"/>
    </row>
    <row r="204" spans="2:49" ht="15" customHeight="1" x14ac:dyDescent="0.25">
      <c r="B204" s="260"/>
      <c r="D204" s="262"/>
      <c r="G204" s="264"/>
      <c r="H204" s="265"/>
      <c r="I204" s="266"/>
      <c r="K204" s="268"/>
      <c r="L204" s="273"/>
      <c r="M204" s="274"/>
      <c r="N204" s="270"/>
      <c r="O204" s="270"/>
      <c r="P204" s="270"/>
      <c r="Q204" s="275"/>
      <c r="R204" s="272"/>
      <c r="S204" s="272"/>
      <c r="T204" s="272"/>
      <c r="U204" s="272"/>
      <c r="V204" s="272"/>
      <c r="W204" s="272"/>
      <c r="X204" s="272"/>
      <c r="Y204" s="272"/>
      <c r="Z204" s="258"/>
      <c r="AA204" s="258"/>
      <c r="AB204" s="258"/>
      <c r="AC204" s="258"/>
      <c r="AD204" s="258"/>
      <c r="AE204" s="258"/>
      <c r="AF204" s="258"/>
      <c r="AG204" s="258"/>
      <c r="AH204" s="258"/>
      <c r="AI204" s="258"/>
      <c r="AQ204" s="259"/>
      <c r="AR204" s="259"/>
      <c r="AS204" s="259"/>
      <c r="AT204" s="259"/>
      <c r="AU204" s="259"/>
      <c r="AV204" s="259"/>
      <c r="AW204" s="259"/>
    </row>
    <row r="205" spans="2:49" ht="15" customHeight="1" x14ac:dyDescent="0.25">
      <c r="B205" s="260"/>
      <c r="D205" s="262"/>
      <c r="G205" s="264"/>
      <c r="H205" s="265"/>
      <c r="I205" s="266"/>
      <c r="K205" s="268"/>
      <c r="L205" s="273"/>
      <c r="M205" s="274"/>
      <c r="N205" s="258"/>
      <c r="O205" s="258"/>
      <c r="P205" s="258"/>
      <c r="Q205" s="276"/>
      <c r="R205" s="272"/>
      <c r="S205" s="272"/>
      <c r="T205" s="272"/>
      <c r="U205" s="272"/>
      <c r="V205" s="272"/>
      <c r="W205" s="272"/>
      <c r="X205" s="272"/>
      <c r="Y205" s="272"/>
      <c r="Z205" s="258"/>
      <c r="AA205" s="258"/>
      <c r="AB205" s="258"/>
      <c r="AC205" s="258"/>
      <c r="AD205" s="258"/>
      <c r="AE205" s="258"/>
      <c r="AF205" s="258"/>
      <c r="AG205" s="258"/>
      <c r="AH205" s="258"/>
      <c r="AI205" s="258"/>
      <c r="AQ205" s="259"/>
      <c r="AR205" s="259"/>
      <c r="AS205" s="259"/>
      <c r="AT205" s="259"/>
      <c r="AU205" s="259"/>
      <c r="AV205" s="259"/>
      <c r="AW205" s="259"/>
    </row>
    <row r="206" spans="2:49" ht="15" customHeight="1" x14ac:dyDescent="0.25">
      <c r="B206" s="260"/>
      <c r="D206" s="262"/>
      <c r="G206" s="264"/>
      <c r="H206" s="265"/>
      <c r="I206" s="266"/>
      <c r="K206" s="268"/>
      <c r="L206" s="273"/>
      <c r="M206" s="274"/>
      <c r="N206" s="258"/>
      <c r="O206" s="258"/>
      <c r="P206" s="258"/>
      <c r="Q206" s="276"/>
      <c r="R206" s="272"/>
      <c r="S206" s="272"/>
      <c r="T206" s="272"/>
      <c r="U206" s="272"/>
      <c r="V206" s="272"/>
      <c r="W206" s="272"/>
      <c r="X206" s="272"/>
      <c r="Y206" s="272"/>
      <c r="Z206" s="258"/>
      <c r="AA206" s="258"/>
      <c r="AB206" s="258"/>
      <c r="AC206" s="258"/>
      <c r="AD206" s="258"/>
      <c r="AE206" s="258"/>
      <c r="AF206" s="258"/>
      <c r="AG206" s="258"/>
      <c r="AH206" s="270"/>
      <c r="AI206" s="270"/>
      <c r="AQ206" s="259"/>
      <c r="AR206" s="259"/>
      <c r="AS206" s="259"/>
      <c r="AT206" s="259"/>
      <c r="AU206" s="259"/>
      <c r="AV206" s="259"/>
      <c r="AW206" s="259"/>
    </row>
    <row r="207" spans="2:49" ht="15" customHeight="1" x14ac:dyDescent="0.25">
      <c r="B207" s="260"/>
      <c r="D207" s="262"/>
      <c r="G207" s="264"/>
      <c r="H207" s="265"/>
      <c r="I207" s="266"/>
      <c r="K207" s="268"/>
      <c r="L207" s="273"/>
      <c r="M207" s="277"/>
      <c r="N207" s="258"/>
      <c r="O207" s="258"/>
      <c r="P207" s="258"/>
      <c r="Q207" s="276"/>
      <c r="R207" s="272"/>
      <c r="S207" s="272"/>
      <c r="T207" s="272"/>
      <c r="U207" s="272"/>
      <c r="V207" s="272"/>
      <c r="W207" s="272"/>
      <c r="X207" s="272"/>
      <c r="Y207" s="272"/>
      <c r="Z207" s="258"/>
      <c r="AA207" s="258"/>
      <c r="AB207" s="258"/>
      <c r="AC207" s="258"/>
      <c r="AD207" s="258"/>
      <c r="AE207" s="258"/>
      <c r="AF207" s="258"/>
      <c r="AG207" s="258"/>
      <c r="AH207" s="270"/>
      <c r="AI207" s="270"/>
      <c r="AQ207" s="259"/>
      <c r="AR207" s="259"/>
      <c r="AS207" s="259"/>
      <c r="AT207" s="259"/>
      <c r="AU207" s="259"/>
      <c r="AV207" s="259"/>
      <c r="AW207" s="259"/>
    </row>
    <row r="208" spans="2:49" ht="15" customHeight="1" x14ac:dyDescent="0.25">
      <c r="B208" s="260"/>
      <c r="D208" s="262"/>
      <c r="G208" s="264"/>
      <c r="H208" s="265"/>
      <c r="I208" s="266"/>
      <c r="K208" s="268"/>
      <c r="L208" s="278"/>
      <c r="M208" s="274"/>
      <c r="N208" s="258"/>
      <c r="O208" s="258"/>
      <c r="P208" s="258"/>
      <c r="Q208" s="276"/>
      <c r="R208" s="272"/>
      <c r="S208" s="272"/>
      <c r="T208" s="272"/>
      <c r="U208" s="272"/>
      <c r="V208" s="272"/>
      <c r="W208" s="272"/>
      <c r="X208" s="272"/>
      <c r="Y208" s="272"/>
      <c r="Z208" s="258"/>
      <c r="AA208" s="258"/>
      <c r="AB208" s="258"/>
      <c r="AC208" s="258"/>
      <c r="AD208" s="258"/>
      <c r="AE208" s="258"/>
      <c r="AF208" s="258"/>
      <c r="AG208" s="258"/>
      <c r="AH208" s="270"/>
      <c r="AI208" s="270"/>
      <c r="AQ208" s="259"/>
      <c r="AR208" s="259"/>
      <c r="AS208" s="259"/>
      <c r="AT208" s="259"/>
      <c r="AU208" s="259"/>
      <c r="AV208" s="259"/>
      <c r="AW208" s="259"/>
    </row>
    <row r="209" spans="2:49" ht="15" customHeight="1" x14ac:dyDescent="0.25">
      <c r="B209" s="260"/>
      <c r="D209" s="262"/>
      <c r="G209" s="264"/>
      <c r="H209" s="265"/>
      <c r="I209" s="266"/>
      <c r="K209" s="268"/>
      <c r="L209" s="278"/>
      <c r="M209" s="274"/>
      <c r="N209" s="258"/>
      <c r="O209" s="258"/>
      <c r="P209" s="258"/>
      <c r="Q209" s="276"/>
      <c r="R209" s="272"/>
      <c r="S209" s="272"/>
      <c r="T209" s="272"/>
      <c r="U209" s="272"/>
      <c r="V209" s="272"/>
      <c r="W209" s="272"/>
      <c r="X209" s="272"/>
      <c r="Y209" s="272"/>
      <c r="Z209" s="258"/>
      <c r="AA209" s="258"/>
      <c r="AB209" s="258"/>
      <c r="AC209" s="258"/>
      <c r="AD209" s="258"/>
      <c r="AE209" s="258"/>
      <c r="AF209" s="258"/>
      <c r="AG209" s="258"/>
      <c r="AH209" s="258"/>
      <c r="AQ209" s="259"/>
      <c r="AR209" s="259"/>
      <c r="AS209" s="259"/>
      <c r="AT209" s="259"/>
      <c r="AU209" s="259"/>
      <c r="AV209" s="259"/>
      <c r="AW209" s="259"/>
    </row>
    <row r="210" spans="2:49" ht="15" customHeight="1" x14ac:dyDescent="0.25">
      <c r="B210" s="260"/>
      <c r="D210" s="262"/>
      <c r="G210" s="288"/>
      <c r="H210" s="265"/>
      <c r="I210" s="266"/>
      <c r="K210" s="268"/>
      <c r="L210" s="278"/>
      <c r="M210" s="274"/>
      <c r="N210" s="258"/>
      <c r="O210" s="258"/>
      <c r="P210" s="258"/>
      <c r="Q210" s="276"/>
      <c r="R210" s="272"/>
      <c r="S210" s="272"/>
      <c r="T210" s="272"/>
      <c r="U210" s="272"/>
      <c r="V210" s="272"/>
      <c r="W210" s="272"/>
      <c r="X210" s="272"/>
      <c r="Y210" s="272"/>
      <c r="Z210" s="258"/>
      <c r="AA210" s="258"/>
      <c r="AB210" s="258"/>
      <c r="AC210" s="258"/>
      <c r="AD210" s="258"/>
      <c r="AE210" s="258"/>
      <c r="AF210" s="258"/>
      <c r="AG210" s="258"/>
      <c r="AH210" s="258"/>
      <c r="AQ210" s="259"/>
      <c r="AR210" s="259"/>
      <c r="AS210" s="259"/>
      <c r="AT210" s="259"/>
      <c r="AU210" s="259"/>
      <c r="AV210" s="259"/>
      <c r="AW210" s="259"/>
    </row>
    <row r="211" spans="2:49" ht="15" customHeight="1" x14ac:dyDescent="0.25">
      <c r="B211" s="260"/>
      <c r="D211" s="262"/>
      <c r="G211" s="288"/>
      <c r="H211" s="265"/>
      <c r="I211" s="266"/>
      <c r="K211" s="268"/>
      <c r="L211" s="278"/>
      <c r="M211" s="274"/>
      <c r="N211" s="258"/>
      <c r="O211" s="258"/>
      <c r="P211" s="258"/>
      <c r="Q211" s="276"/>
      <c r="R211" s="272"/>
      <c r="S211" s="272"/>
      <c r="T211" s="272"/>
      <c r="U211" s="272"/>
      <c r="V211" s="272"/>
      <c r="W211" s="272"/>
      <c r="X211" s="272"/>
      <c r="Y211" s="272"/>
      <c r="Z211" s="258"/>
      <c r="AA211" s="258"/>
      <c r="AB211" s="258"/>
      <c r="AC211" s="258"/>
      <c r="AD211" s="258"/>
      <c r="AE211" s="258"/>
      <c r="AF211" s="258"/>
      <c r="AG211" s="258"/>
      <c r="AH211" s="258"/>
      <c r="AQ211" s="259"/>
      <c r="AR211" s="259"/>
      <c r="AS211" s="259"/>
      <c r="AT211" s="259"/>
      <c r="AU211" s="259"/>
      <c r="AV211" s="259"/>
      <c r="AW211" s="259"/>
    </row>
    <row r="212" spans="2:49" ht="15" customHeight="1" x14ac:dyDescent="0.25">
      <c r="B212" s="260"/>
      <c r="D212" s="262"/>
      <c r="E212" s="291"/>
      <c r="F212" s="293"/>
      <c r="G212" s="288"/>
      <c r="H212" s="265"/>
      <c r="I212" s="266"/>
      <c r="K212" s="268"/>
      <c r="L212" s="278"/>
      <c r="M212" s="274"/>
      <c r="N212" s="258"/>
      <c r="O212" s="258"/>
      <c r="P212" s="258"/>
      <c r="Q212" s="276"/>
      <c r="R212" s="272"/>
      <c r="S212" s="272"/>
      <c r="T212" s="272"/>
      <c r="U212" s="272"/>
      <c r="V212" s="272"/>
      <c r="W212" s="272"/>
      <c r="X212" s="272"/>
      <c r="Y212" s="272"/>
      <c r="Z212" s="258"/>
      <c r="AA212" s="258"/>
      <c r="AB212" s="258"/>
      <c r="AC212" s="258"/>
      <c r="AD212" s="258"/>
      <c r="AE212" s="258"/>
      <c r="AF212" s="258"/>
      <c r="AG212" s="258"/>
      <c r="AH212" s="258"/>
      <c r="AQ212" s="259"/>
      <c r="AR212" s="259"/>
      <c r="AS212" s="259"/>
      <c r="AT212" s="259"/>
      <c r="AU212" s="259"/>
      <c r="AV212" s="259"/>
      <c r="AW212" s="259"/>
    </row>
    <row r="213" spans="2:49" ht="15" customHeight="1" x14ac:dyDescent="0.25">
      <c r="B213" s="260"/>
      <c r="C213" s="290"/>
      <c r="D213" s="262"/>
      <c r="E213" s="291"/>
      <c r="F213" s="262"/>
      <c r="G213" s="289"/>
      <c r="H213" s="243"/>
      <c r="I213" s="266"/>
      <c r="K213" s="268"/>
      <c r="L213" s="278"/>
      <c r="M213" s="274"/>
      <c r="N213" s="258"/>
      <c r="O213" s="258"/>
      <c r="P213" s="258"/>
      <c r="Q213" s="276"/>
      <c r="W213" s="272"/>
      <c r="X213" s="272"/>
      <c r="Y213" s="272"/>
      <c r="Z213" s="258"/>
      <c r="AA213" s="258"/>
      <c r="AB213" s="258"/>
      <c r="AC213" s="258"/>
      <c r="AD213" s="258"/>
      <c r="AE213" s="258"/>
      <c r="AF213" s="258"/>
      <c r="AG213" s="258"/>
      <c r="AH213" s="258"/>
      <c r="AQ213" s="259"/>
      <c r="AR213" s="259"/>
      <c r="AS213" s="259"/>
      <c r="AT213" s="259"/>
      <c r="AU213" s="259"/>
      <c r="AV213" s="259"/>
      <c r="AW213" s="259"/>
    </row>
    <row r="214" spans="2:49" ht="15" customHeight="1" x14ac:dyDescent="0.25">
      <c r="B214" s="260"/>
      <c r="D214" s="262"/>
      <c r="G214" s="289"/>
      <c r="H214" s="265"/>
      <c r="I214" s="266"/>
      <c r="K214" s="268"/>
      <c r="L214" s="278"/>
      <c r="M214" s="274"/>
      <c r="N214" s="258"/>
      <c r="O214" s="258"/>
      <c r="P214" s="258"/>
      <c r="Q214" s="276"/>
      <c r="W214" s="272"/>
      <c r="X214" s="272"/>
      <c r="Y214" s="272"/>
      <c r="Z214" s="258"/>
      <c r="AA214" s="258"/>
      <c r="AB214" s="258"/>
      <c r="AC214" s="258"/>
      <c r="AD214" s="258"/>
      <c r="AE214" s="258"/>
      <c r="AF214" s="258"/>
      <c r="AG214" s="258"/>
      <c r="AH214" s="258"/>
      <c r="AQ214" s="259"/>
      <c r="AR214" s="259"/>
      <c r="AS214" s="259"/>
      <c r="AT214" s="259"/>
      <c r="AU214" s="259"/>
      <c r="AV214" s="259"/>
      <c r="AW214" s="259"/>
    </row>
    <row r="215" spans="2:49" ht="15" customHeight="1" x14ac:dyDescent="0.25">
      <c r="B215" s="260"/>
      <c r="D215" s="262"/>
      <c r="G215" s="288"/>
      <c r="H215" s="265"/>
      <c r="I215" s="266"/>
      <c r="K215" s="268"/>
      <c r="L215" s="278"/>
      <c r="M215" s="274"/>
      <c r="N215" s="258"/>
      <c r="O215" s="258"/>
      <c r="P215" s="258"/>
      <c r="Q215" s="276"/>
      <c r="W215" s="272"/>
      <c r="X215" s="272"/>
      <c r="Y215" s="272"/>
      <c r="Z215" s="258"/>
      <c r="AA215" s="258"/>
      <c r="AB215" s="258"/>
      <c r="AC215" s="258"/>
      <c r="AD215" s="258"/>
      <c r="AE215" s="258"/>
      <c r="AF215" s="258"/>
      <c r="AG215" s="258"/>
      <c r="AH215" s="258"/>
      <c r="AQ215" s="259"/>
      <c r="AR215" s="259"/>
      <c r="AS215" s="259"/>
      <c r="AT215" s="259"/>
      <c r="AU215" s="259"/>
      <c r="AV215" s="259"/>
      <c r="AW215" s="259"/>
    </row>
    <row r="216" spans="2:49" ht="15" customHeight="1" x14ac:dyDescent="0.25">
      <c r="B216" s="260"/>
      <c r="D216" s="262"/>
      <c r="E216" s="291"/>
      <c r="F216" s="293"/>
      <c r="G216" s="288"/>
      <c r="H216" s="265"/>
      <c r="I216" s="266"/>
      <c r="K216" s="268"/>
      <c r="L216" s="273"/>
      <c r="M216" s="274"/>
      <c r="N216" s="270"/>
      <c r="O216" s="270"/>
      <c r="P216" s="270"/>
      <c r="Q216" s="275"/>
      <c r="R216" s="272"/>
      <c r="S216" s="272"/>
      <c r="T216" s="272"/>
      <c r="U216" s="272"/>
      <c r="V216" s="272"/>
      <c r="W216" s="272"/>
      <c r="X216" s="272"/>
      <c r="Y216" s="272"/>
      <c r="Z216" s="258"/>
      <c r="AA216" s="258"/>
      <c r="AB216" s="258"/>
      <c r="AC216" s="258"/>
      <c r="AD216" s="258"/>
      <c r="AE216" s="258"/>
      <c r="AF216" s="258"/>
      <c r="AG216" s="258"/>
      <c r="AH216" s="258"/>
      <c r="AI216" s="258"/>
      <c r="AQ216" s="259"/>
      <c r="AR216" s="259"/>
      <c r="AS216" s="259"/>
      <c r="AT216" s="259"/>
      <c r="AU216" s="259"/>
      <c r="AV216" s="259"/>
      <c r="AW216" s="259"/>
    </row>
    <row r="217" spans="2:49" ht="15" customHeight="1" x14ac:dyDescent="0.25">
      <c r="B217" s="260"/>
      <c r="C217" s="290"/>
      <c r="D217" s="262"/>
      <c r="E217" s="291"/>
      <c r="F217" s="262"/>
      <c r="G217" s="289"/>
      <c r="H217" s="243"/>
      <c r="I217" s="266"/>
      <c r="K217" s="268"/>
      <c r="L217" s="273"/>
      <c r="M217" s="274"/>
      <c r="N217" s="258"/>
      <c r="O217" s="258"/>
      <c r="P217" s="258"/>
      <c r="Q217" s="276"/>
      <c r="R217" s="272"/>
      <c r="S217" s="272"/>
      <c r="T217" s="272"/>
      <c r="U217" s="272"/>
      <c r="V217" s="272"/>
      <c r="W217" s="272"/>
      <c r="X217" s="272"/>
      <c r="Y217" s="272"/>
      <c r="Z217" s="258"/>
      <c r="AA217" s="258"/>
      <c r="AB217" s="258"/>
      <c r="AC217" s="258"/>
      <c r="AD217" s="258"/>
      <c r="AE217" s="258"/>
      <c r="AF217" s="258"/>
      <c r="AG217" s="258"/>
      <c r="AH217" s="258"/>
      <c r="AI217" s="258"/>
      <c r="AQ217" s="259"/>
      <c r="AR217" s="259"/>
      <c r="AS217" s="259"/>
      <c r="AT217" s="259"/>
      <c r="AU217" s="259"/>
      <c r="AV217" s="259"/>
      <c r="AW217" s="259"/>
    </row>
    <row r="218" spans="2:49" ht="15" customHeight="1" x14ac:dyDescent="0.25">
      <c r="B218" s="260"/>
      <c r="D218" s="262"/>
      <c r="G218" s="289"/>
      <c r="H218" s="265"/>
      <c r="I218" s="266"/>
      <c r="K218" s="268"/>
      <c r="L218" s="273"/>
      <c r="M218" s="274"/>
      <c r="N218" s="258"/>
      <c r="O218" s="258"/>
      <c r="P218" s="258"/>
      <c r="Q218" s="276"/>
      <c r="R218" s="272"/>
      <c r="S218" s="272"/>
      <c r="T218" s="272"/>
      <c r="U218" s="272"/>
      <c r="V218" s="272"/>
      <c r="W218" s="272"/>
      <c r="X218" s="272"/>
      <c r="Y218" s="272"/>
      <c r="Z218" s="258"/>
      <c r="AA218" s="258"/>
      <c r="AB218" s="258"/>
      <c r="AC218" s="258"/>
      <c r="AD218" s="258"/>
      <c r="AE218" s="258"/>
      <c r="AF218" s="258"/>
      <c r="AG218" s="258"/>
      <c r="AH218" s="270"/>
      <c r="AI218" s="270"/>
      <c r="AQ218" s="259"/>
      <c r="AR218" s="259"/>
      <c r="AS218" s="259"/>
      <c r="AT218" s="259"/>
      <c r="AU218" s="259"/>
      <c r="AV218" s="259"/>
      <c r="AW218" s="259"/>
    </row>
    <row r="219" spans="2:49" ht="15" customHeight="1" x14ac:dyDescent="0.25">
      <c r="B219" s="260"/>
      <c r="D219" s="262"/>
      <c r="G219" s="289"/>
      <c r="H219" s="265"/>
      <c r="I219" s="266"/>
      <c r="K219" s="268"/>
      <c r="L219" s="273"/>
      <c r="M219" s="277"/>
      <c r="N219" s="258"/>
      <c r="O219" s="258"/>
      <c r="P219" s="258"/>
      <c r="Q219" s="276"/>
      <c r="R219" s="272"/>
      <c r="S219" s="272"/>
      <c r="T219" s="272"/>
      <c r="U219" s="272"/>
      <c r="V219" s="272"/>
      <c r="W219" s="272"/>
      <c r="X219" s="272"/>
      <c r="Y219" s="272"/>
      <c r="Z219" s="258"/>
      <c r="AA219" s="258"/>
      <c r="AB219" s="258"/>
      <c r="AC219" s="258"/>
      <c r="AD219" s="258"/>
      <c r="AE219" s="258"/>
      <c r="AF219" s="258"/>
      <c r="AG219" s="258"/>
      <c r="AH219" s="270"/>
      <c r="AI219" s="270"/>
      <c r="AQ219" s="259"/>
      <c r="AR219" s="259"/>
      <c r="AS219" s="259"/>
      <c r="AT219" s="259"/>
      <c r="AU219" s="259"/>
      <c r="AV219" s="259"/>
      <c r="AW219" s="259"/>
    </row>
    <row r="220" spans="2:49" ht="15" customHeight="1" x14ac:dyDescent="0.25">
      <c r="B220" s="260"/>
      <c r="D220" s="262"/>
      <c r="G220" s="289"/>
      <c r="H220" s="265"/>
      <c r="I220" s="266"/>
      <c r="K220" s="268"/>
      <c r="L220" s="278"/>
      <c r="M220" s="274"/>
      <c r="N220" s="258"/>
      <c r="O220" s="258"/>
      <c r="P220" s="258"/>
      <c r="Q220" s="276"/>
      <c r="R220" s="272"/>
      <c r="S220" s="272"/>
      <c r="T220" s="272"/>
      <c r="U220" s="272"/>
      <c r="V220" s="272"/>
      <c r="W220" s="272"/>
      <c r="X220" s="272"/>
      <c r="Y220" s="272"/>
      <c r="Z220" s="258"/>
      <c r="AA220" s="258"/>
      <c r="AB220" s="258"/>
      <c r="AC220" s="258"/>
      <c r="AD220" s="258"/>
      <c r="AE220" s="258"/>
      <c r="AF220" s="258"/>
      <c r="AG220" s="258"/>
      <c r="AH220" s="270"/>
      <c r="AI220" s="270"/>
      <c r="AQ220" s="259"/>
      <c r="AR220" s="259"/>
      <c r="AS220" s="259"/>
      <c r="AT220" s="259"/>
      <c r="AU220" s="259"/>
      <c r="AV220" s="259"/>
      <c r="AW220" s="259"/>
    </row>
    <row r="221" spans="2:49" ht="15" customHeight="1" x14ac:dyDescent="0.25">
      <c r="B221" s="260"/>
      <c r="D221" s="262"/>
      <c r="G221" s="288"/>
      <c r="H221" s="265"/>
      <c r="I221" s="266"/>
      <c r="K221" s="268"/>
      <c r="L221" s="278"/>
      <c r="M221" s="274"/>
      <c r="N221" s="258"/>
      <c r="O221" s="258"/>
      <c r="P221" s="258"/>
      <c r="Q221" s="276"/>
      <c r="R221" s="272"/>
      <c r="S221" s="272"/>
      <c r="T221" s="272"/>
      <c r="U221" s="272"/>
      <c r="V221" s="272"/>
      <c r="W221" s="272"/>
      <c r="X221" s="272"/>
      <c r="Y221" s="272"/>
      <c r="Z221" s="258"/>
      <c r="AA221" s="258"/>
      <c r="AB221" s="258"/>
      <c r="AC221" s="258"/>
      <c r="AD221" s="258"/>
      <c r="AE221" s="258"/>
      <c r="AF221" s="258"/>
      <c r="AG221" s="258"/>
      <c r="AH221" s="258"/>
      <c r="AQ221" s="259"/>
      <c r="AR221" s="259"/>
      <c r="AS221" s="259"/>
      <c r="AT221" s="259"/>
      <c r="AU221" s="259"/>
      <c r="AV221" s="259"/>
      <c r="AW221" s="259"/>
    </row>
    <row r="222" spans="2:49" ht="15" customHeight="1" x14ac:dyDescent="0.25">
      <c r="B222" s="260"/>
      <c r="D222" s="262"/>
      <c r="G222" s="288"/>
      <c r="H222" s="265"/>
      <c r="I222" s="266"/>
      <c r="K222" s="268"/>
      <c r="L222" s="278"/>
      <c r="M222" s="274"/>
      <c r="N222" s="258"/>
      <c r="O222" s="258"/>
      <c r="P222" s="258"/>
      <c r="Q222" s="276"/>
      <c r="R222" s="272"/>
      <c r="S222" s="272"/>
      <c r="T222" s="272"/>
      <c r="U222" s="272"/>
      <c r="V222" s="272"/>
      <c r="W222" s="272"/>
      <c r="X222" s="272"/>
      <c r="Y222" s="272"/>
      <c r="Z222" s="258"/>
      <c r="AA222" s="258"/>
      <c r="AB222" s="258"/>
      <c r="AC222" s="258"/>
      <c r="AD222" s="258"/>
      <c r="AE222" s="258"/>
      <c r="AF222" s="258"/>
      <c r="AG222" s="258"/>
      <c r="AH222" s="258"/>
      <c r="AQ222" s="259"/>
      <c r="AR222" s="259"/>
      <c r="AS222" s="259"/>
      <c r="AT222" s="259"/>
      <c r="AU222" s="259"/>
      <c r="AV222" s="259"/>
      <c r="AW222" s="259"/>
    </row>
    <row r="223" spans="2:49" ht="15" customHeight="1" x14ac:dyDescent="0.25">
      <c r="B223" s="260"/>
      <c r="D223" s="262"/>
      <c r="E223" s="291"/>
      <c r="F223" s="293"/>
      <c r="G223" s="288"/>
      <c r="H223" s="265"/>
      <c r="I223" s="266"/>
      <c r="K223" s="268"/>
      <c r="L223" s="278"/>
      <c r="M223" s="274"/>
      <c r="N223" s="258"/>
      <c r="O223" s="258"/>
      <c r="P223" s="258"/>
      <c r="Q223" s="276"/>
      <c r="R223" s="272"/>
      <c r="S223" s="272"/>
      <c r="T223" s="272"/>
      <c r="U223" s="272"/>
      <c r="V223" s="272"/>
      <c r="W223" s="272"/>
      <c r="X223" s="272"/>
      <c r="Y223" s="272"/>
      <c r="Z223" s="258"/>
      <c r="AA223" s="258"/>
      <c r="AB223" s="258"/>
      <c r="AC223" s="258"/>
      <c r="AD223" s="258"/>
      <c r="AE223" s="258"/>
      <c r="AF223" s="258"/>
      <c r="AG223" s="258"/>
      <c r="AH223" s="258"/>
      <c r="AQ223" s="259"/>
      <c r="AR223" s="259"/>
      <c r="AS223" s="259"/>
      <c r="AT223" s="259"/>
      <c r="AU223" s="259"/>
      <c r="AV223" s="259"/>
      <c r="AW223" s="259"/>
    </row>
    <row r="224" spans="2:49" ht="15" customHeight="1" x14ac:dyDescent="0.25">
      <c r="B224" s="260"/>
      <c r="C224" s="290"/>
      <c r="D224" s="262"/>
      <c r="E224" s="291"/>
      <c r="F224" s="262"/>
      <c r="G224" s="289"/>
      <c r="H224" s="243"/>
      <c r="I224" s="266"/>
      <c r="K224" s="268"/>
      <c r="L224" s="278"/>
      <c r="M224" s="274"/>
      <c r="N224" s="258"/>
      <c r="O224" s="258"/>
      <c r="P224" s="258"/>
      <c r="Q224" s="276"/>
      <c r="R224" s="272"/>
      <c r="S224" s="272"/>
      <c r="T224" s="272"/>
      <c r="U224" s="272"/>
      <c r="V224" s="272"/>
      <c r="W224" s="272"/>
      <c r="X224" s="272"/>
      <c r="Y224" s="272"/>
      <c r="Z224" s="258"/>
      <c r="AA224" s="258"/>
      <c r="AB224" s="258"/>
      <c r="AC224" s="258"/>
      <c r="AD224" s="258"/>
      <c r="AE224" s="258"/>
      <c r="AF224" s="258"/>
      <c r="AG224" s="258"/>
      <c r="AH224" s="258"/>
      <c r="AQ224" s="259"/>
      <c r="AR224" s="259"/>
      <c r="AS224" s="259"/>
      <c r="AT224" s="259"/>
      <c r="AU224" s="259"/>
      <c r="AV224" s="259"/>
      <c r="AW224" s="259"/>
    </row>
    <row r="225" spans="2:49" ht="15" customHeight="1" x14ac:dyDescent="0.25">
      <c r="B225" s="260"/>
      <c r="D225" s="262"/>
      <c r="G225" s="289"/>
      <c r="H225" s="265"/>
      <c r="I225" s="266"/>
      <c r="K225" s="268"/>
      <c r="L225" s="278"/>
      <c r="M225" s="274"/>
      <c r="N225" s="258"/>
      <c r="O225" s="258"/>
      <c r="P225" s="258"/>
      <c r="Q225" s="276"/>
      <c r="W225" s="272"/>
      <c r="X225" s="272"/>
      <c r="Y225" s="272"/>
      <c r="Z225" s="258"/>
      <c r="AA225" s="258"/>
      <c r="AB225" s="258"/>
      <c r="AC225" s="258"/>
      <c r="AD225" s="258"/>
      <c r="AE225" s="258"/>
      <c r="AF225" s="258"/>
      <c r="AG225" s="258"/>
      <c r="AH225" s="258"/>
      <c r="AQ225" s="259"/>
      <c r="AR225" s="259"/>
      <c r="AS225" s="259"/>
      <c r="AT225" s="259"/>
      <c r="AU225" s="259"/>
      <c r="AV225" s="259"/>
      <c r="AW225" s="259"/>
    </row>
    <row r="226" spans="2:49" ht="15" customHeight="1" x14ac:dyDescent="0.25">
      <c r="B226" s="260"/>
      <c r="D226" s="262"/>
      <c r="G226" s="289"/>
      <c r="H226" s="265"/>
      <c r="I226" s="266"/>
      <c r="K226" s="268"/>
      <c r="L226" s="278"/>
      <c r="M226" s="274"/>
      <c r="N226" s="258"/>
      <c r="O226" s="258"/>
      <c r="P226" s="258"/>
      <c r="Q226" s="276"/>
      <c r="W226" s="272"/>
      <c r="X226" s="272"/>
      <c r="Y226" s="272"/>
      <c r="Z226" s="258"/>
      <c r="AA226" s="258"/>
      <c r="AB226" s="258"/>
      <c r="AC226" s="258"/>
      <c r="AD226" s="258"/>
      <c r="AE226" s="258"/>
      <c r="AF226" s="258"/>
      <c r="AG226" s="258"/>
      <c r="AH226" s="258"/>
      <c r="AQ226" s="259"/>
      <c r="AR226" s="259"/>
      <c r="AS226" s="259"/>
      <c r="AT226" s="259"/>
      <c r="AU226" s="259"/>
      <c r="AV226" s="259"/>
      <c r="AW226" s="259"/>
    </row>
    <row r="227" spans="2:49" ht="15" customHeight="1" x14ac:dyDescent="0.25">
      <c r="B227" s="260"/>
      <c r="D227" s="262"/>
      <c r="G227" s="289"/>
      <c r="H227" s="265"/>
      <c r="I227" s="266"/>
      <c r="K227" s="268"/>
      <c r="L227" s="278"/>
      <c r="M227" s="274"/>
      <c r="N227" s="258"/>
      <c r="O227" s="258"/>
      <c r="P227" s="258"/>
      <c r="Q227" s="276"/>
      <c r="W227" s="272"/>
      <c r="X227" s="272"/>
      <c r="Y227" s="272"/>
      <c r="Z227" s="258"/>
      <c r="AA227" s="258"/>
      <c r="AB227" s="258"/>
      <c r="AC227" s="258"/>
      <c r="AD227" s="258"/>
      <c r="AE227" s="258"/>
      <c r="AF227" s="258"/>
      <c r="AG227" s="258"/>
      <c r="AH227" s="258"/>
      <c r="AQ227" s="259"/>
      <c r="AR227" s="259"/>
      <c r="AS227" s="259"/>
      <c r="AT227" s="259"/>
      <c r="AU227" s="259"/>
      <c r="AV227" s="259"/>
      <c r="AW227" s="259"/>
    </row>
    <row r="228" spans="2:49" ht="15" customHeight="1" x14ac:dyDescent="0.25">
      <c r="B228" s="260"/>
      <c r="D228" s="262"/>
      <c r="G228" s="289"/>
      <c r="H228" s="265"/>
      <c r="I228" s="266"/>
      <c r="K228" s="268"/>
      <c r="L228" s="273"/>
      <c r="M228" s="274"/>
      <c r="N228" s="270"/>
      <c r="O228" s="270"/>
      <c r="P228" s="270"/>
      <c r="Q228" s="275"/>
      <c r="R228" s="272"/>
      <c r="S228" s="272"/>
      <c r="T228" s="272"/>
      <c r="U228" s="272"/>
      <c r="V228" s="272"/>
      <c r="W228" s="272"/>
      <c r="X228" s="272"/>
      <c r="Y228" s="272"/>
      <c r="Z228" s="258"/>
      <c r="AA228" s="258"/>
      <c r="AB228" s="258"/>
      <c r="AC228" s="258"/>
      <c r="AD228" s="258"/>
      <c r="AE228" s="258"/>
      <c r="AF228" s="258"/>
      <c r="AG228" s="258"/>
      <c r="AH228" s="258"/>
      <c r="AI228" s="258"/>
      <c r="AQ228" s="259"/>
      <c r="AR228" s="259"/>
      <c r="AS228" s="259"/>
      <c r="AT228" s="259"/>
      <c r="AU228" s="259"/>
      <c r="AV228" s="259"/>
      <c r="AW228" s="259"/>
    </row>
    <row r="229" spans="2:49" ht="15" customHeight="1" x14ac:dyDescent="0.25">
      <c r="B229" s="260"/>
      <c r="D229" s="262"/>
      <c r="G229" s="289"/>
      <c r="H229" s="265"/>
      <c r="I229" s="266"/>
      <c r="K229" s="268"/>
      <c r="L229" s="273"/>
      <c r="M229" s="274"/>
      <c r="N229" s="258"/>
      <c r="O229" s="258"/>
      <c r="P229" s="258"/>
      <c r="Q229" s="276"/>
      <c r="R229" s="272"/>
      <c r="S229" s="272"/>
      <c r="T229" s="272"/>
      <c r="U229" s="272"/>
      <c r="V229" s="272"/>
      <c r="W229" s="272"/>
      <c r="X229" s="272"/>
      <c r="Y229" s="272"/>
      <c r="Z229" s="258"/>
      <c r="AA229" s="258"/>
      <c r="AB229" s="258"/>
      <c r="AC229" s="258"/>
      <c r="AD229" s="258"/>
      <c r="AE229" s="258"/>
      <c r="AF229" s="258"/>
      <c r="AG229" s="258"/>
      <c r="AH229" s="258"/>
      <c r="AI229" s="258"/>
      <c r="AQ229" s="259"/>
      <c r="AR229" s="259"/>
      <c r="AS229" s="259"/>
      <c r="AT229" s="259"/>
      <c r="AU229" s="259"/>
      <c r="AV229" s="259"/>
      <c r="AW229" s="259"/>
    </row>
    <row r="230" spans="2:49" ht="15" customHeight="1" x14ac:dyDescent="0.25">
      <c r="B230" s="260"/>
      <c r="D230" s="262"/>
      <c r="G230" s="264"/>
      <c r="H230" s="265"/>
      <c r="I230" s="266"/>
      <c r="K230" s="268"/>
      <c r="L230" s="273"/>
      <c r="M230" s="274"/>
      <c r="N230" s="258"/>
      <c r="O230" s="258"/>
      <c r="P230" s="258"/>
      <c r="Q230" s="276"/>
      <c r="R230" s="272"/>
      <c r="S230" s="272"/>
      <c r="T230" s="272"/>
      <c r="U230" s="272"/>
      <c r="V230" s="272"/>
      <c r="W230" s="272"/>
      <c r="X230" s="272"/>
      <c r="Y230" s="272"/>
      <c r="Z230" s="258"/>
      <c r="AA230" s="258"/>
      <c r="AB230" s="258"/>
      <c r="AC230" s="258"/>
      <c r="AD230" s="258"/>
      <c r="AE230" s="258"/>
      <c r="AF230" s="258"/>
      <c r="AG230" s="258"/>
      <c r="AH230" s="270"/>
      <c r="AI230" s="270"/>
      <c r="AQ230" s="259"/>
      <c r="AR230" s="259"/>
      <c r="AS230" s="259"/>
      <c r="AT230" s="259"/>
      <c r="AU230" s="259"/>
      <c r="AV230" s="259"/>
      <c r="AW230" s="259"/>
    </row>
    <row r="231" spans="2:49" ht="15" customHeight="1" x14ac:dyDescent="0.25">
      <c r="B231" s="260"/>
      <c r="D231" s="262"/>
      <c r="G231" s="289"/>
      <c r="H231" s="265"/>
      <c r="I231" s="266"/>
      <c r="K231" s="268"/>
      <c r="L231" s="273"/>
      <c r="M231" s="277"/>
      <c r="N231" s="258"/>
      <c r="O231" s="258"/>
      <c r="P231" s="258"/>
      <c r="Q231" s="276"/>
      <c r="R231" s="272"/>
      <c r="S231" s="272"/>
      <c r="T231" s="272"/>
      <c r="U231" s="272"/>
      <c r="V231" s="272"/>
      <c r="W231" s="272"/>
      <c r="X231" s="272"/>
      <c r="Y231" s="272"/>
      <c r="Z231" s="258"/>
      <c r="AA231" s="258"/>
      <c r="AB231" s="258"/>
      <c r="AC231" s="258"/>
      <c r="AD231" s="258"/>
      <c r="AE231" s="258"/>
      <c r="AF231" s="258"/>
      <c r="AG231" s="258"/>
      <c r="AH231" s="270"/>
      <c r="AI231" s="270"/>
      <c r="AQ231" s="259"/>
      <c r="AR231" s="259"/>
      <c r="AS231" s="259"/>
      <c r="AT231" s="259"/>
      <c r="AU231" s="259"/>
      <c r="AV231" s="259"/>
      <c r="AW231" s="259"/>
    </row>
    <row r="232" spans="2:49" ht="15" customHeight="1" x14ac:dyDescent="0.25">
      <c r="B232" s="260"/>
      <c r="D232" s="262"/>
      <c r="G232" s="289"/>
      <c r="H232" s="265"/>
      <c r="I232" s="266"/>
      <c r="K232" s="268"/>
      <c r="L232" s="278"/>
      <c r="M232" s="274"/>
      <c r="N232" s="258"/>
      <c r="O232" s="258"/>
      <c r="P232" s="258"/>
      <c r="Q232" s="276"/>
      <c r="R232" s="272"/>
      <c r="S232" s="272"/>
      <c r="T232" s="272"/>
      <c r="U232" s="272"/>
      <c r="V232" s="272"/>
      <c r="W232" s="272"/>
      <c r="X232" s="272"/>
      <c r="Y232" s="272"/>
      <c r="Z232" s="258"/>
      <c r="AA232" s="258"/>
      <c r="AB232" s="258"/>
      <c r="AC232" s="258"/>
      <c r="AD232" s="258"/>
      <c r="AE232" s="258"/>
      <c r="AF232" s="258"/>
      <c r="AG232" s="258"/>
      <c r="AH232" s="270"/>
      <c r="AI232" s="270"/>
      <c r="AQ232" s="259"/>
      <c r="AR232" s="259"/>
      <c r="AS232" s="259"/>
      <c r="AT232" s="259"/>
      <c r="AU232" s="259"/>
      <c r="AV232" s="259"/>
      <c r="AW232" s="259"/>
    </row>
    <row r="233" spans="2:49" ht="15" customHeight="1" x14ac:dyDescent="0.25">
      <c r="B233" s="260"/>
      <c r="D233" s="262"/>
      <c r="G233" s="289"/>
      <c r="H233" s="265"/>
      <c r="I233" s="266"/>
      <c r="K233" s="268"/>
      <c r="L233" s="278"/>
      <c r="M233" s="274"/>
      <c r="N233" s="258"/>
      <c r="O233" s="258"/>
      <c r="P233" s="258"/>
      <c r="Q233" s="276"/>
      <c r="R233" s="272"/>
      <c r="S233" s="272"/>
      <c r="T233" s="272"/>
      <c r="U233" s="272"/>
      <c r="V233" s="272"/>
      <c r="W233" s="272"/>
      <c r="X233" s="272"/>
      <c r="Y233" s="272"/>
      <c r="Z233" s="258"/>
      <c r="AA233" s="258"/>
      <c r="AB233" s="258"/>
      <c r="AC233" s="258"/>
      <c r="AD233" s="258"/>
      <c r="AE233" s="258"/>
      <c r="AF233" s="258"/>
      <c r="AG233" s="258"/>
      <c r="AH233" s="258"/>
      <c r="AQ233" s="259"/>
      <c r="AR233" s="259"/>
      <c r="AS233" s="259"/>
      <c r="AT233" s="259"/>
      <c r="AU233" s="259"/>
      <c r="AV233" s="259"/>
      <c r="AW233" s="259"/>
    </row>
    <row r="234" spans="2:49" ht="15" customHeight="1" x14ac:dyDescent="0.25">
      <c r="B234" s="260"/>
      <c r="D234" s="262"/>
      <c r="G234" s="289"/>
      <c r="H234" s="265"/>
      <c r="I234" s="266"/>
      <c r="K234" s="268"/>
      <c r="L234" s="278"/>
      <c r="M234" s="274"/>
      <c r="N234" s="258"/>
      <c r="O234" s="258"/>
      <c r="P234" s="258"/>
      <c r="Q234" s="276"/>
      <c r="R234" s="272"/>
      <c r="S234" s="272"/>
      <c r="T234" s="272"/>
      <c r="U234" s="272"/>
      <c r="V234" s="272"/>
      <c r="W234" s="272"/>
      <c r="X234" s="272"/>
      <c r="Y234" s="272"/>
      <c r="Z234" s="258"/>
      <c r="AA234" s="258"/>
      <c r="AB234" s="258"/>
      <c r="AC234" s="258"/>
      <c r="AD234" s="258"/>
      <c r="AE234" s="258"/>
      <c r="AF234" s="258"/>
      <c r="AG234" s="258"/>
      <c r="AH234" s="258"/>
      <c r="AQ234" s="259"/>
      <c r="AR234" s="259"/>
      <c r="AS234" s="259"/>
      <c r="AT234" s="259"/>
      <c r="AU234" s="259"/>
      <c r="AV234" s="259"/>
      <c r="AW234" s="259"/>
    </row>
    <row r="235" spans="2:49" ht="15" customHeight="1" x14ac:dyDescent="0.25">
      <c r="B235" s="260"/>
      <c r="D235" s="262"/>
      <c r="G235" s="288"/>
      <c r="H235" s="265"/>
      <c r="I235" s="266"/>
      <c r="K235" s="268"/>
      <c r="L235" s="278"/>
      <c r="M235" s="274"/>
      <c r="N235" s="258"/>
      <c r="O235" s="258"/>
      <c r="P235" s="258"/>
      <c r="Q235" s="276"/>
      <c r="R235" s="272"/>
      <c r="S235" s="272"/>
      <c r="T235" s="272"/>
      <c r="U235" s="272"/>
      <c r="V235" s="272"/>
      <c r="W235" s="272"/>
      <c r="X235" s="272"/>
      <c r="Y235" s="272"/>
      <c r="Z235" s="258"/>
      <c r="AA235" s="258"/>
      <c r="AB235" s="258"/>
      <c r="AC235" s="258"/>
      <c r="AD235" s="258"/>
      <c r="AE235" s="258"/>
      <c r="AF235" s="258"/>
      <c r="AG235" s="258"/>
      <c r="AH235" s="258"/>
      <c r="AQ235" s="259"/>
      <c r="AR235" s="259"/>
      <c r="AS235" s="259"/>
      <c r="AT235" s="259"/>
      <c r="AU235" s="259"/>
      <c r="AV235" s="259"/>
      <c r="AW235" s="259"/>
    </row>
    <row r="236" spans="2:49" ht="15" customHeight="1" x14ac:dyDescent="0.25">
      <c r="B236" s="260"/>
      <c r="D236" s="262"/>
      <c r="G236" s="288"/>
      <c r="H236" s="265"/>
      <c r="I236" s="266"/>
      <c r="K236" s="268"/>
      <c r="L236" s="278"/>
      <c r="M236" s="274"/>
      <c r="N236" s="258"/>
      <c r="O236" s="258"/>
      <c r="P236" s="258"/>
      <c r="Q236" s="276"/>
      <c r="R236" s="272"/>
      <c r="S236" s="272"/>
      <c r="T236" s="272"/>
      <c r="U236" s="272"/>
      <c r="V236" s="272"/>
      <c r="W236" s="272"/>
      <c r="X236" s="272"/>
      <c r="Y236" s="272"/>
      <c r="Z236" s="258"/>
      <c r="AA236" s="258"/>
      <c r="AB236" s="258"/>
      <c r="AC236" s="258"/>
      <c r="AD236" s="258"/>
      <c r="AE236" s="258"/>
      <c r="AF236" s="258"/>
      <c r="AG236" s="258"/>
      <c r="AH236" s="258"/>
      <c r="AQ236" s="259"/>
      <c r="AR236" s="259"/>
      <c r="AS236" s="259"/>
      <c r="AT236" s="259"/>
      <c r="AU236" s="259"/>
      <c r="AV236" s="259"/>
      <c r="AW236" s="259"/>
    </row>
    <row r="237" spans="2:49" ht="15" customHeight="1" x14ac:dyDescent="0.25">
      <c r="B237" s="260"/>
      <c r="D237" s="262"/>
      <c r="G237" s="264"/>
      <c r="H237" s="265"/>
      <c r="I237" s="266"/>
      <c r="K237" s="268"/>
      <c r="L237" s="278"/>
      <c r="M237" s="274"/>
      <c r="N237" s="258"/>
      <c r="O237" s="258"/>
      <c r="P237" s="258"/>
      <c r="Q237" s="276"/>
      <c r="W237" s="272"/>
      <c r="X237" s="272"/>
      <c r="Y237" s="272"/>
      <c r="Z237" s="258"/>
      <c r="AA237" s="258"/>
      <c r="AB237" s="258"/>
      <c r="AC237" s="258"/>
      <c r="AD237" s="258"/>
      <c r="AE237" s="258"/>
      <c r="AF237" s="258"/>
      <c r="AG237" s="258"/>
      <c r="AH237" s="258"/>
      <c r="AQ237" s="259"/>
      <c r="AR237" s="259"/>
      <c r="AS237" s="259"/>
      <c r="AT237" s="259"/>
      <c r="AU237" s="259"/>
      <c r="AV237" s="259"/>
      <c r="AW237" s="259"/>
    </row>
    <row r="238" spans="2:49" ht="15" customHeight="1" x14ac:dyDescent="0.25">
      <c r="B238" s="260"/>
      <c r="D238" s="262"/>
      <c r="G238" s="288"/>
      <c r="H238" s="265"/>
      <c r="I238" s="266"/>
      <c r="K238" s="268"/>
      <c r="L238" s="278"/>
      <c r="M238" s="274"/>
      <c r="N238" s="258"/>
      <c r="O238" s="258"/>
      <c r="P238" s="258"/>
      <c r="Q238" s="276"/>
      <c r="W238" s="272"/>
      <c r="X238" s="272"/>
      <c r="Y238" s="272"/>
      <c r="Z238" s="258"/>
      <c r="AA238" s="258"/>
      <c r="AB238" s="258"/>
      <c r="AC238" s="258"/>
      <c r="AD238" s="258"/>
      <c r="AE238" s="258"/>
      <c r="AF238" s="258"/>
      <c r="AG238" s="258"/>
      <c r="AH238" s="258"/>
      <c r="AQ238" s="259"/>
      <c r="AR238" s="259"/>
      <c r="AS238" s="259"/>
      <c r="AT238" s="259"/>
      <c r="AU238" s="259"/>
      <c r="AV238" s="259"/>
      <c r="AW238" s="259"/>
    </row>
    <row r="239" spans="2:49" ht="15" customHeight="1" x14ac:dyDescent="0.25">
      <c r="B239" s="260"/>
      <c r="D239" s="262"/>
      <c r="G239" s="289"/>
      <c r="H239" s="265"/>
      <c r="I239" s="266"/>
      <c r="K239" s="268"/>
      <c r="L239" s="278"/>
      <c r="M239" s="274"/>
      <c r="N239" s="258"/>
      <c r="O239" s="258"/>
      <c r="P239" s="258"/>
      <c r="Q239" s="276"/>
      <c r="W239" s="272"/>
      <c r="X239" s="272"/>
      <c r="Y239" s="272"/>
      <c r="Z239" s="258"/>
      <c r="AA239" s="258"/>
      <c r="AB239" s="258"/>
      <c r="AC239" s="258"/>
      <c r="AD239" s="258"/>
      <c r="AE239" s="258"/>
      <c r="AF239" s="258"/>
      <c r="AG239" s="258"/>
      <c r="AH239" s="258"/>
      <c r="AQ239" s="259"/>
      <c r="AR239" s="259"/>
      <c r="AS239" s="259"/>
      <c r="AT239" s="259"/>
      <c r="AU239" s="259"/>
      <c r="AV239" s="259"/>
      <c r="AW239" s="259"/>
    </row>
    <row r="240" spans="2:49" ht="15" customHeight="1" x14ac:dyDescent="0.25">
      <c r="B240" s="260"/>
      <c r="D240" s="262"/>
      <c r="G240" s="288"/>
      <c r="H240" s="265"/>
      <c r="I240" s="266"/>
      <c r="K240" s="268"/>
      <c r="L240" s="273"/>
      <c r="M240" s="274"/>
      <c r="N240" s="270"/>
      <c r="O240" s="270"/>
      <c r="P240" s="270"/>
      <c r="Q240" s="275"/>
      <c r="R240" s="272"/>
      <c r="S240" s="272"/>
      <c r="T240" s="272"/>
      <c r="U240" s="272"/>
      <c r="V240" s="272"/>
      <c r="W240" s="272"/>
      <c r="X240" s="272"/>
      <c r="Y240" s="272"/>
      <c r="Z240" s="258"/>
      <c r="AA240" s="258"/>
      <c r="AB240" s="258"/>
      <c r="AC240" s="258"/>
      <c r="AD240" s="258"/>
      <c r="AE240" s="258"/>
      <c r="AF240" s="258"/>
      <c r="AG240" s="258"/>
      <c r="AH240" s="258"/>
      <c r="AI240" s="258"/>
      <c r="AQ240" s="259"/>
      <c r="AR240" s="259"/>
      <c r="AS240" s="259"/>
      <c r="AT240" s="259"/>
      <c r="AU240" s="259"/>
      <c r="AV240" s="259"/>
      <c r="AW240" s="259"/>
    </row>
    <row r="241" spans="2:49" ht="15" customHeight="1" x14ac:dyDescent="0.25">
      <c r="B241" s="260"/>
      <c r="D241" s="262"/>
      <c r="G241" s="289"/>
      <c r="H241" s="265"/>
      <c r="I241" s="266"/>
      <c r="K241" s="268"/>
      <c r="L241" s="273"/>
      <c r="M241" s="274"/>
      <c r="N241" s="258"/>
      <c r="O241" s="258"/>
      <c r="P241" s="258"/>
      <c r="Q241" s="276"/>
      <c r="R241" s="272"/>
      <c r="S241" s="272"/>
      <c r="T241" s="272"/>
      <c r="U241" s="272"/>
      <c r="V241" s="272"/>
      <c r="W241" s="272"/>
      <c r="X241" s="272"/>
      <c r="Y241" s="272"/>
      <c r="Z241" s="258"/>
      <c r="AA241" s="258"/>
      <c r="AB241" s="258"/>
      <c r="AC241" s="258"/>
      <c r="AD241" s="258"/>
      <c r="AE241" s="258"/>
      <c r="AF241" s="258"/>
      <c r="AG241" s="258"/>
      <c r="AH241" s="258"/>
      <c r="AI241" s="258"/>
      <c r="AQ241" s="259"/>
      <c r="AR241" s="259"/>
      <c r="AS241" s="259"/>
      <c r="AT241" s="259"/>
      <c r="AU241" s="259"/>
      <c r="AV241" s="259"/>
      <c r="AW241" s="259"/>
    </row>
    <row r="242" spans="2:49" ht="15" customHeight="1" x14ac:dyDescent="0.25">
      <c r="B242" s="260"/>
      <c r="D242" s="262"/>
      <c r="E242" s="291"/>
      <c r="F242" s="293"/>
      <c r="G242" s="288"/>
      <c r="H242" s="265"/>
      <c r="I242" s="266"/>
      <c r="K242" s="268"/>
      <c r="L242" s="273"/>
      <c r="M242" s="274"/>
      <c r="N242" s="258"/>
      <c r="O242" s="258"/>
      <c r="P242" s="258"/>
      <c r="Q242" s="276"/>
      <c r="R242" s="272"/>
      <c r="S242" s="272"/>
      <c r="T242" s="272"/>
      <c r="U242" s="272"/>
      <c r="V242" s="272"/>
      <c r="W242" s="272"/>
      <c r="X242" s="272"/>
      <c r="Y242" s="272"/>
      <c r="Z242" s="258"/>
      <c r="AA242" s="258"/>
      <c r="AB242" s="258"/>
      <c r="AC242" s="258"/>
      <c r="AD242" s="258"/>
      <c r="AE242" s="258"/>
      <c r="AF242" s="258"/>
      <c r="AG242" s="258"/>
      <c r="AH242" s="270"/>
      <c r="AI242" s="270"/>
      <c r="AQ242" s="259"/>
      <c r="AR242" s="259"/>
      <c r="AS242" s="259"/>
      <c r="AT242" s="259"/>
      <c r="AU242" s="259"/>
      <c r="AV242" s="259"/>
      <c r="AW242" s="259"/>
    </row>
    <row r="243" spans="2:49" ht="15" customHeight="1" x14ac:dyDescent="0.25">
      <c r="B243" s="260"/>
      <c r="D243" s="262"/>
      <c r="G243" s="289"/>
      <c r="H243" s="265"/>
      <c r="I243" s="266"/>
      <c r="K243" s="268"/>
      <c r="L243" s="273"/>
      <c r="M243" s="277"/>
      <c r="N243" s="258"/>
      <c r="O243" s="258"/>
      <c r="P243" s="258"/>
      <c r="Q243" s="276"/>
      <c r="R243" s="272"/>
      <c r="S243" s="272"/>
      <c r="T243" s="272"/>
      <c r="U243" s="272"/>
      <c r="V243" s="272"/>
      <c r="W243" s="272"/>
      <c r="X243" s="272"/>
      <c r="Y243" s="272"/>
      <c r="Z243" s="258"/>
      <c r="AA243" s="258"/>
      <c r="AB243" s="258"/>
      <c r="AC243" s="258"/>
      <c r="AD243" s="258"/>
      <c r="AE243" s="258"/>
      <c r="AF243" s="258"/>
      <c r="AG243" s="258"/>
      <c r="AH243" s="270"/>
      <c r="AI243" s="270"/>
      <c r="AQ243" s="259"/>
      <c r="AR243" s="259"/>
      <c r="AS243" s="259"/>
      <c r="AT243" s="259"/>
      <c r="AU243" s="259"/>
      <c r="AV243" s="259"/>
      <c r="AW243" s="259"/>
    </row>
    <row r="244" spans="2:49" ht="15" customHeight="1" x14ac:dyDescent="0.25">
      <c r="B244" s="260"/>
      <c r="D244" s="262"/>
      <c r="G244" s="264"/>
      <c r="H244" s="265"/>
      <c r="I244" s="266"/>
      <c r="K244" s="268"/>
      <c r="L244" s="278"/>
      <c r="M244" s="274"/>
      <c r="N244" s="258"/>
      <c r="O244" s="258"/>
      <c r="P244" s="258"/>
      <c r="Q244" s="276"/>
      <c r="R244" s="272"/>
      <c r="S244" s="272"/>
      <c r="T244" s="272"/>
      <c r="U244" s="272"/>
      <c r="V244" s="272"/>
      <c r="W244" s="272"/>
      <c r="X244" s="272"/>
      <c r="Y244" s="272"/>
      <c r="Z244" s="258"/>
      <c r="AA244" s="258"/>
      <c r="AB244" s="258"/>
      <c r="AC244" s="258"/>
      <c r="AD244" s="258"/>
      <c r="AE244" s="258"/>
      <c r="AF244" s="258"/>
      <c r="AG244" s="258"/>
      <c r="AH244" s="270"/>
      <c r="AI244" s="270"/>
      <c r="AQ244" s="259"/>
      <c r="AR244" s="259"/>
      <c r="AS244" s="259"/>
      <c r="AT244" s="259"/>
      <c r="AU244" s="259"/>
      <c r="AV244" s="259"/>
      <c r="AW244" s="259"/>
    </row>
    <row r="245" spans="2:49" ht="15" customHeight="1" x14ac:dyDescent="0.25">
      <c r="B245" s="260"/>
      <c r="D245" s="262"/>
      <c r="G245" s="289"/>
      <c r="H245" s="265"/>
      <c r="I245" s="266"/>
      <c r="K245" s="268"/>
      <c r="L245" s="278"/>
      <c r="M245" s="274"/>
      <c r="N245" s="258"/>
      <c r="O245" s="258"/>
      <c r="P245" s="258"/>
      <c r="Q245" s="276"/>
      <c r="R245" s="272"/>
      <c r="S245" s="272"/>
      <c r="T245" s="272"/>
      <c r="U245" s="272"/>
      <c r="V245" s="272"/>
      <c r="W245" s="272"/>
      <c r="X245" s="272"/>
      <c r="Y245" s="272"/>
      <c r="Z245" s="258"/>
      <c r="AA245" s="258"/>
      <c r="AB245" s="258"/>
      <c r="AC245" s="258"/>
      <c r="AD245" s="258"/>
      <c r="AE245" s="258"/>
      <c r="AF245" s="258"/>
      <c r="AG245" s="258"/>
      <c r="AH245" s="258"/>
      <c r="AQ245" s="259"/>
      <c r="AR245" s="259"/>
      <c r="AS245" s="259"/>
      <c r="AT245" s="259"/>
      <c r="AU245" s="259"/>
      <c r="AV245" s="259"/>
      <c r="AW245" s="259"/>
    </row>
    <row r="246" spans="2:49" ht="15" customHeight="1" x14ac:dyDescent="0.25">
      <c r="B246" s="260"/>
      <c r="D246" s="262"/>
      <c r="G246" s="288"/>
      <c r="H246" s="265"/>
      <c r="I246" s="266"/>
      <c r="K246" s="268"/>
      <c r="L246" s="278"/>
      <c r="M246" s="274"/>
      <c r="N246" s="258"/>
      <c r="O246" s="258"/>
      <c r="P246" s="258"/>
      <c r="Q246" s="276"/>
      <c r="R246" s="272"/>
      <c r="S246" s="272"/>
      <c r="T246" s="272"/>
      <c r="U246" s="272"/>
      <c r="V246" s="272"/>
      <c r="W246" s="272"/>
      <c r="X246" s="272"/>
      <c r="Y246" s="272"/>
      <c r="Z246" s="258"/>
      <c r="AA246" s="258"/>
      <c r="AB246" s="258"/>
      <c r="AC246" s="258"/>
      <c r="AD246" s="258"/>
      <c r="AE246" s="258"/>
      <c r="AF246" s="258"/>
      <c r="AG246" s="258"/>
      <c r="AH246" s="258"/>
      <c r="AQ246" s="259"/>
      <c r="AR246" s="259"/>
      <c r="AS246" s="259"/>
      <c r="AT246" s="259"/>
      <c r="AU246" s="259"/>
      <c r="AV246" s="259"/>
      <c r="AW246" s="259"/>
    </row>
    <row r="247" spans="2:49" ht="15" customHeight="1" x14ac:dyDescent="0.25">
      <c r="B247" s="260"/>
      <c r="D247" s="262"/>
      <c r="G247" s="289"/>
      <c r="H247" s="265"/>
      <c r="I247" s="266"/>
      <c r="K247" s="268"/>
      <c r="L247" s="278"/>
      <c r="M247" s="274"/>
      <c r="N247" s="258"/>
      <c r="O247" s="258"/>
      <c r="P247" s="258"/>
      <c r="Q247" s="276"/>
      <c r="R247" s="272"/>
      <c r="S247" s="272"/>
      <c r="T247" s="272"/>
      <c r="U247" s="272"/>
      <c r="V247" s="272"/>
      <c r="W247" s="272"/>
      <c r="X247" s="272"/>
      <c r="Y247" s="272"/>
      <c r="Z247" s="258"/>
      <c r="AA247" s="258"/>
      <c r="AB247" s="258"/>
      <c r="AC247" s="258"/>
      <c r="AD247" s="258"/>
      <c r="AE247" s="258"/>
      <c r="AF247" s="258"/>
      <c r="AG247" s="258"/>
      <c r="AH247" s="258"/>
      <c r="AQ247" s="259"/>
      <c r="AR247" s="259"/>
      <c r="AS247" s="259"/>
      <c r="AT247" s="259"/>
      <c r="AU247" s="259"/>
      <c r="AV247" s="259"/>
      <c r="AW247" s="259"/>
    </row>
    <row r="248" spans="2:49" ht="15" customHeight="1" x14ac:dyDescent="0.25">
      <c r="B248" s="260"/>
      <c r="D248" s="262"/>
      <c r="G248" s="289"/>
      <c r="H248" s="265"/>
      <c r="I248" s="266"/>
      <c r="K248" s="268"/>
      <c r="L248" s="278"/>
      <c r="M248" s="274"/>
      <c r="N248" s="258"/>
      <c r="O248" s="258"/>
      <c r="P248" s="258"/>
      <c r="Q248" s="276"/>
      <c r="R248" s="272"/>
      <c r="S248" s="272"/>
      <c r="T248" s="272"/>
      <c r="U248" s="272"/>
      <c r="V248" s="272"/>
      <c r="W248" s="272"/>
      <c r="X248" s="272"/>
      <c r="Y248" s="272"/>
      <c r="Z248" s="258"/>
      <c r="AA248" s="258"/>
      <c r="AB248" s="258"/>
      <c r="AC248" s="258"/>
      <c r="AD248" s="258"/>
      <c r="AE248" s="258"/>
      <c r="AF248" s="258"/>
      <c r="AG248" s="258"/>
      <c r="AH248" s="258"/>
      <c r="AQ248" s="259"/>
      <c r="AR248" s="259"/>
      <c r="AS248" s="259"/>
      <c r="AT248" s="259"/>
      <c r="AU248" s="259"/>
      <c r="AV248" s="259"/>
      <c r="AW248" s="259"/>
    </row>
    <row r="249" spans="2:49" ht="15" customHeight="1" x14ac:dyDescent="0.25">
      <c r="B249" s="260"/>
      <c r="D249" s="262"/>
      <c r="G249" s="289"/>
      <c r="H249" s="265"/>
      <c r="I249" s="266"/>
      <c r="K249" s="268"/>
      <c r="L249" s="278"/>
      <c r="M249" s="274"/>
      <c r="N249" s="258"/>
      <c r="O249" s="258"/>
      <c r="P249" s="258"/>
      <c r="Q249" s="276"/>
      <c r="W249" s="272"/>
      <c r="X249" s="272"/>
      <c r="Y249" s="272"/>
      <c r="Z249" s="258"/>
      <c r="AA249" s="258"/>
      <c r="AB249" s="258"/>
      <c r="AC249" s="258"/>
      <c r="AD249" s="258"/>
      <c r="AE249" s="258"/>
      <c r="AF249" s="258"/>
      <c r="AG249" s="258"/>
      <c r="AH249" s="258"/>
      <c r="AQ249" s="259"/>
      <c r="AR249" s="259"/>
      <c r="AS249" s="259"/>
      <c r="AT249" s="259"/>
      <c r="AU249" s="259"/>
      <c r="AV249" s="259"/>
      <c r="AW249" s="259"/>
    </row>
    <row r="250" spans="2:49" ht="15" customHeight="1" x14ac:dyDescent="0.25">
      <c r="B250" s="260"/>
      <c r="D250" s="262"/>
      <c r="G250" s="288"/>
      <c r="H250" s="265"/>
      <c r="I250" s="266"/>
      <c r="K250" s="268"/>
      <c r="L250" s="278"/>
      <c r="M250" s="274"/>
      <c r="N250" s="258"/>
      <c r="O250" s="258"/>
      <c r="P250" s="258"/>
      <c r="Q250" s="276"/>
      <c r="W250" s="272"/>
      <c r="X250" s="272"/>
      <c r="Y250" s="272"/>
      <c r="Z250" s="258"/>
      <c r="AA250" s="258"/>
      <c r="AB250" s="258"/>
      <c r="AC250" s="258"/>
      <c r="AD250" s="258"/>
      <c r="AE250" s="258"/>
      <c r="AF250" s="258"/>
      <c r="AG250" s="258"/>
      <c r="AH250" s="258"/>
      <c r="AQ250" s="259"/>
      <c r="AR250" s="259"/>
      <c r="AS250" s="259"/>
      <c r="AT250" s="259"/>
      <c r="AU250" s="259"/>
      <c r="AV250" s="259"/>
      <c r="AW250" s="259"/>
    </row>
    <row r="251" spans="2:49" ht="15" customHeight="1" x14ac:dyDescent="0.25">
      <c r="B251" s="260"/>
      <c r="D251" s="262"/>
      <c r="E251" s="291"/>
      <c r="F251" s="293"/>
      <c r="G251" s="288"/>
      <c r="H251" s="265"/>
      <c r="I251" s="266"/>
      <c r="K251" s="268"/>
      <c r="L251" s="278"/>
      <c r="M251" s="274"/>
      <c r="N251" s="258"/>
      <c r="O251" s="258"/>
      <c r="P251" s="258"/>
      <c r="Q251" s="276"/>
      <c r="W251" s="272"/>
      <c r="X251" s="272"/>
      <c r="Y251" s="272"/>
      <c r="Z251" s="258"/>
      <c r="AA251" s="258"/>
      <c r="AB251" s="258"/>
      <c r="AC251" s="258"/>
      <c r="AD251" s="258"/>
      <c r="AE251" s="258"/>
      <c r="AF251" s="258"/>
      <c r="AG251" s="258"/>
      <c r="AH251" s="258"/>
      <c r="AQ251" s="259"/>
      <c r="AR251" s="259"/>
      <c r="AS251" s="259"/>
      <c r="AT251" s="259"/>
      <c r="AU251" s="259"/>
      <c r="AV251" s="259"/>
      <c r="AW251" s="259"/>
    </row>
    <row r="252" spans="2:49" ht="15" customHeight="1" x14ac:dyDescent="0.25">
      <c r="B252" s="260"/>
      <c r="D252" s="262"/>
      <c r="G252" s="288"/>
      <c r="H252" s="265"/>
      <c r="I252" s="266"/>
      <c r="K252" s="268"/>
      <c r="L252" s="273"/>
      <c r="M252" s="274"/>
      <c r="N252" s="270"/>
      <c r="O252" s="270"/>
      <c r="P252" s="270"/>
      <c r="Q252" s="275"/>
      <c r="R252" s="272"/>
      <c r="S252" s="272"/>
      <c r="T252" s="272"/>
      <c r="U252" s="272"/>
      <c r="V252" s="272"/>
      <c r="W252" s="272"/>
      <c r="X252" s="272"/>
      <c r="Y252" s="272"/>
      <c r="Z252" s="258"/>
      <c r="AA252" s="258"/>
      <c r="AB252" s="258"/>
      <c r="AC252" s="258"/>
      <c r="AD252" s="258"/>
      <c r="AE252" s="258"/>
      <c r="AF252" s="258"/>
      <c r="AG252" s="258"/>
      <c r="AH252" s="258"/>
      <c r="AI252" s="258"/>
      <c r="AQ252" s="259"/>
      <c r="AR252" s="259"/>
      <c r="AS252" s="259"/>
      <c r="AT252" s="259"/>
      <c r="AU252" s="259"/>
      <c r="AV252" s="259"/>
      <c r="AW252" s="259"/>
    </row>
    <row r="253" spans="2:49" ht="15" customHeight="1" x14ac:dyDescent="0.25">
      <c r="B253" s="260"/>
      <c r="C253" s="290"/>
      <c r="D253" s="262"/>
      <c r="E253" s="291"/>
      <c r="F253" s="262"/>
      <c r="G253" s="289"/>
      <c r="H253" s="243"/>
      <c r="I253" s="266"/>
      <c r="K253" s="268"/>
      <c r="L253" s="273"/>
      <c r="M253" s="274"/>
      <c r="N253" s="258"/>
      <c r="O253" s="258"/>
      <c r="P253" s="258"/>
      <c r="Q253" s="276"/>
      <c r="R253" s="272"/>
      <c r="S253" s="272"/>
      <c r="T253" s="272"/>
      <c r="U253" s="272"/>
      <c r="V253" s="272"/>
      <c r="W253" s="272"/>
      <c r="X253" s="272"/>
      <c r="Y253" s="272"/>
      <c r="Z253" s="258"/>
      <c r="AA253" s="258"/>
      <c r="AB253" s="258"/>
      <c r="AC253" s="258"/>
      <c r="AD253" s="258"/>
      <c r="AE253" s="258"/>
      <c r="AF253" s="258"/>
      <c r="AG253" s="258"/>
      <c r="AH253" s="258"/>
      <c r="AI253" s="258"/>
      <c r="AQ253" s="259"/>
      <c r="AR253" s="259"/>
      <c r="AS253" s="259"/>
      <c r="AT253" s="259"/>
      <c r="AU253" s="259"/>
      <c r="AV253" s="259"/>
      <c r="AW253" s="259"/>
    </row>
    <row r="254" spans="2:49" ht="15" customHeight="1" x14ac:dyDescent="0.25">
      <c r="B254" s="260"/>
      <c r="D254" s="262"/>
      <c r="G254" s="289"/>
      <c r="H254" s="265"/>
      <c r="I254" s="266"/>
      <c r="K254" s="268"/>
      <c r="L254" s="273"/>
      <c r="M254" s="274"/>
      <c r="N254" s="258"/>
      <c r="O254" s="258"/>
      <c r="P254" s="258"/>
      <c r="Q254" s="276"/>
      <c r="R254" s="272"/>
      <c r="S254" s="272"/>
      <c r="T254" s="272"/>
      <c r="U254" s="272"/>
      <c r="V254" s="272"/>
      <c r="W254" s="272"/>
      <c r="X254" s="272"/>
      <c r="Y254" s="272"/>
      <c r="Z254" s="258"/>
      <c r="AA254" s="258"/>
      <c r="AB254" s="258"/>
      <c r="AC254" s="258"/>
      <c r="AD254" s="258"/>
      <c r="AE254" s="258"/>
      <c r="AF254" s="258"/>
      <c r="AG254" s="258"/>
      <c r="AH254" s="270"/>
      <c r="AI254" s="270"/>
      <c r="AQ254" s="259"/>
      <c r="AR254" s="259"/>
      <c r="AS254" s="259"/>
      <c r="AT254" s="259"/>
      <c r="AU254" s="259"/>
      <c r="AV254" s="259"/>
      <c r="AW254" s="259"/>
    </row>
    <row r="255" spans="2:49" ht="15" customHeight="1" x14ac:dyDescent="0.25">
      <c r="B255" s="260"/>
      <c r="D255" s="262"/>
      <c r="G255" s="289"/>
      <c r="H255" s="265"/>
      <c r="I255" s="266"/>
      <c r="K255" s="268"/>
      <c r="L255" s="273"/>
      <c r="M255" s="277"/>
      <c r="N255" s="258"/>
      <c r="O255" s="258"/>
      <c r="P255" s="258"/>
      <c r="Q255" s="276"/>
      <c r="R255" s="272"/>
      <c r="S255" s="272"/>
      <c r="T255" s="272"/>
      <c r="U255" s="272"/>
      <c r="V255" s="272"/>
      <c r="W255" s="272"/>
      <c r="X255" s="272"/>
      <c r="Y255" s="272"/>
      <c r="Z255" s="258"/>
      <c r="AA255" s="258"/>
      <c r="AB255" s="258"/>
      <c r="AC255" s="258"/>
      <c r="AD255" s="258"/>
      <c r="AE255" s="258"/>
      <c r="AF255" s="258"/>
      <c r="AG255" s="258"/>
      <c r="AH255" s="270"/>
      <c r="AI255" s="270"/>
      <c r="AQ255" s="259"/>
      <c r="AR255" s="259"/>
      <c r="AS255" s="259"/>
      <c r="AT255" s="259"/>
      <c r="AU255" s="259"/>
      <c r="AV255" s="259"/>
      <c r="AW255" s="259"/>
    </row>
    <row r="256" spans="2:49" ht="15" customHeight="1" x14ac:dyDescent="0.25">
      <c r="B256" s="260"/>
      <c r="D256" s="262"/>
      <c r="G256" s="289"/>
      <c r="H256" s="265"/>
      <c r="I256" s="266"/>
      <c r="K256" s="268"/>
      <c r="L256" s="278"/>
      <c r="M256" s="274"/>
      <c r="N256" s="258"/>
      <c r="O256" s="258"/>
      <c r="P256" s="258"/>
      <c r="Q256" s="276"/>
      <c r="R256" s="272"/>
      <c r="S256" s="272"/>
      <c r="T256" s="272"/>
      <c r="U256" s="272"/>
      <c r="V256" s="272"/>
      <c r="W256" s="272"/>
      <c r="X256" s="272"/>
      <c r="Y256" s="272"/>
      <c r="Z256" s="258"/>
      <c r="AA256" s="258"/>
      <c r="AB256" s="258"/>
      <c r="AC256" s="258"/>
      <c r="AD256" s="258"/>
      <c r="AE256" s="258"/>
      <c r="AF256" s="258"/>
      <c r="AG256" s="258"/>
      <c r="AH256" s="270"/>
      <c r="AI256" s="270"/>
      <c r="AQ256" s="259"/>
      <c r="AR256" s="259"/>
      <c r="AS256" s="259"/>
      <c r="AT256" s="259"/>
      <c r="AU256" s="259"/>
      <c r="AV256" s="259"/>
      <c r="AW256" s="259"/>
    </row>
    <row r="257" spans="2:49" ht="15" customHeight="1" x14ac:dyDescent="0.25">
      <c r="B257" s="260"/>
      <c r="D257" s="262"/>
      <c r="G257" s="289"/>
      <c r="H257" s="265"/>
      <c r="I257" s="266"/>
      <c r="K257" s="268"/>
      <c r="L257" s="278"/>
      <c r="M257" s="274"/>
      <c r="N257" s="258"/>
      <c r="O257" s="258"/>
      <c r="P257" s="258"/>
      <c r="Q257" s="276"/>
      <c r="R257" s="272"/>
      <c r="S257" s="272"/>
      <c r="T257" s="272"/>
      <c r="U257" s="272"/>
      <c r="V257" s="272"/>
      <c r="W257" s="272"/>
      <c r="X257" s="272"/>
      <c r="Y257" s="272"/>
      <c r="Z257" s="258"/>
      <c r="AA257" s="258"/>
      <c r="AB257" s="258"/>
      <c r="AC257" s="258"/>
      <c r="AD257" s="258"/>
      <c r="AE257" s="258"/>
      <c r="AF257" s="258"/>
      <c r="AG257" s="258"/>
      <c r="AH257" s="258"/>
      <c r="AQ257" s="259"/>
      <c r="AR257" s="259"/>
      <c r="AS257" s="259"/>
      <c r="AT257" s="259"/>
      <c r="AU257" s="259"/>
      <c r="AV257" s="259"/>
      <c r="AW257" s="259"/>
    </row>
    <row r="258" spans="2:49" ht="15" customHeight="1" x14ac:dyDescent="0.25">
      <c r="B258" s="260"/>
      <c r="D258" s="262"/>
      <c r="G258" s="289"/>
      <c r="H258" s="265"/>
      <c r="I258" s="266"/>
      <c r="K258" s="268"/>
      <c r="L258" s="278"/>
      <c r="M258" s="274"/>
      <c r="N258" s="258"/>
      <c r="O258" s="258"/>
      <c r="P258" s="258"/>
      <c r="Q258" s="276"/>
      <c r="R258" s="272"/>
      <c r="S258" s="272"/>
      <c r="T258" s="272"/>
      <c r="U258" s="272"/>
      <c r="V258" s="272"/>
      <c r="W258" s="272"/>
      <c r="X258" s="272"/>
      <c r="Y258" s="272"/>
      <c r="Z258" s="258"/>
      <c r="AA258" s="258"/>
      <c r="AB258" s="258"/>
      <c r="AC258" s="258"/>
      <c r="AD258" s="258"/>
      <c r="AE258" s="258"/>
      <c r="AF258" s="258"/>
      <c r="AG258" s="258"/>
      <c r="AH258" s="258"/>
      <c r="AQ258" s="259"/>
      <c r="AR258" s="259"/>
      <c r="AS258" s="259"/>
      <c r="AT258" s="259"/>
      <c r="AU258" s="259"/>
      <c r="AV258" s="259"/>
      <c r="AW258" s="259"/>
    </row>
    <row r="259" spans="2:49" ht="15" customHeight="1" x14ac:dyDescent="0.25">
      <c r="B259" s="260"/>
      <c r="D259" s="262"/>
      <c r="G259" s="289"/>
      <c r="H259" s="265"/>
      <c r="I259" s="266"/>
      <c r="K259" s="268"/>
      <c r="L259" s="278"/>
      <c r="M259" s="274"/>
      <c r="N259" s="258"/>
      <c r="O259" s="258"/>
      <c r="P259" s="258"/>
      <c r="Q259" s="276"/>
      <c r="R259" s="272"/>
      <c r="S259" s="272"/>
      <c r="T259" s="272"/>
      <c r="U259" s="272"/>
      <c r="V259" s="272"/>
      <c r="W259" s="272"/>
      <c r="X259" s="272"/>
      <c r="Y259" s="272"/>
      <c r="Z259" s="258"/>
      <c r="AA259" s="258"/>
      <c r="AB259" s="258"/>
      <c r="AC259" s="258"/>
      <c r="AD259" s="258"/>
      <c r="AE259" s="258"/>
      <c r="AF259" s="258"/>
      <c r="AG259" s="258"/>
      <c r="AH259" s="258"/>
      <c r="AQ259" s="259"/>
      <c r="AR259" s="259"/>
      <c r="AS259" s="259"/>
      <c r="AT259" s="259"/>
      <c r="AU259" s="259"/>
      <c r="AV259" s="259"/>
      <c r="AW259" s="259"/>
    </row>
    <row r="260" spans="2:49" ht="15" customHeight="1" x14ac:dyDescent="0.25">
      <c r="B260" s="260"/>
      <c r="D260" s="262"/>
      <c r="G260" s="288"/>
      <c r="H260" s="265"/>
      <c r="I260" s="266"/>
      <c r="K260" s="268"/>
      <c r="L260" s="278"/>
      <c r="M260" s="274"/>
      <c r="N260" s="258"/>
      <c r="O260" s="258"/>
      <c r="P260" s="258"/>
      <c r="Q260" s="276"/>
      <c r="R260" s="272"/>
      <c r="S260" s="272"/>
      <c r="T260" s="272"/>
      <c r="U260" s="272"/>
      <c r="V260" s="272"/>
      <c r="W260" s="272"/>
      <c r="X260" s="272"/>
      <c r="Y260" s="272"/>
      <c r="Z260" s="258"/>
      <c r="AA260" s="258"/>
      <c r="AB260" s="258"/>
      <c r="AC260" s="258"/>
      <c r="AD260" s="258"/>
      <c r="AE260" s="258"/>
      <c r="AF260" s="258"/>
      <c r="AG260" s="258"/>
      <c r="AH260" s="258"/>
      <c r="AQ260" s="259"/>
      <c r="AR260" s="259"/>
      <c r="AS260" s="259"/>
      <c r="AT260" s="259"/>
      <c r="AU260" s="259"/>
      <c r="AV260" s="259"/>
      <c r="AW260" s="259"/>
    </row>
    <row r="261" spans="2:49" ht="15" customHeight="1" x14ac:dyDescent="0.25">
      <c r="B261" s="260"/>
      <c r="D261" s="262"/>
      <c r="G261" s="289"/>
      <c r="H261" s="265"/>
      <c r="I261" s="266"/>
      <c r="K261" s="268"/>
      <c r="L261" s="278"/>
      <c r="M261" s="274"/>
      <c r="N261" s="258"/>
      <c r="O261" s="258"/>
      <c r="P261" s="258"/>
      <c r="Q261" s="276"/>
      <c r="W261" s="272"/>
      <c r="X261" s="272"/>
      <c r="Y261" s="272"/>
      <c r="Z261" s="258"/>
      <c r="AA261" s="258"/>
      <c r="AB261" s="258"/>
      <c r="AC261" s="258"/>
      <c r="AD261" s="258"/>
      <c r="AE261" s="258"/>
      <c r="AF261" s="258"/>
      <c r="AG261" s="258"/>
      <c r="AH261" s="258"/>
      <c r="AQ261" s="259"/>
      <c r="AR261" s="259"/>
      <c r="AS261" s="259"/>
      <c r="AT261" s="259"/>
      <c r="AU261" s="259"/>
      <c r="AV261" s="259"/>
      <c r="AW261" s="259"/>
    </row>
    <row r="262" spans="2:49" ht="15" customHeight="1" x14ac:dyDescent="0.25">
      <c r="B262" s="260"/>
      <c r="D262" s="262"/>
      <c r="G262" s="288"/>
      <c r="H262" s="265"/>
      <c r="I262" s="266"/>
      <c r="K262" s="268"/>
      <c r="L262" s="278"/>
      <c r="M262" s="274"/>
      <c r="N262" s="258"/>
      <c r="O262" s="258"/>
      <c r="P262" s="258"/>
      <c r="Q262" s="276"/>
      <c r="W262" s="272"/>
      <c r="X262" s="272"/>
      <c r="Y262" s="272"/>
      <c r="Z262" s="258"/>
      <c r="AA262" s="258"/>
      <c r="AB262" s="258"/>
      <c r="AC262" s="258"/>
      <c r="AD262" s="258"/>
      <c r="AE262" s="258"/>
      <c r="AF262" s="258"/>
      <c r="AG262" s="258"/>
      <c r="AH262" s="258"/>
      <c r="AQ262" s="259"/>
      <c r="AR262" s="259"/>
      <c r="AS262" s="259"/>
      <c r="AT262" s="259"/>
      <c r="AU262" s="259"/>
      <c r="AV262" s="259"/>
      <c r="AW262" s="259"/>
    </row>
    <row r="263" spans="2:49" ht="15" customHeight="1" x14ac:dyDescent="0.25">
      <c r="B263" s="260"/>
      <c r="D263" s="262"/>
      <c r="G263" s="288"/>
      <c r="H263" s="265"/>
      <c r="I263" s="266"/>
      <c r="K263" s="268"/>
      <c r="L263" s="278"/>
      <c r="M263" s="274"/>
      <c r="N263" s="258"/>
      <c r="O263" s="258"/>
      <c r="P263" s="258"/>
      <c r="Q263" s="276"/>
      <c r="W263" s="272"/>
      <c r="X263" s="272"/>
      <c r="Y263" s="272"/>
      <c r="Z263" s="258"/>
      <c r="AA263" s="258"/>
      <c r="AB263" s="258"/>
      <c r="AC263" s="258"/>
      <c r="AD263" s="258"/>
      <c r="AE263" s="258"/>
      <c r="AF263" s="258"/>
      <c r="AG263" s="258"/>
      <c r="AH263" s="258"/>
      <c r="AQ263" s="259"/>
      <c r="AR263" s="259"/>
      <c r="AS263" s="259"/>
      <c r="AT263" s="259"/>
      <c r="AU263" s="259"/>
      <c r="AV263" s="259"/>
      <c r="AW263" s="259"/>
    </row>
    <row r="264" spans="2:49" ht="15" customHeight="1" x14ac:dyDescent="0.25">
      <c r="B264" s="260"/>
      <c r="D264" s="262"/>
      <c r="G264" s="288"/>
      <c r="H264" s="265"/>
      <c r="I264" s="266"/>
      <c r="K264" s="268"/>
      <c r="L264" s="273"/>
      <c r="M264" s="274"/>
      <c r="N264" s="270"/>
      <c r="O264" s="270"/>
      <c r="P264" s="270"/>
      <c r="Q264" s="275"/>
      <c r="R264" s="272"/>
      <c r="S264" s="272"/>
      <c r="T264" s="272"/>
      <c r="U264" s="272"/>
      <c r="V264" s="272"/>
      <c r="W264" s="272"/>
      <c r="X264" s="272"/>
      <c r="Y264" s="272"/>
      <c r="Z264" s="258"/>
      <c r="AA264" s="258"/>
      <c r="AB264" s="258"/>
      <c r="AC264" s="258"/>
      <c r="AD264" s="258"/>
      <c r="AE264" s="258"/>
      <c r="AF264" s="258"/>
      <c r="AG264" s="258"/>
      <c r="AH264" s="258"/>
      <c r="AI264" s="258"/>
      <c r="AQ264" s="259"/>
      <c r="AR264" s="259"/>
      <c r="AS264" s="259"/>
      <c r="AT264" s="259"/>
      <c r="AU264" s="259"/>
      <c r="AV264" s="259"/>
      <c r="AW264" s="259"/>
    </row>
    <row r="265" spans="2:49" ht="15" customHeight="1" x14ac:dyDescent="0.25">
      <c r="B265" s="260"/>
      <c r="D265" s="262"/>
      <c r="G265" s="288"/>
      <c r="H265" s="265"/>
      <c r="I265" s="266"/>
      <c r="K265" s="268"/>
      <c r="L265" s="273"/>
      <c r="M265" s="274"/>
      <c r="N265" s="258"/>
      <c r="O265" s="258"/>
      <c r="P265" s="258"/>
      <c r="Q265" s="276"/>
      <c r="R265" s="272"/>
      <c r="S265" s="272"/>
      <c r="T265" s="272"/>
      <c r="U265" s="272"/>
      <c r="V265" s="272"/>
      <c r="W265" s="272"/>
      <c r="X265" s="272"/>
      <c r="Y265" s="272"/>
      <c r="Z265" s="258"/>
      <c r="AA265" s="258"/>
      <c r="AB265" s="258"/>
      <c r="AC265" s="258"/>
      <c r="AD265" s="258"/>
      <c r="AE265" s="258"/>
      <c r="AF265" s="258"/>
      <c r="AG265" s="258"/>
      <c r="AH265" s="258"/>
      <c r="AI265" s="258"/>
      <c r="AQ265" s="259"/>
      <c r="AR265" s="259"/>
      <c r="AS265" s="259"/>
      <c r="AT265" s="259"/>
      <c r="AU265" s="259"/>
      <c r="AV265" s="259"/>
      <c r="AW265" s="259"/>
    </row>
    <row r="266" spans="2:49" ht="15" customHeight="1" x14ac:dyDescent="0.25">
      <c r="B266" s="260"/>
      <c r="D266" s="262"/>
      <c r="E266" s="291"/>
      <c r="F266" s="293"/>
      <c r="G266" s="288"/>
      <c r="H266" s="265"/>
      <c r="I266" s="266"/>
      <c r="K266" s="268"/>
      <c r="L266" s="273"/>
      <c r="M266" s="274"/>
      <c r="N266" s="258"/>
      <c r="O266" s="258"/>
      <c r="P266" s="258"/>
      <c r="Q266" s="276"/>
      <c r="R266" s="272"/>
      <c r="S266" s="272"/>
      <c r="T266" s="272"/>
      <c r="U266" s="272"/>
      <c r="V266" s="272"/>
      <c r="W266" s="272"/>
      <c r="X266" s="272"/>
      <c r="Y266" s="272"/>
      <c r="Z266" s="258"/>
      <c r="AA266" s="258"/>
      <c r="AB266" s="258"/>
      <c r="AC266" s="258"/>
      <c r="AD266" s="258"/>
      <c r="AE266" s="258"/>
      <c r="AF266" s="258"/>
      <c r="AG266" s="258"/>
      <c r="AH266" s="270"/>
      <c r="AI266" s="270"/>
      <c r="AQ266" s="259"/>
      <c r="AR266" s="259"/>
      <c r="AS266" s="259"/>
      <c r="AT266" s="259"/>
      <c r="AU266" s="259"/>
      <c r="AV266" s="259"/>
      <c r="AW266" s="259"/>
    </row>
    <row r="267" spans="2:49" ht="15" customHeight="1" x14ac:dyDescent="0.25">
      <c r="B267" s="260"/>
      <c r="D267" s="262"/>
      <c r="G267" s="288"/>
      <c r="H267" s="265"/>
      <c r="I267" s="266"/>
      <c r="K267" s="268"/>
      <c r="L267" s="273"/>
      <c r="M267" s="277"/>
      <c r="N267" s="258"/>
      <c r="O267" s="258"/>
      <c r="P267" s="258"/>
      <c r="Q267" s="276"/>
      <c r="R267" s="272"/>
      <c r="S267" s="272"/>
      <c r="T267" s="272"/>
      <c r="U267" s="272"/>
      <c r="V267" s="272"/>
      <c r="W267" s="272"/>
      <c r="X267" s="272"/>
      <c r="Y267" s="272"/>
      <c r="Z267" s="258"/>
      <c r="AA267" s="258"/>
      <c r="AB267" s="258"/>
      <c r="AC267" s="258"/>
      <c r="AD267" s="258"/>
      <c r="AE267" s="258"/>
      <c r="AF267" s="258"/>
      <c r="AG267" s="258"/>
      <c r="AH267" s="270"/>
      <c r="AI267" s="270"/>
      <c r="AQ267" s="259"/>
      <c r="AR267" s="259"/>
      <c r="AS267" s="259"/>
      <c r="AT267" s="259"/>
      <c r="AU267" s="259"/>
      <c r="AV267" s="259"/>
      <c r="AW267" s="259"/>
    </row>
    <row r="268" spans="2:49" ht="15" customHeight="1" x14ac:dyDescent="0.25">
      <c r="B268" s="260"/>
      <c r="D268" s="262"/>
      <c r="G268" s="289"/>
      <c r="H268" s="265"/>
      <c r="I268" s="266"/>
      <c r="K268" s="268"/>
      <c r="L268" s="278"/>
      <c r="M268" s="274"/>
      <c r="N268" s="258"/>
      <c r="O268" s="258"/>
      <c r="P268" s="258"/>
      <c r="Q268" s="276"/>
      <c r="R268" s="272"/>
      <c r="S268" s="272"/>
      <c r="T268" s="272"/>
      <c r="U268" s="272"/>
      <c r="V268" s="272"/>
      <c r="W268" s="272"/>
      <c r="X268" s="272"/>
      <c r="Y268" s="272"/>
      <c r="Z268" s="258"/>
      <c r="AA268" s="258"/>
      <c r="AB268" s="258"/>
      <c r="AC268" s="258"/>
      <c r="AD268" s="258"/>
      <c r="AE268" s="258"/>
      <c r="AF268" s="258"/>
      <c r="AG268" s="258"/>
      <c r="AH268" s="270"/>
      <c r="AI268" s="270"/>
      <c r="AQ268" s="259"/>
      <c r="AR268" s="259"/>
      <c r="AS268" s="259"/>
      <c r="AT268" s="259"/>
      <c r="AU268" s="259"/>
      <c r="AV268" s="259"/>
      <c r="AW268" s="259"/>
    </row>
    <row r="269" spans="2:49" ht="15" customHeight="1" x14ac:dyDescent="0.25">
      <c r="B269" s="260"/>
      <c r="D269" s="262"/>
      <c r="G269" s="289"/>
      <c r="H269" s="265"/>
      <c r="I269" s="266"/>
      <c r="K269" s="268"/>
      <c r="L269" s="278"/>
      <c r="M269" s="274"/>
      <c r="N269" s="258"/>
      <c r="O269" s="258"/>
      <c r="P269" s="258"/>
      <c r="Q269" s="276"/>
      <c r="R269" s="272"/>
      <c r="S269" s="272"/>
      <c r="T269" s="272"/>
      <c r="U269" s="272"/>
      <c r="V269" s="272"/>
      <c r="W269" s="272"/>
      <c r="X269" s="272"/>
      <c r="Y269" s="272"/>
      <c r="Z269" s="258"/>
      <c r="AA269" s="258"/>
      <c r="AB269" s="258"/>
      <c r="AC269" s="258"/>
      <c r="AD269" s="258"/>
      <c r="AE269" s="258"/>
      <c r="AF269" s="258"/>
      <c r="AG269" s="258"/>
      <c r="AH269" s="258"/>
      <c r="AQ269" s="259"/>
      <c r="AR269" s="259"/>
      <c r="AS269" s="259"/>
      <c r="AT269" s="259"/>
      <c r="AU269" s="259"/>
      <c r="AV269" s="259"/>
      <c r="AW269" s="259"/>
    </row>
    <row r="270" spans="2:49" ht="15" customHeight="1" x14ac:dyDescent="0.25">
      <c r="B270" s="260"/>
      <c r="D270" s="262"/>
      <c r="G270" s="288"/>
      <c r="H270" s="265"/>
      <c r="I270" s="266"/>
      <c r="K270" s="268"/>
      <c r="L270" s="278"/>
      <c r="M270" s="274"/>
      <c r="N270" s="258"/>
      <c r="O270" s="258"/>
      <c r="P270" s="258"/>
      <c r="Q270" s="276"/>
      <c r="R270" s="272"/>
      <c r="S270" s="272"/>
      <c r="T270" s="272"/>
      <c r="U270" s="272"/>
      <c r="V270" s="272"/>
      <c r="W270" s="272"/>
      <c r="X270" s="272"/>
      <c r="Y270" s="272"/>
      <c r="Z270" s="258"/>
      <c r="AA270" s="258"/>
      <c r="AB270" s="258"/>
      <c r="AC270" s="258"/>
      <c r="AD270" s="258"/>
      <c r="AE270" s="258"/>
      <c r="AF270" s="258"/>
      <c r="AG270" s="258"/>
      <c r="AH270" s="258"/>
      <c r="AQ270" s="259"/>
      <c r="AR270" s="259"/>
      <c r="AS270" s="259"/>
      <c r="AT270" s="259"/>
      <c r="AU270" s="259"/>
      <c r="AV270" s="259"/>
      <c r="AW270" s="259"/>
    </row>
    <row r="271" spans="2:49" ht="15" customHeight="1" x14ac:dyDescent="0.25">
      <c r="B271" s="260"/>
      <c r="D271" s="262"/>
      <c r="G271" s="264"/>
      <c r="H271" s="265"/>
      <c r="I271" s="266"/>
      <c r="K271" s="268"/>
      <c r="L271" s="278"/>
      <c r="M271" s="274"/>
      <c r="N271" s="258"/>
      <c r="O271" s="258"/>
      <c r="P271" s="258"/>
      <c r="Q271" s="276"/>
      <c r="R271" s="272"/>
      <c r="S271" s="272"/>
      <c r="T271" s="272"/>
      <c r="U271" s="272"/>
      <c r="V271" s="272"/>
      <c r="W271" s="272"/>
      <c r="X271" s="272"/>
      <c r="Y271" s="272"/>
      <c r="Z271" s="258"/>
      <c r="AA271" s="258"/>
      <c r="AB271" s="258"/>
      <c r="AC271" s="258"/>
      <c r="AD271" s="258"/>
      <c r="AE271" s="258"/>
      <c r="AF271" s="258"/>
      <c r="AG271" s="258"/>
      <c r="AH271" s="258"/>
      <c r="AQ271" s="259"/>
      <c r="AR271" s="259"/>
      <c r="AS271" s="259"/>
      <c r="AT271" s="259"/>
      <c r="AU271" s="259"/>
      <c r="AV271" s="259"/>
      <c r="AW271" s="259"/>
    </row>
    <row r="272" spans="2:49" ht="15" customHeight="1" x14ac:dyDescent="0.25">
      <c r="B272" s="260"/>
      <c r="D272" s="262"/>
      <c r="G272" s="288"/>
      <c r="H272" s="265"/>
      <c r="I272" s="266"/>
      <c r="K272" s="268"/>
      <c r="L272" s="278"/>
      <c r="M272" s="274"/>
      <c r="N272" s="258"/>
      <c r="O272" s="258"/>
      <c r="P272" s="258"/>
      <c r="Q272" s="276"/>
      <c r="R272" s="272"/>
      <c r="S272" s="272"/>
      <c r="T272" s="272"/>
      <c r="U272" s="272"/>
      <c r="V272" s="272"/>
      <c r="W272" s="272"/>
      <c r="X272" s="272"/>
      <c r="Y272" s="272"/>
      <c r="Z272" s="258"/>
      <c r="AA272" s="258"/>
      <c r="AB272" s="258"/>
      <c r="AC272" s="258"/>
      <c r="AD272" s="258"/>
      <c r="AE272" s="258"/>
      <c r="AF272" s="258"/>
      <c r="AG272" s="258"/>
      <c r="AH272" s="258"/>
      <c r="AQ272" s="259"/>
      <c r="AR272" s="259"/>
      <c r="AS272" s="259"/>
      <c r="AT272" s="259"/>
      <c r="AU272" s="259"/>
      <c r="AV272" s="259"/>
      <c r="AW272" s="259"/>
    </row>
    <row r="273" spans="2:49" ht="15" customHeight="1" x14ac:dyDescent="0.25">
      <c r="B273" s="260"/>
      <c r="D273" s="262"/>
      <c r="G273" s="288"/>
      <c r="H273" s="265"/>
      <c r="I273" s="266"/>
      <c r="K273" s="268"/>
      <c r="L273" s="278"/>
      <c r="M273" s="274"/>
      <c r="N273" s="258"/>
      <c r="O273" s="258"/>
      <c r="P273" s="258"/>
      <c r="Q273" s="276"/>
      <c r="W273" s="272"/>
      <c r="X273" s="272"/>
      <c r="Y273" s="272"/>
      <c r="Z273" s="258"/>
      <c r="AA273" s="258"/>
      <c r="AB273" s="258"/>
      <c r="AC273" s="258"/>
      <c r="AD273" s="258"/>
      <c r="AE273" s="258"/>
      <c r="AF273" s="258"/>
      <c r="AG273" s="258"/>
      <c r="AH273" s="258"/>
      <c r="AQ273" s="259"/>
      <c r="AR273" s="259"/>
      <c r="AS273" s="259"/>
      <c r="AT273" s="259"/>
      <c r="AU273" s="259"/>
      <c r="AV273" s="259"/>
      <c r="AW273" s="259"/>
    </row>
    <row r="274" spans="2:49" ht="15" customHeight="1" x14ac:dyDescent="0.25">
      <c r="B274" s="260"/>
      <c r="D274" s="262"/>
      <c r="E274" s="291"/>
      <c r="F274" s="293"/>
      <c r="G274" s="288"/>
      <c r="H274" s="265"/>
      <c r="I274" s="266"/>
      <c r="K274" s="268"/>
      <c r="L274" s="278"/>
      <c r="M274" s="274"/>
      <c r="N274" s="258"/>
      <c r="O274" s="258"/>
      <c r="P274" s="258"/>
      <c r="Q274" s="276"/>
      <c r="W274" s="272"/>
      <c r="X274" s="272"/>
      <c r="Y274" s="272"/>
      <c r="Z274" s="258"/>
      <c r="AA274" s="258"/>
      <c r="AB274" s="258"/>
      <c r="AC274" s="258"/>
      <c r="AD274" s="258"/>
      <c r="AE274" s="258"/>
      <c r="AF274" s="258"/>
      <c r="AG274" s="258"/>
      <c r="AH274" s="258"/>
      <c r="AQ274" s="259"/>
      <c r="AR274" s="259"/>
      <c r="AS274" s="259"/>
      <c r="AT274" s="259"/>
      <c r="AU274" s="259"/>
      <c r="AV274" s="259"/>
      <c r="AW274" s="259"/>
    </row>
    <row r="275" spans="2:49" ht="15" customHeight="1" x14ac:dyDescent="0.25">
      <c r="B275" s="260"/>
      <c r="C275" s="290"/>
      <c r="D275" s="262"/>
      <c r="E275" s="291"/>
      <c r="F275" s="262"/>
      <c r="G275" s="289"/>
      <c r="H275" s="243"/>
      <c r="I275" s="266"/>
      <c r="K275" s="268"/>
      <c r="L275" s="278"/>
      <c r="M275" s="274"/>
      <c r="N275" s="258"/>
      <c r="O275" s="258"/>
      <c r="P275" s="258"/>
      <c r="Q275" s="276"/>
      <c r="W275" s="272"/>
      <c r="X275" s="272"/>
      <c r="Y275" s="272"/>
      <c r="Z275" s="258"/>
      <c r="AA275" s="258"/>
      <c r="AB275" s="258"/>
      <c r="AC275" s="258"/>
      <c r="AD275" s="258"/>
      <c r="AE275" s="258"/>
      <c r="AF275" s="258"/>
      <c r="AG275" s="258"/>
      <c r="AH275" s="258"/>
      <c r="AQ275" s="259"/>
      <c r="AR275" s="259"/>
      <c r="AS275" s="259"/>
      <c r="AT275" s="259"/>
      <c r="AU275" s="259"/>
      <c r="AV275" s="259"/>
      <c r="AW275" s="259"/>
    </row>
    <row r="276" spans="2:49" ht="15" customHeight="1" x14ac:dyDescent="0.25">
      <c r="B276" s="260"/>
      <c r="D276" s="262"/>
      <c r="G276" s="288"/>
      <c r="H276" s="265"/>
      <c r="I276" s="266"/>
      <c r="K276" s="268"/>
      <c r="L276" s="273"/>
      <c r="M276" s="274"/>
      <c r="N276" s="270"/>
      <c r="O276" s="270"/>
      <c r="P276" s="270"/>
      <c r="Q276" s="275"/>
      <c r="R276" s="272"/>
      <c r="S276" s="272"/>
      <c r="T276" s="272"/>
      <c r="U276" s="272"/>
      <c r="V276" s="272"/>
      <c r="W276" s="272"/>
      <c r="X276" s="272"/>
      <c r="Y276" s="272"/>
      <c r="Z276" s="258"/>
      <c r="AA276" s="258"/>
      <c r="AB276" s="258"/>
      <c r="AC276" s="258"/>
      <c r="AD276" s="258"/>
      <c r="AE276" s="258"/>
      <c r="AF276" s="258"/>
      <c r="AG276" s="258"/>
      <c r="AH276" s="258"/>
      <c r="AI276" s="258"/>
      <c r="AQ276" s="259"/>
      <c r="AR276" s="259"/>
      <c r="AS276" s="259"/>
      <c r="AT276" s="259"/>
      <c r="AU276" s="259"/>
      <c r="AV276" s="259"/>
      <c r="AW276" s="259"/>
    </row>
    <row r="277" spans="2:49" ht="15" customHeight="1" x14ac:dyDescent="0.25">
      <c r="B277" s="260"/>
      <c r="D277" s="262"/>
      <c r="G277" s="288"/>
      <c r="H277" s="265"/>
      <c r="I277" s="266"/>
      <c r="K277" s="268"/>
      <c r="L277" s="273"/>
      <c r="M277" s="274"/>
      <c r="N277" s="258"/>
      <c r="O277" s="258"/>
      <c r="P277" s="258"/>
      <c r="Q277" s="276"/>
      <c r="R277" s="272"/>
      <c r="S277" s="272"/>
      <c r="T277" s="272"/>
      <c r="U277" s="272"/>
      <c r="V277" s="272"/>
      <c r="W277" s="272"/>
      <c r="X277" s="272"/>
      <c r="Y277" s="272"/>
      <c r="Z277" s="258"/>
      <c r="AA277" s="258"/>
      <c r="AB277" s="258"/>
      <c r="AC277" s="258"/>
      <c r="AD277" s="258"/>
      <c r="AE277" s="258"/>
      <c r="AF277" s="258"/>
      <c r="AG277" s="258"/>
      <c r="AH277" s="258"/>
      <c r="AI277" s="258"/>
      <c r="AQ277" s="259"/>
      <c r="AR277" s="259"/>
      <c r="AS277" s="259"/>
      <c r="AT277" s="259"/>
      <c r="AU277" s="259"/>
      <c r="AV277" s="259"/>
      <c r="AW277" s="259"/>
    </row>
    <row r="278" spans="2:49" ht="15" customHeight="1" x14ac:dyDescent="0.25">
      <c r="B278" s="260"/>
      <c r="D278" s="262"/>
      <c r="G278" s="288"/>
      <c r="H278" s="265"/>
      <c r="I278" s="266"/>
      <c r="K278" s="268"/>
      <c r="L278" s="273"/>
      <c r="M278" s="274"/>
      <c r="N278" s="258"/>
      <c r="O278" s="258"/>
      <c r="P278" s="258"/>
      <c r="Q278" s="276"/>
      <c r="R278" s="272"/>
      <c r="S278" s="272"/>
      <c r="T278" s="272"/>
      <c r="U278" s="272"/>
      <c r="V278" s="272"/>
      <c r="W278" s="272"/>
      <c r="X278" s="272"/>
      <c r="Y278" s="272"/>
      <c r="Z278" s="258"/>
      <c r="AA278" s="258"/>
      <c r="AB278" s="258"/>
      <c r="AC278" s="258"/>
      <c r="AD278" s="258"/>
      <c r="AE278" s="258"/>
      <c r="AF278" s="258"/>
      <c r="AG278" s="258"/>
      <c r="AH278" s="270"/>
      <c r="AI278" s="270"/>
      <c r="AQ278" s="259"/>
      <c r="AR278" s="259"/>
      <c r="AS278" s="259"/>
      <c r="AT278" s="259"/>
      <c r="AU278" s="259"/>
      <c r="AV278" s="259"/>
      <c r="AW278" s="259"/>
    </row>
    <row r="279" spans="2:49" ht="15" customHeight="1" x14ac:dyDescent="0.25">
      <c r="B279" s="260"/>
      <c r="D279" s="262"/>
      <c r="G279" s="264"/>
      <c r="H279" s="265"/>
      <c r="I279" s="266"/>
      <c r="K279" s="268"/>
      <c r="L279" s="273"/>
      <c r="M279" s="277"/>
      <c r="N279" s="258"/>
      <c r="O279" s="258"/>
      <c r="P279" s="258"/>
      <c r="Q279" s="276"/>
      <c r="R279" s="272"/>
      <c r="S279" s="272"/>
      <c r="T279" s="272"/>
      <c r="U279" s="272"/>
      <c r="V279" s="272"/>
      <c r="W279" s="272"/>
      <c r="X279" s="272"/>
      <c r="Y279" s="272"/>
      <c r="Z279" s="258"/>
      <c r="AA279" s="258"/>
      <c r="AB279" s="258"/>
      <c r="AC279" s="258"/>
      <c r="AD279" s="258"/>
      <c r="AE279" s="258"/>
      <c r="AF279" s="258"/>
      <c r="AG279" s="258"/>
      <c r="AH279" s="270"/>
      <c r="AI279" s="270"/>
      <c r="AQ279" s="259"/>
      <c r="AR279" s="259"/>
      <c r="AS279" s="259"/>
      <c r="AT279" s="259"/>
      <c r="AU279" s="259"/>
      <c r="AV279" s="259"/>
      <c r="AW279" s="259"/>
    </row>
    <row r="280" spans="2:49" ht="15" customHeight="1" x14ac:dyDescent="0.25">
      <c r="B280" s="260"/>
      <c r="C280" s="290"/>
      <c r="D280" s="262"/>
      <c r="E280" s="291"/>
      <c r="F280" s="262"/>
      <c r="G280" s="289"/>
      <c r="H280" s="243"/>
      <c r="I280" s="266"/>
      <c r="K280" s="268"/>
      <c r="L280" s="278"/>
      <c r="M280" s="274"/>
      <c r="N280" s="258"/>
      <c r="O280" s="258"/>
      <c r="P280" s="258"/>
      <c r="Q280" s="276"/>
      <c r="R280" s="272"/>
      <c r="S280" s="272"/>
      <c r="T280" s="272"/>
      <c r="U280" s="272"/>
      <c r="V280" s="272"/>
      <c r="W280" s="272"/>
      <c r="X280" s="272"/>
      <c r="Y280" s="272"/>
      <c r="Z280" s="258"/>
      <c r="AA280" s="258"/>
      <c r="AB280" s="258"/>
      <c r="AC280" s="258"/>
      <c r="AD280" s="258"/>
      <c r="AE280" s="258"/>
      <c r="AF280" s="258"/>
      <c r="AG280" s="258"/>
      <c r="AH280" s="270"/>
      <c r="AI280" s="270"/>
      <c r="AQ280" s="259"/>
      <c r="AR280" s="259"/>
      <c r="AS280" s="259"/>
      <c r="AT280" s="259"/>
      <c r="AU280" s="259"/>
      <c r="AV280" s="259"/>
      <c r="AW280" s="259"/>
    </row>
    <row r="281" spans="2:49" ht="15" customHeight="1" x14ac:dyDescent="0.25">
      <c r="B281" s="260"/>
      <c r="D281" s="262"/>
      <c r="G281" s="289"/>
      <c r="H281" s="265"/>
      <c r="I281" s="266"/>
      <c r="K281" s="268"/>
      <c r="L281" s="278"/>
      <c r="M281" s="274"/>
      <c r="N281" s="258"/>
      <c r="O281" s="258"/>
      <c r="P281" s="258"/>
      <c r="Q281" s="276"/>
      <c r="R281" s="272"/>
      <c r="S281" s="272"/>
      <c r="T281" s="272"/>
      <c r="U281" s="272"/>
      <c r="V281" s="272"/>
      <c r="W281" s="272"/>
      <c r="X281" s="272"/>
      <c r="Y281" s="272"/>
      <c r="Z281" s="258"/>
      <c r="AA281" s="258"/>
      <c r="AB281" s="258"/>
      <c r="AC281" s="258"/>
      <c r="AD281" s="258"/>
      <c r="AE281" s="258"/>
      <c r="AF281" s="258"/>
      <c r="AG281" s="258"/>
      <c r="AH281" s="258"/>
      <c r="AQ281" s="259"/>
      <c r="AR281" s="259"/>
      <c r="AS281" s="259"/>
      <c r="AT281" s="259"/>
      <c r="AU281" s="259"/>
      <c r="AV281" s="259"/>
      <c r="AW281" s="259"/>
    </row>
    <row r="282" spans="2:49" ht="15" customHeight="1" x14ac:dyDescent="0.25">
      <c r="B282" s="260"/>
      <c r="D282" s="262"/>
      <c r="G282" s="289"/>
      <c r="H282" s="265"/>
      <c r="I282" s="266"/>
      <c r="K282" s="268"/>
      <c r="L282" s="278"/>
      <c r="M282" s="274"/>
      <c r="N282" s="258"/>
      <c r="O282" s="258"/>
      <c r="P282" s="258"/>
      <c r="Q282" s="276"/>
      <c r="R282" s="272"/>
      <c r="S282" s="272"/>
      <c r="T282" s="272"/>
      <c r="U282" s="272"/>
      <c r="V282" s="272"/>
      <c r="W282" s="272"/>
      <c r="X282" s="272"/>
      <c r="Y282" s="272"/>
      <c r="Z282" s="258"/>
      <c r="AA282" s="258"/>
      <c r="AB282" s="258"/>
      <c r="AC282" s="258"/>
      <c r="AD282" s="258"/>
      <c r="AE282" s="258"/>
      <c r="AF282" s="258"/>
      <c r="AG282" s="258"/>
      <c r="AH282" s="258"/>
      <c r="AQ282" s="259"/>
      <c r="AR282" s="259"/>
      <c r="AS282" s="259"/>
      <c r="AT282" s="259"/>
      <c r="AU282" s="259"/>
      <c r="AV282" s="259"/>
      <c r="AW282" s="259"/>
    </row>
    <row r="283" spans="2:49" ht="15" customHeight="1" x14ac:dyDescent="0.25">
      <c r="B283" s="260"/>
      <c r="D283" s="262"/>
      <c r="G283" s="289"/>
      <c r="H283" s="265"/>
      <c r="I283" s="266"/>
      <c r="K283" s="268"/>
      <c r="L283" s="278"/>
      <c r="M283" s="274"/>
      <c r="N283" s="258"/>
      <c r="O283" s="258"/>
      <c r="P283" s="258"/>
      <c r="Q283" s="276"/>
      <c r="R283" s="272"/>
      <c r="S283" s="272"/>
      <c r="T283" s="272"/>
      <c r="U283" s="272"/>
      <c r="V283" s="272"/>
      <c r="W283" s="272"/>
      <c r="X283" s="272"/>
      <c r="Y283" s="272"/>
      <c r="Z283" s="258"/>
      <c r="AA283" s="258"/>
      <c r="AB283" s="258"/>
      <c r="AC283" s="258"/>
      <c r="AD283" s="258"/>
      <c r="AE283" s="258"/>
      <c r="AF283" s="258"/>
      <c r="AG283" s="258"/>
      <c r="AH283" s="258"/>
      <c r="AQ283" s="259"/>
      <c r="AR283" s="259"/>
      <c r="AS283" s="259"/>
      <c r="AT283" s="259"/>
      <c r="AU283" s="259"/>
      <c r="AV283" s="259"/>
      <c r="AW283" s="259"/>
    </row>
    <row r="284" spans="2:49" ht="15" customHeight="1" x14ac:dyDescent="0.25">
      <c r="B284" s="260"/>
      <c r="D284" s="262"/>
      <c r="G284" s="289"/>
      <c r="H284" s="265"/>
      <c r="I284" s="266"/>
      <c r="K284" s="268"/>
      <c r="L284" s="278"/>
      <c r="M284" s="274"/>
      <c r="N284" s="258"/>
      <c r="O284" s="258"/>
      <c r="P284" s="258"/>
      <c r="Q284" s="276"/>
      <c r="R284" s="272"/>
      <c r="S284" s="272"/>
      <c r="T284" s="272"/>
      <c r="U284" s="272"/>
      <c r="V284" s="272"/>
      <c r="W284" s="272"/>
      <c r="X284" s="272"/>
      <c r="Y284" s="272"/>
      <c r="Z284" s="258"/>
      <c r="AA284" s="258"/>
      <c r="AB284" s="258"/>
      <c r="AC284" s="258"/>
      <c r="AD284" s="258"/>
      <c r="AE284" s="258"/>
      <c r="AF284" s="258"/>
      <c r="AG284" s="258"/>
      <c r="AH284" s="258"/>
      <c r="AQ284" s="259"/>
      <c r="AR284" s="259"/>
      <c r="AS284" s="259"/>
      <c r="AT284" s="259"/>
      <c r="AU284" s="259"/>
      <c r="AV284" s="259"/>
      <c r="AW284" s="259"/>
    </row>
    <row r="285" spans="2:49" ht="15" customHeight="1" x14ac:dyDescent="0.25">
      <c r="B285" s="260"/>
      <c r="D285" s="262"/>
      <c r="G285" s="289"/>
      <c r="H285" s="265"/>
      <c r="I285" s="266"/>
      <c r="K285" s="268"/>
      <c r="L285" s="278"/>
      <c r="M285" s="274"/>
      <c r="N285" s="258"/>
      <c r="O285" s="258"/>
      <c r="P285" s="258"/>
      <c r="Q285" s="276"/>
      <c r="W285" s="272"/>
      <c r="X285" s="272"/>
      <c r="Y285" s="272"/>
      <c r="Z285" s="258"/>
      <c r="AA285" s="258"/>
      <c r="AB285" s="258"/>
      <c r="AC285" s="258"/>
      <c r="AD285" s="258"/>
      <c r="AE285" s="258"/>
      <c r="AF285" s="258"/>
      <c r="AG285" s="258"/>
      <c r="AH285" s="258"/>
      <c r="AQ285" s="259"/>
      <c r="AR285" s="259"/>
      <c r="AS285" s="259"/>
      <c r="AT285" s="259"/>
      <c r="AU285" s="259"/>
      <c r="AV285" s="259"/>
      <c r="AW285" s="259"/>
    </row>
    <row r="286" spans="2:49" ht="15" customHeight="1" x14ac:dyDescent="0.25">
      <c r="B286" s="260"/>
      <c r="D286" s="262"/>
      <c r="G286" s="289"/>
      <c r="H286" s="265"/>
      <c r="I286" s="266"/>
      <c r="K286" s="268"/>
      <c r="L286" s="278"/>
      <c r="M286" s="274"/>
      <c r="N286" s="258"/>
      <c r="O286" s="258"/>
      <c r="P286" s="258"/>
      <c r="Q286" s="276"/>
      <c r="W286" s="272"/>
      <c r="X286" s="272"/>
      <c r="Y286" s="272"/>
      <c r="Z286" s="258"/>
      <c r="AA286" s="258"/>
      <c r="AB286" s="258"/>
      <c r="AC286" s="258"/>
      <c r="AD286" s="258"/>
      <c r="AE286" s="258"/>
      <c r="AF286" s="258"/>
      <c r="AG286" s="258"/>
      <c r="AH286" s="258"/>
      <c r="AQ286" s="259"/>
      <c r="AR286" s="259"/>
      <c r="AS286" s="259"/>
      <c r="AT286" s="259"/>
      <c r="AU286" s="259"/>
      <c r="AV286" s="259"/>
      <c r="AW286" s="259"/>
    </row>
    <row r="287" spans="2:49" ht="15" customHeight="1" x14ac:dyDescent="0.25">
      <c r="B287" s="260"/>
      <c r="D287" s="262"/>
      <c r="G287" s="288"/>
      <c r="H287" s="265"/>
      <c r="I287" s="266"/>
      <c r="K287" s="268"/>
      <c r="L287" s="278"/>
      <c r="M287" s="274"/>
      <c r="N287" s="258"/>
      <c r="O287" s="258"/>
      <c r="P287" s="258"/>
      <c r="Q287" s="276"/>
      <c r="W287" s="272"/>
      <c r="X287" s="272"/>
      <c r="Y287" s="272"/>
      <c r="Z287" s="258"/>
      <c r="AA287" s="258"/>
      <c r="AB287" s="258"/>
      <c r="AC287" s="258"/>
      <c r="AD287" s="258"/>
      <c r="AE287" s="258"/>
      <c r="AF287" s="258"/>
      <c r="AG287" s="258"/>
      <c r="AH287" s="258"/>
      <c r="AQ287" s="259"/>
      <c r="AR287" s="259"/>
      <c r="AS287" s="259"/>
      <c r="AT287" s="259"/>
      <c r="AU287" s="259"/>
      <c r="AV287" s="259"/>
      <c r="AW287" s="259"/>
    </row>
    <row r="288" spans="2:49" ht="15" customHeight="1" x14ac:dyDescent="0.25">
      <c r="B288" s="260"/>
      <c r="D288" s="262"/>
      <c r="G288" s="288"/>
      <c r="H288" s="265"/>
      <c r="I288" s="266"/>
      <c r="K288" s="268"/>
      <c r="L288" s="273"/>
      <c r="M288" s="274"/>
      <c r="N288" s="270"/>
      <c r="O288" s="270"/>
      <c r="P288" s="270"/>
      <c r="Q288" s="275"/>
      <c r="R288" s="272"/>
      <c r="S288" s="272"/>
      <c r="T288" s="272"/>
      <c r="U288" s="272"/>
      <c r="V288" s="272"/>
      <c r="W288" s="272"/>
      <c r="X288" s="272"/>
      <c r="Y288" s="272"/>
      <c r="Z288" s="258"/>
      <c r="AA288" s="258"/>
      <c r="AB288" s="258"/>
      <c r="AC288" s="258"/>
      <c r="AD288" s="258"/>
      <c r="AE288" s="258"/>
      <c r="AF288" s="258"/>
      <c r="AG288" s="258"/>
      <c r="AH288" s="258"/>
      <c r="AI288" s="258"/>
      <c r="AQ288" s="259"/>
      <c r="AR288" s="259"/>
      <c r="AS288" s="259"/>
      <c r="AT288" s="259"/>
      <c r="AU288" s="259"/>
      <c r="AV288" s="259"/>
      <c r="AW288" s="259"/>
    </row>
    <row r="289" spans="2:49" ht="15" customHeight="1" x14ac:dyDescent="0.25">
      <c r="B289" s="260"/>
      <c r="D289" s="262"/>
      <c r="G289" s="289"/>
      <c r="H289" s="265"/>
      <c r="I289" s="266"/>
      <c r="K289" s="268"/>
      <c r="L289" s="273"/>
      <c r="M289" s="274"/>
      <c r="N289" s="258"/>
      <c r="O289" s="258"/>
      <c r="P289" s="258"/>
      <c r="Q289" s="276"/>
      <c r="R289" s="272"/>
      <c r="S289" s="272"/>
      <c r="T289" s="272"/>
      <c r="U289" s="272"/>
      <c r="V289" s="272"/>
      <c r="W289" s="272"/>
      <c r="X289" s="272"/>
      <c r="Y289" s="272"/>
      <c r="Z289" s="258"/>
      <c r="AA289" s="258"/>
      <c r="AB289" s="258"/>
      <c r="AC289" s="258"/>
      <c r="AD289" s="258"/>
      <c r="AE289" s="258"/>
      <c r="AF289" s="258"/>
      <c r="AG289" s="258"/>
      <c r="AH289" s="258"/>
      <c r="AI289" s="258"/>
      <c r="AQ289" s="259"/>
      <c r="AR289" s="259"/>
      <c r="AS289" s="259"/>
      <c r="AT289" s="259"/>
      <c r="AU289" s="259"/>
      <c r="AV289" s="259"/>
      <c r="AW289" s="259"/>
    </row>
    <row r="290" spans="2:49" ht="15" customHeight="1" x14ac:dyDescent="0.25">
      <c r="B290" s="260"/>
      <c r="D290" s="262"/>
      <c r="G290" s="289"/>
      <c r="H290" s="265"/>
      <c r="I290" s="266"/>
      <c r="K290" s="268"/>
      <c r="L290" s="273"/>
      <c r="M290" s="274"/>
      <c r="N290" s="258"/>
      <c r="O290" s="258"/>
      <c r="P290" s="258"/>
      <c r="Q290" s="276"/>
      <c r="R290" s="272"/>
      <c r="S290" s="272"/>
      <c r="T290" s="272"/>
      <c r="U290" s="272"/>
      <c r="V290" s="272"/>
      <c r="W290" s="272"/>
      <c r="X290" s="272"/>
      <c r="Y290" s="272"/>
      <c r="Z290" s="258"/>
      <c r="AA290" s="258"/>
      <c r="AB290" s="258"/>
      <c r="AC290" s="258"/>
      <c r="AD290" s="258"/>
      <c r="AE290" s="258"/>
      <c r="AF290" s="258"/>
      <c r="AG290" s="258"/>
      <c r="AH290" s="270"/>
      <c r="AI290" s="270"/>
      <c r="AQ290" s="259"/>
      <c r="AR290" s="259"/>
      <c r="AS290" s="259"/>
      <c r="AT290" s="259"/>
      <c r="AU290" s="259"/>
      <c r="AV290" s="259"/>
      <c r="AW290" s="259"/>
    </row>
    <row r="291" spans="2:49" ht="15" customHeight="1" x14ac:dyDescent="0.25">
      <c r="B291" s="260"/>
      <c r="D291" s="262"/>
      <c r="G291" s="289"/>
      <c r="H291" s="265"/>
      <c r="I291" s="266"/>
      <c r="K291" s="268"/>
      <c r="L291" s="273"/>
      <c r="M291" s="277"/>
      <c r="N291" s="258"/>
      <c r="O291" s="258"/>
      <c r="P291" s="258"/>
      <c r="Q291" s="276"/>
      <c r="R291" s="272"/>
      <c r="S291" s="272"/>
      <c r="T291" s="272"/>
      <c r="U291" s="272"/>
      <c r="V291" s="272"/>
      <c r="W291" s="272"/>
      <c r="X291" s="272"/>
      <c r="Y291" s="272"/>
      <c r="Z291" s="258"/>
      <c r="AA291" s="258"/>
      <c r="AB291" s="258"/>
      <c r="AC291" s="258"/>
      <c r="AD291" s="258"/>
      <c r="AE291" s="258"/>
      <c r="AF291" s="258"/>
      <c r="AG291" s="258"/>
      <c r="AH291" s="270"/>
      <c r="AI291" s="270"/>
      <c r="AQ291" s="259"/>
      <c r="AR291" s="259"/>
      <c r="AS291" s="259"/>
      <c r="AT291" s="259"/>
      <c r="AU291" s="259"/>
      <c r="AV291" s="259"/>
      <c r="AW291" s="259"/>
    </row>
    <row r="292" spans="2:49" ht="15" customHeight="1" x14ac:dyDescent="0.25">
      <c r="B292" s="260"/>
      <c r="D292" s="262"/>
      <c r="G292" s="289"/>
      <c r="H292" s="265"/>
      <c r="I292" s="266"/>
      <c r="K292" s="268"/>
      <c r="L292" s="278"/>
      <c r="M292" s="274"/>
      <c r="N292" s="258"/>
      <c r="O292" s="258"/>
      <c r="P292" s="258"/>
      <c r="Q292" s="276"/>
      <c r="R292" s="272"/>
      <c r="S292" s="272"/>
      <c r="T292" s="272"/>
      <c r="U292" s="272"/>
      <c r="V292" s="272"/>
      <c r="W292" s="272"/>
      <c r="X292" s="272"/>
      <c r="Y292" s="272"/>
      <c r="Z292" s="258"/>
      <c r="AA292" s="258"/>
      <c r="AB292" s="258"/>
      <c r="AC292" s="258"/>
      <c r="AD292" s="258"/>
      <c r="AE292" s="258"/>
      <c r="AF292" s="258"/>
      <c r="AG292" s="258"/>
      <c r="AH292" s="270"/>
      <c r="AI292" s="270"/>
      <c r="AQ292" s="259"/>
      <c r="AR292" s="259"/>
      <c r="AS292" s="259"/>
      <c r="AT292" s="259"/>
      <c r="AU292" s="259"/>
      <c r="AV292" s="259"/>
      <c r="AW292" s="259"/>
    </row>
    <row r="293" spans="2:49" ht="15" customHeight="1" x14ac:dyDescent="0.25">
      <c r="B293" s="260"/>
      <c r="D293" s="262"/>
      <c r="G293" s="288"/>
      <c r="H293" s="265"/>
      <c r="I293" s="266"/>
      <c r="K293" s="268"/>
      <c r="L293" s="278"/>
      <c r="M293" s="274"/>
      <c r="N293" s="258"/>
      <c r="O293" s="258"/>
      <c r="P293" s="258"/>
      <c r="Q293" s="276"/>
      <c r="R293" s="272"/>
      <c r="S293" s="272"/>
      <c r="T293" s="272"/>
      <c r="U293" s="272"/>
      <c r="V293" s="272"/>
      <c r="W293" s="272"/>
      <c r="X293" s="272"/>
      <c r="Y293" s="272"/>
      <c r="Z293" s="258"/>
      <c r="AA293" s="258"/>
      <c r="AB293" s="258"/>
      <c r="AC293" s="258"/>
      <c r="AD293" s="258"/>
      <c r="AE293" s="258"/>
      <c r="AF293" s="258"/>
      <c r="AG293" s="258"/>
      <c r="AH293" s="258"/>
      <c r="AQ293" s="259"/>
      <c r="AR293" s="259"/>
      <c r="AS293" s="259"/>
      <c r="AT293" s="259"/>
      <c r="AU293" s="259"/>
      <c r="AV293" s="259"/>
      <c r="AW293" s="259"/>
    </row>
    <row r="294" spans="2:49" ht="15" customHeight="1" x14ac:dyDescent="0.25">
      <c r="B294" s="260"/>
      <c r="D294" s="262"/>
      <c r="G294" s="288"/>
      <c r="H294" s="265"/>
      <c r="I294" s="266"/>
      <c r="K294" s="268"/>
      <c r="L294" s="278"/>
      <c r="M294" s="274"/>
      <c r="N294" s="258"/>
      <c r="O294" s="258"/>
      <c r="P294" s="258"/>
      <c r="Q294" s="276"/>
      <c r="R294" s="272"/>
      <c r="S294" s="272"/>
      <c r="T294" s="272"/>
      <c r="U294" s="272"/>
      <c r="V294" s="272"/>
      <c r="W294" s="272"/>
      <c r="X294" s="272"/>
      <c r="Y294" s="272"/>
      <c r="Z294" s="258"/>
      <c r="AA294" s="258"/>
      <c r="AB294" s="258"/>
      <c r="AC294" s="258"/>
      <c r="AD294" s="258"/>
      <c r="AE294" s="258"/>
      <c r="AF294" s="258"/>
      <c r="AG294" s="258"/>
      <c r="AH294" s="258"/>
      <c r="AQ294" s="259"/>
      <c r="AR294" s="259"/>
      <c r="AS294" s="259"/>
      <c r="AT294" s="259"/>
      <c r="AU294" s="259"/>
      <c r="AV294" s="259"/>
      <c r="AW294" s="259"/>
    </row>
    <row r="295" spans="2:49" ht="15" customHeight="1" x14ac:dyDescent="0.25">
      <c r="B295" s="260"/>
      <c r="D295" s="262"/>
      <c r="E295" s="291"/>
      <c r="F295" s="293"/>
      <c r="G295" s="288"/>
      <c r="H295" s="265"/>
      <c r="I295" s="266"/>
      <c r="K295" s="268"/>
      <c r="L295" s="278"/>
      <c r="M295" s="274"/>
      <c r="N295" s="258"/>
      <c r="O295" s="258"/>
      <c r="P295" s="258"/>
      <c r="Q295" s="276"/>
      <c r="R295" s="272"/>
      <c r="S295" s="272"/>
      <c r="T295" s="272"/>
      <c r="U295" s="272"/>
      <c r="V295" s="272"/>
      <c r="W295" s="272"/>
      <c r="X295" s="272"/>
      <c r="Y295" s="272"/>
      <c r="Z295" s="258"/>
      <c r="AA295" s="258"/>
      <c r="AB295" s="258"/>
      <c r="AC295" s="258"/>
      <c r="AD295" s="258"/>
      <c r="AE295" s="258"/>
      <c r="AF295" s="258"/>
      <c r="AG295" s="258"/>
      <c r="AH295" s="258"/>
      <c r="AQ295" s="259"/>
      <c r="AR295" s="259"/>
      <c r="AS295" s="259"/>
      <c r="AT295" s="259"/>
      <c r="AU295" s="259"/>
      <c r="AV295" s="259"/>
      <c r="AW295" s="259"/>
    </row>
    <row r="296" spans="2:49" ht="15" customHeight="1" x14ac:dyDescent="0.25">
      <c r="B296" s="260"/>
      <c r="C296" s="290"/>
      <c r="D296" s="262"/>
      <c r="E296" s="291"/>
      <c r="F296" s="262"/>
      <c r="G296" s="289"/>
      <c r="H296" s="243"/>
      <c r="I296" s="266"/>
      <c r="K296" s="268"/>
      <c r="L296" s="278"/>
      <c r="M296" s="274"/>
      <c r="N296" s="258"/>
      <c r="O296" s="258"/>
      <c r="P296" s="258"/>
      <c r="Q296" s="276"/>
      <c r="R296" s="272"/>
      <c r="S296" s="272"/>
      <c r="T296" s="272"/>
      <c r="U296" s="272"/>
      <c r="V296" s="272"/>
      <c r="W296" s="272"/>
      <c r="X296" s="272"/>
      <c r="Y296" s="272"/>
      <c r="Z296" s="258"/>
      <c r="AA296" s="258"/>
      <c r="AB296" s="258"/>
      <c r="AC296" s="258"/>
      <c r="AD296" s="258"/>
      <c r="AE296" s="258"/>
      <c r="AF296" s="258"/>
      <c r="AG296" s="258"/>
      <c r="AH296" s="258"/>
      <c r="AQ296" s="259"/>
      <c r="AR296" s="259"/>
      <c r="AS296" s="259"/>
      <c r="AT296" s="259"/>
      <c r="AU296" s="259"/>
      <c r="AV296" s="259"/>
      <c r="AW296" s="259"/>
    </row>
    <row r="297" spans="2:49" ht="15" customHeight="1" x14ac:dyDescent="0.25">
      <c r="B297" s="260"/>
      <c r="D297" s="262"/>
      <c r="G297" s="289"/>
      <c r="H297" s="265"/>
      <c r="I297" s="266"/>
      <c r="K297" s="268"/>
      <c r="L297" s="278"/>
      <c r="M297" s="274"/>
      <c r="N297" s="258"/>
      <c r="O297" s="258"/>
      <c r="P297" s="258"/>
      <c r="Q297" s="276"/>
      <c r="W297" s="272"/>
      <c r="X297" s="272"/>
      <c r="Y297" s="272"/>
      <c r="Z297" s="258"/>
      <c r="AA297" s="258"/>
      <c r="AB297" s="258"/>
      <c r="AC297" s="258"/>
      <c r="AD297" s="258"/>
      <c r="AE297" s="258"/>
      <c r="AF297" s="258"/>
      <c r="AG297" s="258"/>
      <c r="AH297" s="258"/>
      <c r="AQ297" s="259"/>
      <c r="AR297" s="259"/>
      <c r="AS297" s="259"/>
      <c r="AT297" s="259"/>
      <c r="AU297" s="259"/>
      <c r="AV297" s="259"/>
      <c r="AW297" s="259"/>
    </row>
    <row r="298" spans="2:49" ht="15" customHeight="1" x14ac:dyDescent="0.25">
      <c r="B298" s="260"/>
      <c r="D298" s="262"/>
      <c r="E298" s="291"/>
      <c r="F298" s="293"/>
      <c r="G298" s="288"/>
      <c r="H298" s="265"/>
      <c r="I298" s="266"/>
      <c r="K298" s="268"/>
      <c r="L298" s="278"/>
      <c r="M298" s="274"/>
      <c r="N298" s="258"/>
      <c r="O298" s="258"/>
      <c r="P298" s="258"/>
      <c r="Q298" s="276"/>
      <c r="W298" s="272"/>
      <c r="X298" s="272"/>
      <c r="Y298" s="272"/>
      <c r="Z298" s="258"/>
      <c r="AA298" s="258"/>
      <c r="AB298" s="258"/>
      <c r="AC298" s="258"/>
      <c r="AD298" s="258"/>
      <c r="AE298" s="258"/>
      <c r="AF298" s="258"/>
      <c r="AG298" s="258"/>
      <c r="AH298" s="258"/>
      <c r="AQ298" s="259"/>
      <c r="AR298" s="259"/>
      <c r="AS298" s="259"/>
      <c r="AT298" s="259"/>
      <c r="AU298" s="259"/>
      <c r="AV298" s="259"/>
      <c r="AW298" s="259"/>
    </row>
    <row r="299" spans="2:49" ht="15" customHeight="1" x14ac:dyDescent="0.25">
      <c r="B299" s="260"/>
      <c r="D299" s="262"/>
      <c r="G299" s="288"/>
      <c r="H299" s="265"/>
      <c r="I299" s="266"/>
      <c r="K299" s="268"/>
      <c r="L299" s="278"/>
      <c r="M299" s="274"/>
      <c r="N299" s="258"/>
      <c r="O299" s="258"/>
      <c r="P299" s="258"/>
      <c r="Q299" s="276"/>
      <c r="W299" s="272"/>
      <c r="X299" s="272"/>
      <c r="Y299" s="272"/>
      <c r="Z299" s="258"/>
      <c r="AA299" s="258"/>
      <c r="AB299" s="258"/>
      <c r="AC299" s="258"/>
      <c r="AD299" s="258"/>
      <c r="AE299" s="258"/>
      <c r="AF299" s="258"/>
      <c r="AG299" s="258"/>
      <c r="AH299" s="258"/>
      <c r="AQ299" s="259"/>
      <c r="AR299" s="259"/>
      <c r="AS299" s="259"/>
      <c r="AT299" s="259"/>
      <c r="AU299" s="259"/>
      <c r="AV299" s="259"/>
      <c r="AW299" s="259"/>
    </row>
    <row r="300" spans="2:49" ht="15" customHeight="1" x14ac:dyDescent="0.25">
      <c r="B300" s="260"/>
      <c r="D300" s="262"/>
      <c r="G300" s="289"/>
      <c r="H300" s="265"/>
      <c r="I300" s="266"/>
      <c r="K300" s="268"/>
      <c r="L300" s="273"/>
      <c r="M300" s="274"/>
      <c r="N300" s="270"/>
      <c r="O300" s="270"/>
      <c r="P300" s="270"/>
      <c r="Q300" s="275"/>
      <c r="R300" s="272"/>
      <c r="S300" s="272"/>
      <c r="T300" s="272"/>
      <c r="U300" s="272"/>
      <c r="V300" s="272"/>
      <c r="W300" s="272"/>
      <c r="X300" s="272"/>
      <c r="Y300" s="272"/>
      <c r="Z300" s="258"/>
      <c r="AA300" s="258"/>
      <c r="AB300" s="258"/>
      <c r="AC300" s="258"/>
      <c r="AD300" s="258"/>
      <c r="AE300" s="258"/>
      <c r="AF300" s="258"/>
      <c r="AG300" s="258"/>
      <c r="AH300" s="258"/>
      <c r="AI300" s="258"/>
      <c r="AQ300" s="259"/>
      <c r="AR300" s="259"/>
      <c r="AS300" s="259"/>
      <c r="AT300" s="259"/>
      <c r="AU300" s="259"/>
      <c r="AV300" s="259"/>
      <c r="AW300" s="259"/>
    </row>
    <row r="301" spans="2:49" ht="15" customHeight="1" x14ac:dyDescent="0.25">
      <c r="B301" s="260"/>
      <c r="D301" s="262"/>
      <c r="G301" s="288"/>
      <c r="H301" s="265"/>
      <c r="I301" s="266"/>
      <c r="K301" s="268"/>
      <c r="L301" s="273"/>
      <c r="M301" s="274"/>
      <c r="N301" s="258"/>
      <c r="O301" s="258"/>
      <c r="P301" s="258"/>
      <c r="Q301" s="276"/>
      <c r="R301" s="272"/>
      <c r="S301" s="272"/>
      <c r="T301" s="272"/>
      <c r="U301" s="272"/>
      <c r="V301" s="272"/>
      <c r="W301" s="272"/>
      <c r="X301" s="272"/>
      <c r="Y301" s="272"/>
      <c r="Z301" s="258"/>
      <c r="AA301" s="258"/>
      <c r="AB301" s="258"/>
      <c r="AC301" s="258"/>
      <c r="AD301" s="258"/>
      <c r="AE301" s="258"/>
      <c r="AF301" s="258"/>
      <c r="AG301" s="258"/>
      <c r="AH301" s="258"/>
      <c r="AI301" s="258"/>
      <c r="AQ301" s="259"/>
      <c r="AR301" s="259"/>
      <c r="AS301" s="259"/>
      <c r="AT301" s="259"/>
      <c r="AU301" s="259"/>
      <c r="AV301" s="259"/>
      <c r="AW301" s="259"/>
    </row>
    <row r="302" spans="2:49" ht="15" customHeight="1" x14ac:dyDescent="0.25">
      <c r="B302" s="260"/>
      <c r="D302" s="262"/>
      <c r="G302" s="289"/>
      <c r="H302" s="265"/>
      <c r="I302" s="266"/>
      <c r="K302" s="268"/>
      <c r="L302" s="273"/>
      <c r="M302" s="274"/>
      <c r="N302" s="258"/>
      <c r="O302" s="258"/>
      <c r="P302" s="258"/>
      <c r="Q302" s="276"/>
      <c r="R302" s="272"/>
      <c r="S302" s="272"/>
      <c r="T302" s="272"/>
      <c r="U302" s="272"/>
      <c r="V302" s="272"/>
      <c r="W302" s="272"/>
      <c r="X302" s="272"/>
      <c r="Y302" s="272"/>
      <c r="Z302" s="258"/>
      <c r="AA302" s="258"/>
      <c r="AB302" s="258"/>
      <c r="AC302" s="258"/>
      <c r="AD302" s="258"/>
      <c r="AE302" s="258"/>
      <c r="AF302" s="258"/>
      <c r="AG302" s="258"/>
      <c r="AH302" s="270"/>
      <c r="AI302" s="270"/>
      <c r="AQ302" s="259"/>
      <c r="AR302" s="259"/>
      <c r="AS302" s="259"/>
      <c r="AT302" s="259"/>
      <c r="AU302" s="259"/>
      <c r="AV302" s="259"/>
      <c r="AW302" s="259"/>
    </row>
    <row r="303" spans="2:49" ht="15" customHeight="1" x14ac:dyDescent="0.25">
      <c r="B303" s="260"/>
      <c r="D303" s="262"/>
      <c r="G303" s="289"/>
      <c r="H303" s="265"/>
      <c r="I303" s="266"/>
      <c r="K303" s="268"/>
      <c r="L303" s="273"/>
      <c r="M303" s="277"/>
      <c r="N303" s="258"/>
      <c r="O303" s="258"/>
      <c r="P303" s="258"/>
      <c r="Q303" s="276"/>
      <c r="R303" s="272"/>
      <c r="S303" s="272"/>
      <c r="T303" s="272"/>
      <c r="U303" s="272"/>
      <c r="V303" s="272"/>
      <c r="W303" s="272"/>
      <c r="X303" s="272"/>
      <c r="Y303" s="272"/>
      <c r="Z303" s="258"/>
      <c r="AA303" s="258"/>
      <c r="AB303" s="258"/>
      <c r="AC303" s="258"/>
      <c r="AD303" s="258"/>
      <c r="AE303" s="258"/>
      <c r="AF303" s="258"/>
      <c r="AG303" s="258"/>
      <c r="AH303" s="270"/>
      <c r="AI303" s="270"/>
      <c r="AQ303" s="259"/>
      <c r="AR303" s="259"/>
      <c r="AS303" s="259"/>
      <c r="AT303" s="259"/>
      <c r="AU303" s="259"/>
      <c r="AV303" s="259"/>
      <c r="AW303" s="259"/>
    </row>
    <row r="304" spans="2:49" ht="15" customHeight="1" x14ac:dyDescent="0.25">
      <c r="B304" s="260"/>
      <c r="D304" s="262"/>
      <c r="G304" s="288"/>
      <c r="H304" s="265"/>
      <c r="I304" s="266"/>
      <c r="K304" s="268"/>
      <c r="L304" s="278"/>
      <c r="M304" s="274"/>
      <c r="N304" s="258"/>
      <c r="O304" s="258"/>
      <c r="P304" s="258"/>
      <c r="Q304" s="276"/>
      <c r="R304" s="272"/>
      <c r="S304" s="272"/>
      <c r="T304" s="272"/>
      <c r="U304" s="272"/>
      <c r="V304" s="272"/>
      <c r="W304" s="272"/>
      <c r="X304" s="272"/>
      <c r="Y304" s="272"/>
      <c r="Z304" s="258"/>
      <c r="AA304" s="258"/>
      <c r="AB304" s="258"/>
      <c r="AC304" s="258"/>
      <c r="AD304" s="258"/>
      <c r="AE304" s="258"/>
      <c r="AF304" s="258"/>
      <c r="AG304" s="258"/>
      <c r="AH304" s="270"/>
      <c r="AI304" s="270"/>
      <c r="AQ304" s="259"/>
      <c r="AR304" s="259"/>
      <c r="AS304" s="259"/>
      <c r="AT304" s="259"/>
      <c r="AU304" s="259"/>
      <c r="AV304" s="259"/>
      <c r="AW304" s="259"/>
    </row>
    <row r="305" spans="2:49" ht="15" customHeight="1" x14ac:dyDescent="0.25">
      <c r="B305" s="260"/>
      <c r="D305" s="262"/>
      <c r="G305" s="288"/>
      <c r="H305" s="265"/>
      <c r="I305" s="266"/>
      <c r="K305" s="268"/>
      <c r="L305" s="278"/>
      <c r="M305" s="274"/>
      <c r="N305" s="258"/>
      <c r="O305" s="258"/>
      <c r="P305" s="258"/>
      <c r="Q305" s="276"/>
      <c r="R305" s="272"/>
      <c r="S305" s="272"/>
      <c r="T305" s="272"/>
      <c r="U305" s="272"/>
      <c r="V305" s="272"/>
      <c r="W305" s="272"/>
      <c r="X305" s="272"/>
      <c r="Y305" s="272"/>
      <c r="Z305" s="258"/>
      <c r="AA305" s="258"/>
      <c r="AB305" s="258"/>
      <c r="AC305" s="258"/>
      <c r="AD305" s="258"/>
      <c r="AE305" s="258"/>
      <c r="AF305" s="258"/>
      <c r="AG305" s="258"/>
      <c r="AH305" s="258"/>
      <c r="AQ305" s="259"/>
      <c r="AR305" s="259"/>
      <c r="AS305" s="259"/>
      <c r="AT305" s="259"/>
      <c r="AU305" s="259"/>
      <c r="AV305" s="259"/>
      <c r="AW305" s="259"/>
    </row>
    <row r="306" spans="2:49" ht="15" customHeight="1" x14ac:dyDescent="0.25">
      <c r="B306" s="260"/>
      <c r="D306" s="262"/>
      <c r="G306" s="288"/>
      <c r="H306" s="265"/>
      <c r="I306" s="266"/>
      <c r="K306" s="268"/>
      <c r="L306" s="278"/>
      <c r="M306" s="274"/>
      <c r="N306" s="258"/>
      <c r="O306" s="258"/>
      <c r="P306" s="258"/>
      <c r="Q306" s="276"/>
      <c r="R306" s="272"/>
      <c r="S306" s="272"/>
      <c r="T306" s="272"/>
      <c r="U306" s="272"/>
      <c r="V306" s="272"/>
      <c r="W306" s="272"/>
      <c r="X306" s="272"/>
      <c r="Y306" s="272"/>
      <c r="Z306" s="258"/>
      <c r="AA306" s="258"/>
      <c r="AB306" s="258"/>
      <c r="AC306" s="258"/>
      <c r="AD306" s="258"/>
      <c r="AE306" s="258"/>
      <c r="AF306" s="258"/>
      <c r="AG306" s="258"/>
      <c r="AH306" s="258"/>
      <c r="AQ306" s="259"/>
      <c r="AR306" s="259"/>
      <c r="AS306" s="259"/>
      <c r="AT306" s="259"/>
      <c r="AU306" s="259"/>
      <c r="AV306" s="259"/>
      <c r="AW306" s="259"/>
    </row>
    <row r="307" spans="2:49" ht="15" customHeight="1" x14ac:dyDescent="0.25">
      <c r="B307" s="260"/>
      <c r="D307" s="262"/>
      <c r="E307" s="291"/>
      <c r="F307" s="293"/>
      <c r="G307" s="288"/>
      <c r="H307" s="265"/>
      <c r="I307" s="266"/>
      <c r="K307" s="268"/>
      <c r="L307" s="278"/>
      <c r="M307" s="274"/>
      <c r="N307" s="258"/>
      <c r="O307" s="258"/>
      <c r="P307" s="258"/>
      <c r="Q307" s="276"/>
      <c r="R307" s="272"/>
      <c r="S307" s="272"/>
      <c r="T307" s="272"/>
      <c r="U307" s="272"/>
      <c r="V307" s="272"/>
      <c r="W307" s="272"/>
      <c r="X307" s="272"/>
      <c r="Y307" s="272"/>
      <c r="Z307" s="258"/>
      <c r="AA307" s="258"/>
      <c r="AB307" s="258"/>
      <c r="AC307" s="258"/>
      <c r="AD307" s="258"/>
      <c r="AE307" s="258"/>
      <c r="AF307" s="258"/>
      <c r="AG307" s="258"/>
      <c r="AH307" s="258"/>
      <c r="AQ307" s="259"/>
      <c r="AR307" s="259"/>
      <c r="AS307" s="259"/>
      <c r="AT307" s="259"/>
      <c r="AU307" s="259"/>
      <c r="AV307" s="259"/>
      <c r="AW307" s="259"/>
    </row>
    <row r="308" spans="2:49" ht="15" customHeight="1" x14ac:dyDescent="0.25">
      <c r="B308" s="260"/>
      <c r="D308" s="262"/>
      <c r="G308" s="288"/>
      <c r="H308" s="265"/>
      <c r="I308" s="266"/>
      <c r="K308" s="268"/>
      <c r="L308" s="278"/>
      <c r="M308" s="274"/>
      <c r="N308" s="258"/>
      <c r="O308" s="258"/>
      <c r="P308" s="258"/>
      <c r="Q308" s="276"/>
      <c r="R308" s="272"/>
      <c r="S308" s="272"/>
      <c r="T308" s="272"/>
      <c r="U308" s="272"/>
      <c r="V308" s="272"/>
      <c r="W308" s="272"/>
      <c r="X308" s="272"/>
      <c r="Y308" s="272"/>
      <c r="Z308" s="258"/>
      <c r="AA308" s="258"/>
      <c r="AB308" s="258"/>
      <c r="AC308" s="258"/>
      <c r="AD308" s="258"/>
      <c r="AE308" s="258"/>
      <c r="AF308" s="258"/>
      <c r="AG308" s="258"/>
      <c r="AH308" s="258"/>
      <c r="AQ308" s="259"/>
      <c r="AR308" s="259"/>
      <c r="AS308" s="259"/>
      <c r="AT308" s="259"/>
      <c r="AU308" s="259"/>
      <c r="AV308" s="259"/>
      <c r="AW308" s="259"/>
    </row>
    <row r="309" spans="2:49" ht="15" customHeight="1" x14ac:dyDescent="0.25">
      <c r="B309" s="260"/>
      <c r="D309" s="262"/>
      <c r="G309" s="288"/>
      <c r="H309" s="265"/>
      <c r="I309" s="266"/>
      <c r="K309" s="268"/>
      <c r="L309" s="278"/>
      <c r="M309" s="274"/>
      <c r="N309" s="258"/>
      <c r="O309" s="258"/>
      <c r="P309" s="258"/>
      <c r="Q309" s="276"/>
      <c r="W309" s="272"/>
      <c r="X309" s="272"/>
      <c r="Y309" s="272"/>
      <c r="Z309" s="258"/>
      <c r="AA309" s="258"/>
      <c r="AB309" s="258"/>
      <c r="AC309" s="258"/>
      <c r="AD309" s="258"/>
      <c r="AE309" s="258"/>
      <c r="AF309" s="258"/>
      <c r="AG309" s="258"/>
      <c r="AH309" s="258"/>
      <c r="AQ309" s="259"/>
      <c r="AR309" s="259"/>
      <c r="AS309" s="259"/>
      <c r="AT309" s="259"/>
      <c r="AU309" s="259"/>
      <c r="AV309" s="259"/>
      <c r="AW309" s="259"/>
    </row>
    <row r="310" spans="2:49" ht="15" customHeight="1" x14ac:dyDescent="0.25">
      <c r="B310" s="260"/>
      <c r="D310" s="262"/>
      <c r="G310" s="288"/>
      <c r="H310" s="265"/>
      <c r="I310" s="266"/>
      <c r="K310" s="268"/>
      <c r="L310" s="278"/>
      <c r="M310" s="274"/>
      <c r="N310" s="258"/>
      <c r="O310" s="258"/>
      <c r="P310" s="258"/>
      <c r="Q310" s="276"/>
      <c r="W310" s="272"/>
      <c r="X310" s="272"/>
      <c r="Y310" s="272"/>
      <c r="Z310" s="258"/>
      <c r="AA310" s="258"/>
      <c r="AB310" s="258"/>
      <c r="AC310" s="258"/>
      <c r="AD310" s="258"/>
      <c r="AE310" s="258"/>
      <c r="AF310" s="258"/>
      <c r="AG310" s="258"/>
      <c r="AH310" s="258"/>
      <c r="AQ310" s="259"/>
      <c r="AR310" s="259"/>
      <c r="AS310" s="259"/>
      <c r="AT310" s="259"/>
      <c r="AU310" s="259"/>
      <c r="AV310" s="259"/>
      <c r="AW310" s="259"/>
    </row>
    <row r="311" spans="2:49" ht="15" customHeight="1" x14ac:dyDescent="0.25">
      <c r="B311" s="260"/>
      <c r="D311" s="262"/>
      <c r="G311" s="289"/>
      <c r="H311" s="265"/>
      <c r="I311" s="266"/>
      <c r="K311" s="268"/>
      <c r="L311" s="278"/>
      <c r="M311" s="274"/>
      <c r="N311" s="258"/>
      <c r="O311" s="258"/>
      <c r="P311" s="258"/>
      <c r="Q311" s="276"/>
      <c r="W311" s="272"/>
      <c r="X311" s="272"/>
      <c r="Y311" s="272"/>
      <c r="Z311" s="258"/>
      <c r="AA311" s="258"/>
      <c r="AB311" s="258"/>
      <c r="AC311" s="258"/>
      <c r="AD311" s="258"/>
      <c r="AE311" s="258"/>
      <c r="AF311" s="258"/>
      <c r="AG311" s="258"/>
      <c r="AH311" s="258"/>
      <c r="AQ311" s="259"/>
      <c r="AR311" s="259"/>
      <c r="AS311" s="259"/>
      <c r="AT311" s="259"/>
      <c r="AU311" s="259"/>
      <c r="AV311" s="259"/>
      <c r="AW311" s="259"/>
    </row>
    <row r="312" spans="2:49" ht="15" customHeight="1" x14ac:dyDescent="0.25">
      <c r="B312" s="260"/>
      <c r="D312" s="262"/>
      <c r="G312" s="288"/>
      <c r="H312" s="265"/>
      <c r="I312" s="266"/>
      <c r="K312" s="268"/>
      <c r="L312" s="273"/>
      <c r="M312" s="274"/>
      <c r="N312" s="270"/>
      <c r="O312" s="270"/>
      <c r="P312" s="270"/>
      <c r="Q312" s="275"/>
      <c r="R312" s="272"/>
      <c r="S312" s="272"/>
      <c r="T312" s="272"/>
      <c r="U312" s="272"/>
      <c r="V312" s="272"/>
      <c r="W312" s="272"/>
      <c r="X312" s="272"/>
      <c r="Y312" s="272"/>
      <c r="Z312" s="258"/>
      <c r="AA312" s="258"/>
      <c r="AB312" s="258"/>
      <c r="AC312" s="258"/>
      <c r="AD312" s="258"/>
      <c r="AE312" s="258"/>
      <c r="AF312" s="258"/>
      <c r="AG312" s="258"/>
      <c r="AH312" s="258"/>
      <c r="AI312" s="258"/>
      <c r="AQ312" s="259"/>
      <c r="AR312" s="259"/>
      <c r="AS312" s="259"/>
      <c r="AT312" s="259"/>
      <c r="AU312" s="259"/>
      <c r="AV312" s="259"/>
      <c r="AW312" s="259"/>
    </row>
    <row r="313" spans="2:49" ht="15" customHeight="1" x14ac:dyDescent="0.25">
      <c r="B313" s="260"/>
      <c r="D313" s="262"/>
      <c r="G313" s="288"/>
      <c r="H313" s="265"/>
      <c r="I313" s="266"/>
      <c r="K313" s="268"/>
      <c r="L313" s="273"/>
      <c r="M313" s="274"/>
      <c r="N313" s="258"/>
      <c r="O313" s="258"/>
      <c r="P313" s="258"/>
      <c r="Q313" s="276"/>
      <c r="R313" s="272"/>
      <c r="S313" s="272"/>
      <c r="T313" s="272"/>
      <c r="U313" s="272"/>
      <c r="V313" s="272"/>
      <c r="W313" s="272"/>
      <c r="X313" s="272"/>
      <c r="Y313" s="272"/>
      <c r="Z313" s="258"/>
      <c r="AA313" s="258"/>
      <c r="AB313" s="258"/>
      <c r="AC313" s="258"/>
      <c r="AD313" s="258"/>
      <c r="AE313" s="258"/>
      <c r="AF313" s="258"/>
      <c r="AG313" s="258"/>
      <c r="AH313" s="258"/>
      <c r="AI313" s="258"/>
      <c r="AQ313" s="259"/>
      <c r="AR313" s="259"/>
      <c r="AS313" s="259"/>
      <c r="AT313" s="259"/>
      <c r="AU313" s="259"/>
      <c r="AV313" s="259"/>
      <c r="AW313" s="259"/>
    </row>
    <row r="314" spans="2:49" ht="15" customHeight="1" x14ac:dyDescent="0.25">
      <c r="B314" s="260"/>
      <c r="D314" s="262"/>
      <c r="G314" s="288"/>
      <c r="H314" s="265"/>
      <c r="I314" s="266"/>
      <c r="K314" s="268"/>
      <c r="L314" s="273"/>
      <c r="M314" s="274"/>
      <c r="N314" s="258"/>
      <c r="O314" s="258"/>
      <c r="P314" s="258"/>
      <c r="Q314" s="276"/>
      <c r="R314" s="272"/>
      <c r="S314" s="272"/>
      <c r="T314" s="272"/>
      <c r="U314" s="272"/>
      <c r="V314" s="272"/>
      <c r="W314" s="272"/>
      <c r="X314" s="272"/>
      <c r="Y314" s="272"/>
      <c r="Z314" s="258"/>
      <c r="AA314" s="258"/>
      <c r="AB314" s="258"/>
      <c r="AC314" s="258"/>
      <c r="AD314" s="258"/>
      <c r="AE314" s="258"/>
      <c r="AF314" s="258"/>
      <c r="AG314" s="258"/>
      <c r="AH314" s="270"/>
      <c r="AI314" s="270"/>
      <c r="AQ314" s="259"/>
      <c r="AR314" s="259"/>
      <c r="AS314" s="259"/>
      <c r="AT314" s="259"/>
      <c r="AU314" s="259"/>
      <c r="AV314" s="259"/>
      <c r="AW314" s="259"/>
    </row>
    <row r="315" spans="2:49" ht="15" customHeight="1" x14ac:dyDescent="0.25">
      <c r="B315" s="260"/>
      <c r="D315" s="262"/>
      <c r="G315" s="288"/>
      <c r="H315" s="265"/>
      <c r="I315" s="266"/>
      <c r="K315" s="268"/>
      <c r="L315" s="273"/>
      <c r="M315" s="277"/>
      <c r="N315" s="258"/>
      <c r="O315" s="258"/>
      <c r="P315" s="258"/>
      <c r="Q315" s="276"/>
      <c r="R315" s="272"/>
      <c r="S315" s="272"/>
      <c r="T315" s="272"/>
      <c r="U315" s="272"/>
      <c r="V315" s="272"/>
      <c r="W315" s="272"/>
      <c r="X315" s="272"/>
      <c r="Y315" s="272"/>
      <c r="Z315" s="258"/>
      <c r="AA315" s="258"/>
      <c r="AB315" s="258"/>
      <c r="AC315" s="258"/>
      <c r="AD315" s="258"/>
      <c r="AE315" s="258"/>
      <c r="AF315" s="258"/>
      <c r="AG315" s="258"/>
      <c r="AH315" s="270"/>
      <c r="AI315" s="270"/>
      <c r="AQ315" s="259"/>
      <c r="AR315" s="259"/>
      <c r="AS315" s="259"/>
      <c r="AT315" s="259"/>
      <c r="AU315" s="259"/>
      <c r="AV315" s="259"/>
      <c r="AW315" s="259"/>
    </row>
    <row r="316" spans="2:49" ht="15" customHeight="1" x14ac:dyDescent="0.25">
      <c r="B316" s="260"/>
      <c r="D316" s="262"/>
      <c r="G316" s="288"/>
      <c r="H316" s="265"/>
      <c r="I316" s="266"/>
      <c r="K316" s="268"/>
      <c r="L316" s="278"/>
      <c r="M316" s="274"/>
      <c r="N316" s="258"/>
      <c r="O316" s="258"/>
      <c r="P316" s="258"/>
      <c r="Q316" s="276"/>
      <c r="R316" s="272"/>
      <c r="S316" s="272"/>
      <c r="T316" s="272"/>
      <c r="U316" s="272"/>
      <c r="V316" s="272"/>
      <c r="W316" s="272"/>
      <c r="X316" s="272"/>
      <c r="Y316" s="272"/>
      <c r="Z316" s="258"/>
      <c r="AA316" s="258"/>
      <c r="AB316" s="258"/>
      <c r="AC316" s="258"/>
      <c r="AD316" s="258"/>
      <c r="AE316" s="258"/>
      <c r="AF316" s="258"/>
      <c r="AG316" s="258"/>
      <c r="AH316" s="270"/>
      <c r="AI316" s="270"/>
      <c r="AQ316" s="259"/>
      <c r="AR316" s="259"/>
      <c r="AS316" s="259"/>
      <c r="AT316" s="259"/>
      <c r="AU316" s="259"/>
      <c r="AV316" s="259"/>
      <c r="AW316" s="259"/>
    </row>
    <row r="317" spans="2:49" ht="15" customHeight="1" x14ac:dyDescent="0.25">
      <c r="B317" s="260"/>
      <c r="D317" s="262"/>
      <c r="G317" s="288"/>
      <c r="H317" s="265"/>
      <c r="I317" s="266"/>
      <c r="K317" s="268"/>
      <c r="L317" s="278"/>
      <c r="M317" s="274"/>
      <c r="N317" s="258"/>
      <c r="O317" s="258"/>
      <c r="P317" s="258"/>
      <c r="Q317" s="276"/>
      <c r="R317" s="272"/>
      <c r="S317" s="272"/>
      <c r="T317" s="272"/>
      <c r="U317" s="272"/>
      <c r="V317" s="272"/>
      <c r="W317" s="272"/>
      <c r="X317" s="272"/>
      <c r="Y317" s="272"/>
      <c r="Z317" s="258"/>
      <c r="AA317" s="258"/>
      <c r="AB317" s="258"/>
      <c r="AC317" s="258"/>
      <c r="AD317" s="258"/>
      <c r="AE317" s="258"/>
      <c r="AF317" s="258"/>
      <c r="AG317" s="258"/>
      <c r="AH317" s="258"/>
      <c r="AQ317" s="259"/>
      <c r="AR317" s="259"/>
      <c r="AS317" s="259"/>
      <c r="AT317" s="259"/>
      <c r="AU317" s="259"/>
      <c r="AV317" s="259"/>
      <c r="AW317" s="259"/>
    </row>
    <row r="318" spans="2:49" ht="15" customHeight="1" x14ac:dyDescent="0.25">
      <c r="B318" s="260"/>
      <c r="D318" s="262"/>
      <c r="G318" s="289"/>
      <c r="H318" s="265"/>
      <c r="I318" s="266"/>
      <c r="K318" s="268"/>
      <c r="L318" s="278"/>
      <c r="M318" s="274"/>
      <c r="N318" s="258"/>
      <c r="O318" s="258"/>
      <c r="P318" s="258"/>
      <c r="Q318" s="276"/>
      <c r="R318" s="272"/>
      <c r="S318" s="272"/>
      <c r="T318" s="272"/>
      <c r="U318" s="272"/>
      <c r="V318" s="272"/>
      <c r="W318" s="272"/>
      <c r="X318" s="272"/>
      <c r="Y318" s="272"/>
      <c r="Z318" s="258"/>
      <c r="AA318" s="258"/>
      <c r="AB318" s="258"/>
      <c r="AC318" s="258"/>
      <c r="AD318" s="258"/>
      <c r="AE318" s="258"/>
      <c r="AF318" s="258"/>
      <c r="AG318" s="258"/>
      <c r="AH318" s="258"/>
      <c r="AQ318" s="259"/>
      <c r="AR318" s="259"/>
      <c r="AS318" s="259"/>
      <c r="AT318" s="259"/>
      <c r="AU318" s="259"/>
      <c r="AV318" s="259"/>
      <c r="AW318" s="259"/>
    </row>
    <row r="319" spans="2:49" ht="15" customHeight="1" x14ac:dyDescent="0.25">
      <c r="B319" s="260"/>
      <c r="D319" s="262"/>
      <c r="G319" s="289"/>
      <c r="H319" s="265"/>
      <c r="I319" s="266"/>
      <c r="K319" s="268"/>
      <c r="L319" s="278"/>
      <c r="M319" s="274"/>
      <c r="N319" s="258"/>
      <c r="O319" s="258"/>
      <c r="P319" s="258"/>
      <c r="Q319" s="276"/>
      <c r="R319" s="272"/>
      <c r="S319" s="272"/>
      <c r="T319" s="272"/>
      <c r="U319" s="272"/>
      <c r="V319" s="272"/>
      <c r="W319" s="272"/>
      <c r="X319" s="272"/>
      <c r="Y319" s="272"/>
      <c r="Z319" s="258"/>
      <c r="AA319" s="258"/>
      <c r="AB319" s="258"/>
      <c r="AC319" s="258"/>
      <c r="AD319" s="258"/>
      <c r="AE319" s="258"/>
      <c r="AF319" s="258"/>
      <c r="AG319" s="258"/>
      <c r="AH319" s="258"/>
      <c r="AQ319" s="259"/>
      <c r="AR319" s="259"/>
      <c r="AS319" s="259"/>
      <c r="AT319" s="259"/>
      <c r="AU319" s="259"/>
      <c r="AV319" s="259"/>
      <c r="AW319" s="259"/>
    </row>
    <row r="320" spans="2:49" ht="15" customHeight="1" x14ac:dyDescent="0.25">
      <c r="B320" s="260"/>
      <c r="D320" s="262"/>
      <c r="G320" s="289"/>
      <c r="H320" s="265"/>
      <c r="I320" s="266"/>
      <c r="K320" s="268"/>
      <c r="L320" s="278"/>
      <c r="M320" s="274"/>
      <c r="N320" s="258"/>
      <c r="O320" s="258"/>
      <c r="P320" s="258"/>
      <c r="Q320" s="276"/>
      <c r="R320" s="272"/>
      <c r="S320" s="272"/>
      <c r="T320" s="272"/>
      <c r="U320" s="272"/>
      <c r="V320" s="272"/>
      <c r="W320" s="272"/>
      <c r="X320" s="272"/>
      <c r="Y320" s="272"/>
      <c r="Z320" s="258"/>
      <c r="AA320" s="258"/>
      <c r="AB320" s="258"/>
      <c r="AC320" s="258"/>
      <c r="AD320" s="258"/>
      <c r="AE320" s="258"/>
      <c r="AF320" s="258"/>
      <c r="AG320" s="258"/>
      <c r="AH320" s="258"/>
      <c r="AQ320" s="259"/>
      <c r="AR320" s="259"/>
      <c r="AS320" s="259"/>
      <c r="AT320" s="259"/>
      <c r="AU320" s="259"/>
      <c r="AV320" s="259"/>
      <c r="AW320" s="259"/>
    </row>
    <row r="321" spans="2:49" ht="15" customHeight="1" x14ac:dyDescent="0.25">
      <c r="B321" s="260"/>
      <c r="D321" s="262"/>
      <c r="G321" s="289"/>
      <c r="H321" s="265"/>
      <c r="I321" s="266"/>
      <c r="K321" s="268"/>
      <c r="L321" s="278"/>
      <c r="M321" s="274"/>
      <c r="N321" s="258"/>
      <c r="O321" s="258"/>
      <c r="P321" s="258"/>
      <c r="Q321" s="276"/>
      <c r="W321" s="272"/>
      <c r="X321" s="272"/>
      <c r="Y321" s="272"/>
      <c r="Z321" s="258"/>
      <c r="AA321" s="258"/>
      <c r="AB321" s="258"/>
      <c r="AC321" s="258"/>
      <c r="AD321" s="258"/>
      <c r="AE321" s="258"/>
      <c r="AF321" s="258"/>
      <c r="AG321" s="258"/>
      <c r="AH321" s="258"/>
      <c r="AQ321" s="259"/>
      <c r="AR321" s="259"/>
      <c r="AS321" s="259"/>
      <c r="AT321" s="259"/>
      <c r="AU321" s="259"/>
      <c r="AV321" s="259"/>
      <c r="AW321" s="259"/>
    </row>
    <row r="322" spans="2:49" ht="15" customHeight="1" x14ac:dyDescent="0.25">
      <c r="B322" s="260"/>
      <c r="D322" s="262"/>
      <c r="G322" s="289"/>
      <c r="H322" s="265"/>
      <c r="I322" s="266"/>
      <c r="K322" s="268"/>
      <c r="L322" s="278"/>
      <c r="M322" s="274"/>
      <c r="N322" s="258"/>
      <c r="O322" s="258"/>
      <c r="P322" s="258"/>
      <c r="Q322" s="276"/>
      <c r="W322" s="272"/>
      <c r="X322" s="272"/>
      <c r="Y322" s="272"/>
      <c r="Z322" s="258"/>
      <c r="AA322" s="258"/>
      <c r="AB322" s="258"/>
      <c r="AC322" s="258"/>
      <c r="AD322" s="258"/>
      <c r="AE322" s="258"/>
      <c r="AF322" s="258"/>
      <c r="AG322" s="258"/>
      <c r="AH322" s="258"/>
      <c r="AQ322" s="259"/>
      <c r="AR322" s="259"/>
      <c r="AS322" s="259"/>
      <c r="AT322" s="259"/>
      <c r="AU322" s="259"/>
      <c r="AV322" s="259"/>
      <c r="AW322" s="259"/>
    </row>
    <row r="323" spans="2:49" ht="15" customHeight="1" x14ac:dyDescent="0.25">
      <c r="B323" s="260"/>
      <c r="D323" s="262"/>
      <c r="G323" s="289"/>
      <c r="H323" s="265"/>
      <c r="I323" s="266"/>
      <c r="K323" s="268"/>
      <c r="L323" s="278"/>
      <c r="M323" s="274"/>
      <c r="N323" s="258"/>
      <c r="O323" s="258"/>
      <c r="P323" s="258"/>
      <c r="Q323" s="276"/>
      <c r="W323" s="272"/>
      <c r="X323" s="272"/>
      <c r="Y323" s="272"/>
      <c r="Z323" s="258"/>
      <c r="AA323" s="258"/>
      <c r="AB323" s="258"/>
      <c r="AC323" s="258"/>
      <c r="AD323" s="258"/>
      <c r="AE323" s="258"/>
      <c r="AF323" s="258"/>
      <c r="AG323" s="258"/>
      <c r="AH323" s="258"/>
      <c r="AQ323" s="259"/>
      <c r="AR323" s="259"/>
      <c r="AS323" s="259"/>
      <c r="AT323" s="259"/>
      <c r="AU323" s="259"/>
      <c r="AV323" s="259"/>
      <c r="AW323" s="259"/>
    </row>
    <row r="324" spans="2:49" ht="15" customHeight="1" x14ac:dyDescent="0.25">
      <c r="B324" s="260"/>
      <c r="D324" s="262"/>
      <c r="G324" s="288"/>
      <c r="H324" s="265"/>
      <c r="I324" s="266"/>
      <c r="K324" s="268"/>
      <c r="L324" s="273"/>
      <c r="M324" s="274"/>
      <c r="N324" s="270"/>
      <c r="O324" s="270"/>
      <c r="P324" s="270"/>
      <c r="Q324" s="275"/>
      <c r="R324" s="272"/>
      <c r="S324" s="272"/>
      <c r="T324" s="272"/>
      <c r="U324" s="272"/>
      <c r="V324" s="272"/>
      <c r="W324" s="272"/>
      <c r="X324" s="272"/>
      <c r="Y324" s="272"/>
      <c r="Z324" s="258"/>
      <c r="AA324" s="258"/>
      <c r="AB324" s="258"/>
      <c r="AC324" s="258"/>
      <c r="AD324" s="258"/>
      <c r="AE324" s="258"/>
      <c r="AF324" s="258"/>
      <c r="AG324" s="258"/>
      <c r="AH324" s="258"/>
      <c r="AI324" s="258"/>
      <c r="AQ324" s="259"/>
      <c r="AR324" s="259"/>
      <c r="AS324" s="259"/>
      <c r="AT324" s="259"/>
      <c r="AU324" s="259"/>
      <c r="AV324" s="259"/>
      <c r="AW324" s="259"/>
    </row>
    <row r="325" spans="2:49" ht="15" customHeight="1" x14ac:dyDescent="0.25">
      <c r="B325" s="260"/>
      <c r="D325" s="262"/>
      <c r="G325" s="289"/>
      <c r="H325" s="265"/>
      <c r="I325" s="266"/>
      <c r="K325" s="268"/>
      <c r="L325" s="273"/>
      <c r="M325" s="274"/>
      <c r="N325" s="258"/>
      <c r="O325" s="258"/>
      <c r="P325" s="258"/>
      <c r="Q325" s="276"/>
      <c r="R325" s="272"/>
      <c r="S325" s="272"/>
      <c r="T325" s="272"/>
      <c r="U325" s="272"/>
      <c r="V325" s="272"/>
      <c r="W325" s="272"/>
      <c r="X325" s="272"/>
      <c r="Y325" s="272"/>
      <c r="Z325" s="258"/>
      <c r="AA325" s="258"/>
      <c r="AB325" s="258"/>
      <c r="AC325" s="258"/>
      <c r="AD325" s="258"/>
      <c r="AE325" s="258"/>
      <c r="AF325" s="258"/>
      <c r="AG325" s="258"/>
      <c r="AH325" s="258"/>
      <c r="AI325" s="258"/>
      <c r="AQ325" s="259"/>
      <c r="AR325" s="259"/>
      <c r="AS325" s="259"/>
      <c r="AT325" s="259"/>
      <c r="AU325" s="259"/>
      <c r="AV325" s="259"/>
      <c r="AW325" s="259"/>
    </row>
    <row r="326" spans="2:49" ht="15" customHeight="1" x14ac:dyDescent="0.25">
      <c r="B326" s="260"/>
      <c r="D326" s="262"/>
      <c r="G326" s="289"/>
      <c r="H326" s="265"/>
      <c r="I326" s="266"/>
      <c r="K326" s="268"/>
      <c r="L326" s="273"/>
      <c r="M326" s="274"/>
      <c r="N326" s="258"/>
      <c r="O326" s="258"/>
      <c r="P326" s="258"/>
      <c r="Q326" s="276"/>
      <c r="R326" s="272"/>
      <c r="S326" s="272"/>
      <c r="T326" s="272"/>
      <c r="U326" s="272"/>
      <c r="V326" s="272"/>
      <c r="W326" s="272"/>
      <c r="X326" s="272"/>
      <c r="Y326" s="272"/>
      <c r="Z326" s="258"/>
      <c r="AA326" s="258"/>
      <c r="AB326" s="258"/>
      <c r="AC326" s="258"/>
      <c r="AD326" s="258"/>
      <c r="AE326" s="258"/>
      <c r="AF326" s="258"/>
      <c r="AG326" s="258"/>
      <c r="AH326" s="270"/>
      <c r="AI326" s="270"/>
      <c r="AQ326" s="259"/>
      <c r="AR326" s="259"/>
      <c r="AS326" s="259"/>
      <c r="AT326" s="259"/>
      <c r="AU326" s="259"/>
      <c r="AV326" s="259"/>
      <c r="AW326" s="259"/>
    </row>
    <row r="327" spans="2:49" ht="15" customHeight="1" x14ac:dyDescent="0.25">
      <c r="B327" s="260"/>
      <c r="D327" s="262"/>
      <c r="G327" s="288"/>
      <c r="H327" s="265"/>
      <c r="I327" s="266"/>
      <c r="K327" s="268"/>
      <c r="L327" s="273"/>
      <c r="M327" s="277"/>
      <c r="N327" s="258"/>
      <c r="O327" s="258"/>
      <c r="P327" s="258"/>
      <c r="Q327" s="276"/>
      <c r="R327" s="272"/>
      <c r="S327" s="272"/>
      <c r="T327" s="272"/>
      <c r="U327" s="272"/>
      <c r="V327" s="272"/>
      <c r="W327" s="272"/>
      <c r="X327" s="272"/>
      <c r="Y327" s="272"/>
      <c r="Z327" s="258"/>
      <c r="AA327" s="258"/>
      <c r="AB327" s="258"/>
      <c r="AC327" s="258"/>
      <c r="AD327" s="258"/>
      <c r="AE327" s="258"/>
      <c r="AF327" s="258"/>
      <c r="AG327" s="258"/>
      <c r="AH327" s="270"/>
      <c r="AI327" s="270"/>
      <c r="AQ327" s="259"/>
      <c r="AR327" s="259"/>
      <c r="AS327" s="259"/>
      <c r="AT327" s="259"/>
      <c r="AU327" s="259"/>
      <c r="AV327" s="259"/>
      <c r="AW327" s="259"/>
    </row>
    <row r="328" spans="2:49" ht="15" customHeight="1" x14ac:dyDescent="0.25">
      <c r="B328" s="260"/>
      <c r="D328" s="262"/>
      <c r="G328" s="288"/>
      <c r="H328" s="265"/>
      <c r="I328" s="266"/>
      <c r="K328" s="268"/>
      <c r="L328" s="278"/>
      <c r="M328" s="274"/>
      <c r="N328" s="258"/>
      <c r="O328" s="258"/>
      <c r="P328" s="258"/>
      <c r="Q328" s="276"/>
      <c r="R328" s="272"/>
      <c r="S328" s="272"/>
      <c r="T328" s="272"/>
      <c r="U328" s="272"/>
      <c r="V328" s="272"/>
      <c r="W328" s="272"/>
      <c r="X328" s="272"/>
      <c r="Y328" s="272"/>
      <c r="Z328" s="258"/>
      <c r="AA328" s="258"/>
      <c r="AB328" s="258"/>
      <c r="AC328" s="258"/>
      <c r="AD328" s="258"/>
      <c r="AE328" s="258"/>
      <c r="AF328" s="258"/>
      <c r="AG328" s="258"/>
      <c r="AH328" s="270"/>
      <c r="AI328" s="270"/>
      <c r="AQ328" s="259"/>
      <c r="AR328" s="259"/>
      <c r="AS328" s="259"/>
      <c r="AT328" s="259"/>
      <c r="AU328" s="259"/>
      <c r="AV328" s="259"/>
      <c r="AW328" s="259"/>
    </row>
    <row r="329" spans="2:49" ht="15" customHeight="1" x14ac:dyDescent="0.25">
      <c r="B329" s="260"/>
      <c r="D329" s="262"/>
      <c r="G329" s="289"/>
      <c r="H329" s="265"/>
      <c r="I329" s="266"/>
      <c r="K329" s="268"/>
      <c r="L329" s="278"/>
      <c r="M329" s="274"/>
      <c r="N329" s="258"/>
      <c r="O329" s="258"/>
      <c r="P329" s="258"/>
      <c r="Q329" s="276"/>
      <c r="R329" s="272"/>
      <c r="S329" s="272"/>
      <c r="T329" s="272"/>
      <c r="U329" s="272"/>
      <c r="V329" s="272"/>
      <c r="W329" s="272"/>
      <c r="X329" s="272"/>
      <c r="Y329" s="272"/>
      <c r="Z329" s="258"/>
      <c r="AA329" s="258"/>
      <c r="AB329" s="258"/>
      <c r="AC329" s="258"/>
      <c r="AD329" s="258"/>
      <c r="AE329" s="258"/>
      <c r="AF329" s="258"/>
      <c r="AG329" s="258"/>
      <c r="AH329" s="258"/>
      <c r="AQ329" s="259"/>
      <c r="AR329" s="259"/>
      <c r="AS329" s="259"/>
      <c r="AT329" s="259"/>
      <c r="AU329" s="259"/>
      <c r="AV329" s="259"/>
      <c r="AW329" s="259"/>
    </row>
    <row r="330" spans="2:49" ht="15" customHeight="1" x14ac:dyDescent="0.25">
      <c r="B330" s="260"/>
      <c r="D330" s="262"/>
      <c r="G330" s="289"/>
      <c r="H330" s="265"/>
      <c r="I330" s="266"/>
      <c r="K330" s="268"/>
      <c r="L330" s="278"/>
      <c r="M330" s="274"/>
      <c r="N330" s="258"/>
      <c r="O330" s="258"/>
      <c r="P330" s="258"/>
      <c r="Q330" s="276"/>
      <c r="R330" s="272"/>
      <c r="S330" s="272"/>
      <c r="T330" s="272"/>
      <c r="U330" s="272"/>
      <c r="V330" s="272"/>
      <c r="W330" s="272"/>
      <c r="X330" s="272"/>
      <c r="Y330" s="272"/>
      <c r="Z330" s="258"/>
      <c r="AA330" s="258"/>
      <c r="AB330" s="258"/>
      <c r="AC330" s="258"/>
      <c r="AD330" s="258"/>
      <c r="AE330" s="258"/>
      <c r="AF330" s="258"/>
      <c r="AG330" s="258"/>
      <c r="AH330" s="258"/>
      <c r="AQ330" s="259"/>
      <c r="AR330" s="259"/>
      <c r="AS330" s="259"/>
      <c r="AT330" s="259"/>
      <c r="AU330" s="259"/>
      <c r="AV330" s="259"/>
      <c r="AW330" s="259"/>
    </row>
    <row r="331" spans="2:49" ht="15" customHeight="1" x14ac:dyDescent="0.25">
      <c r="B331" s="260"/>
      <c r="D331" s="262"/>
      <c r="G331" s="289"/>
      <c r="H331" s="265"/>
      <c r="I331" s="266"/>
      <c r="K331" s="268"/>
      <c r="L331" s="278"/>
      <c r="M331" s="274"/>
      <c r="N331" s="258"/>
      <c r="O331" s="258"/>
      <c r="P331" s="258"/>
      <c r="Q331" s="276"/>
      <c r="R331" s="272"/>
      <c r="S331" s="272"/>
      <c r="T331" s="272"/>
      <c r="U331" s="272"/>
      <c r="V331" s="272"/>
      <c r="W331" s="272"/>
      <c r="X331" s="272"/>
      <c r="Y331" s="272"/>
      <c r="Z331" s="258"/>
      <c r="AA331" s="258"/>
      <c r="AB331" s="258"/>
      <c r="AC331" s="258"/>
      <c r="AD331" s="258"/>
      <c r="AE331" s="258"/>
      <c r="AF331" s="258"/>
      <c r="AG331" s="258"/>
      <c r="AH331" s="258"/>
      <c r="AQ331" s="259"/>
      <c r="AR331" s="259"/>
      <c r="AS331" s="259"/>
      <c r="AT331" s="259"/>
      <c r="AU331" s="259"/>
      <c r="AV331" s="259"/>
      <c r="AW331" s="259"/>
    </row>
    <row r="332" spans="2:49" ht="15" customHeight="1" x14ac:dyDescent="0.25">
      <c r="B332" s="260"/>
      <c r="D332" s="262"/>
      <c r="G332" s="288"/>
      <c r="H332" s="265"/>
      <c r="I332" s="266"/>
      <c r="K332" s="268"/>
      <c r="L332" s="278"/>
      <c r="M332" s="274"/>
      <c r="N332" s="258"/>
      <c r="O332" s="258"/>
      <c r="P332" s="258"/>
      <c r="Q332" s="276"/>
      <c r="R332" s="272"/>
      <c r="S332" s="272"/>
      <c r="T332" s="272"/>
      <c r="U332" s="272"/>
      <c r="V332" s="272"/>
      <c r="W332" s="272"/>
      <c r="X332" s="272"/>
      <c r="Y332" s="272"/>
      <c r="Z332" s="258"/>
      <c r="AA332" s="258"/>
      <c r="AB332" s="258"/>
      <c r="AC332" s="258"/>
      <c r="AD332" s="258"/>
      <c r="AE332" s="258"/>
      <c r="AF332" s="258"/>
      <c r="AG332" s="258"/>
      <c r="AH332" s="258"/>
      <c r="AQ332" s="259"/>
      <c r="AR332" s="259"/>
      <c r="AS332" s="259"/>
      <c r="AT332" s="259"/>
      <c r="AU332" s="259"/>
      <c r="AV332" s="259"/>
      <c r="AW332" s="259"/>
    </row>
    <row r="333" spans="2:49" ht="15" customHeight="1" x14ac:dyDescent="0.25">
      <c r="B333" s="260"/>
      <c r="D333" s="262"/>
      <c r="G333" s="288"/>
      <c r="H333" s="265"/>
      <c r="I333" s="266"/>
      <c r="K333" s="268"/>
      <c r="L333" s="278"/>
      <c r="M333" s="274"/>
      <c r="N333" s="258"/>
      <c r="O333" s="258"/>
      <c r="P333" s="258"/>
      <c r="Q333" s="276"/>
      <c r="W333" s="272"/>
      <c r="X333" s="272"/>
      <c r="Y333" s="272"/>
      <c r="Z333" s="258"/>
      <c r="AA333" s="258"/>
      <c r="AB333" s="258"/>
      <c r="AC333" s="258"/>
      <c r="AD333" s="258"/>
      <c r="AE333" s="258"/>
      <c r="AF333" s="258"/>
      <c r="AG333" s="258"/>
      <c r="AH333" s="258"/>
      <c r="AQ333" s="259"/>
      <c r="AR333" s="259"/>
      <c r="AS333" s="259"/>
      <c r="AT333" s="259"/>
      <c r="AU333" s="259"/>
      <c r="AV333" s="259"/>
      <c r="AW333" s="259"/>
    </row>
    <row r="334" spans="2:49" ht="15" customHeight="1" x14ac:dyDescent="0.25">
      <c r="B334" s="260"/>
      <c r="D334" s="262"/>
      <c r="G334" s="288"/>
      <c r="H334" s="265"/>
      <c r="I334" s="266"/>
      <c r="K334" s="268"/>
      <c r="L334" s="278"/>
      <c r="M334" s="274"/>
      <c r="N334" s="258"/>
      <c r="O334" s="258"/>
      <c r="P334" s="258"/>
      <c r="Q334" s="276"/>
      <c r="W334" s="272"/>
      <c r="X334" s="272"/>
      <c r="Y334" s="272"/>
      <c r="Z334" s="258"/>
      <c r="AA334" s="258"/>
      <c r="AB334" s="258"/>
      <c r="AC334" s="258"/>
      <c r="AD334" s="258"/>
      <c r="AE334" s="258"/>
      <c r="AF334" s="258"/>
      <c r="AG334" s="258"/>
      <c r="AH334" s="258"/>
      <c r="AQ334" s="259"/>
      <c r="AR334" s="259"/>
      <c r="AS334" s="259"/>
      <c r="AT334" s="259"/>
      <c r="AU334" s="259"/>
      <c r="AV334" s="259"/>
      <c r="AW334" s="259"/>
    </row>
    <row r="335" spans="2:49" ht="15" customHeight="1" x14ac:dyDescent="0.25">
      <c r="B335" s="260"/>
      <c r="D335" s="262"/>
      <c r="G335" s="288"/>
      <c r="H335" s="265"/>
      <c r="I335" s="266"/>
      <c r="K335" s="268"/>
      <c r="L335" s="278"/>
      <c r="M335" s="274"/>
      <c r="N335" s="258"/>
      <c r="O335" s="258"/>
      <c r="P335" s="258"/>
      <c r="Q335" s="276"/>
      <c r="W335" s="272"/>
      <c r="X335" s="272"/>
      <c r="Y335" s="272"/>
      <c r="Z335" s="258"/>
      <c r="AA335" s="258"/>
      <c r="AB335" s="258"/>
      <c r="AC335" s="258"/>
      <c r="AD335" s="258"/>
      <c r="AE335" s="258"/>
      <c r="AF335" s="258"/>
      <c r="AG335" s="258"/>
      <c r="AH335" s="258"/>
      <c r="AQ335" s="259"/>
      <c r="AR335" s="259"/>
      <c r="AS335" s="259"/>
      <c r="AT335" s="259"/>
      <c r="AU335" s="259"/>
      <c r="AV335" s="259"/>
      <c r="AW335" s="259"/>
    </row>
    <row r="336" spans="2:49" ht="15" customHeight="1" x14ac:dyDescent="0.25">
      <c r="B336" s="260"/>
      <c r="D336" s="262"/>
      <c r="G336" s="289"/>
      <c r="H336" s="265"/>
      <c r="I336" s="266"/>
      <c r="K336" s="268"/>
      <c r="L336" s="273"/>
      <c r="M336" s="274"/>
      <c r="N336" s="270"/>
      <c r="O336" s="270"/>
      <c r="P336" s="270"/>
      <c r="Q336" s="275"/>
      <c r="R336" s="272"/>
      <c r="S336" s="272"/>
      <c r="T336" s="272"/>
      <c r="U336" s="272"/>
      <c r="V336" s="272"/>
      <c r="W336" s="272"/>
      <c r="X336" s="272"/>
      <c r="Y336" s="272"/>
      <c r="Z336" s="258"/>
      <c r="AA336" s="258"/>
      <c r="AB336" s="258"/>
      <c r="AC336" s="258"/>
      <c r="AD336" s="258"/>
      <c r="AE336" s="258"/>
      <c r="AF336" s="258"/>
      <c r="AG336" s="258"/>
      <c r="AH336" s="258"/>
      <c r="AI336" s="258"/>
      <c r="AQ336" s="259"/>
      <c r="AR336" s="259"/>
      <c r="AS336" s="259"/>
      <c r="AT336" s="259"/>
      <c r="AU336" s="259"/>
      <c r="AV336" s="259"/>
      <c r="AW336" s="259"/>
    </row>
    <row r="337" spans="2:49" ht="15" customHeight="1" x14ac:dyDescent="0.25">
      <c r="B337" s="260"/>
      <c r="C337" s="290"/>
      <c r="D337" s="262"/>
      <c r="E337" s="291"/>
      <c r="F337" s="262"/>
      <c r="G337" s="289"/>
      <c r="H337" s="243"/>
      <c r="I337" s="266"/>
      <c r="K337" s="268"/>
      <c r="L337" s="273"/>
      <c r="M337" s="274"/>
      <c r="N337" s="258"/>
      <c r="O337" s="258"/>
      <c r="P337" s="258"/>
      <c r="Q337" s="276"/>
      <c r="R337" s="272"/>
      <c r="S337" s="272"/>
      <c r="T337" s="272"/>
      <c r="U337" s="272"/>
      <c r="V337" s="272"/>
      <c r="W337" s="272"/>
      <c r="X337" s="272"/>
      <c r="Y337" s="272"/>
      <c r="Z337" s="258"/>
      <c r="AA337" s="258"/>
      <c r="AB337" s="258"/>
      <c r="AC337" s="258"/>
      <c r="AD337" s="258"/>
      <c r="AE337" s="258"/>
      <c r="AF337" s="258"/>
      <c r="AG337" s="258"/>
      <c r="AH337" s="258"/>
      <c r="AI337" s="258"/>
      <c r="AQ337" s="259"/>
      <c r="AR337" s="259"/>
      <c r="AS337" s="259"/>
      <c r="AT337" s="259"/>
      <c r="AU337" s="259"/>
      <c r="AV337" s="259"/>
      <c r="AW337" s="259"/>
    </row>
    <row r="338" spans="2:49" ht="15" customHeight="1" x14ac:dyDescent="0.25">
      <c r="B338" s="260"/>
      <c r="D338" s="262"/>
      <c r="G338" s="264"/>
      <c r="H338" s="265"/>
      <c r="I338" s="266"/>
      <c r="K338" s="268"/>
      <c r="L338" s="273"/>
      <c r="M338" s="274"/>
      <c r="N338" s="258"/>
      <c r="O338" s="258"/>
      <c r="P338" s="258"/>
      <c r="Q338" s="276"/>
      <c r="R338" s="272"/>
      <c r="S338" s="272"/>
      <c r="T338" s="272"/>
      <c r="U338" s="272"/>
      <c r="V338" s="272"/>
      <c r="W338" s="272"/>
      <c r="X338" s="272"/>
      <c r="Y338" s="272"/>
      <c r="Z338" s="258"/>
      <c r="AA338" s="258"/>
      <c r="AB338" s="258"/>
      <c r="AC338" s="258"/>
      <c r="AD338" s="258"/>
      <c r="AE338" s="258"/>
      <c r="AF338" s="258"/>
      <c r="AG338" s="258"/>
      <c r="AH338" s="270"/>
      <c r="AI338" s="270"/>
      <c r="AQ338" s="259"/>
      <c r="AR338" s="259"/>
      <c r="AS338" s="259"/>
      <c r="AT338" s="259"/>
      <c r="AU338" s="259"/>
      <c r="AV338" s="259"/>
      <c r="AW338" s="259"/>
    </row>
    <row r="339" spans="2:49" ht="15" customHeight="1" x14ac:dyDescent="0.25">
      <c r="B339" s="260"/>
      <c r="D339" s="262"/>
      <c r="G339" s="288"/>
      <c r="H339" s="265"/>
      <c r="I339" s="266"/>
      <c r="K339" s="268"/>
      <c r="L339" s="273"/>
      <c r="M339" s="277"/>
      <c r="N339" s="258"/>
      <c r="O339" s="258"/>
      <c r="P339" s="258"/>
      <c r="Q339" s="276"/>
      <c r="R339" s="272"/>
      <c r="S339" s="272"/>
      <c r="T339" s="272"/>
      <c r="U339" s="272"/>
      <c r="V339" s="272"/>
      <c r="W339" s="272"/>
      <c r="X339" s="272"/>
      <c r="Y339" s="272"/>
      <c r="Z339" s="258"/>
      <c r="AA339" s="258"/>
      <c r="AB339" s="258"/>
      <c r="AC339" s="258"/>
      <c r="AD339" s="258"/>
      <c r="AE339" s="258"/>
      <c r="AF339" s="258"/>
      <c r="AG339" s="258"/>
      <c r="AH339" s="270"/>
      <c r="AI339" s="270"/>
      <c r="AQ339" s="259"/>
      <c r="AR339" s="259"/>
      <c r="AS339" s="259"/>
      <c r="AT339" s="259"/>
      <c r="AU339" s="259"/>
      <c r="AV339" s="259"/>
      <c r="AW339" s="259"/>
    </row>
    <row r="340" spans="2:49" ht="15" customHeight="1" x14ac:dyDescent="0.25">
      <c r="B340" s="260"/>
      <c r="D340" s="262"/>
      <c r="G340" s="288"/>
      <c r="H340" s="265"/>
      <c r="I340" s="266"/>
      <c r="K340" s="268"/>
      <c r="L340" s="278"/>
      <c r="M340" s="274"/>
      <c r="N340" s="258"/>
      <c r="O340" s="258"/>
      <c r="P340" s="258"/>
      <c r="Q340" s="276"/>
      <c r="R340" s="272"/>
      <c r="S340" s="272"/>
      <c r="T340" s="272"/>
      <c r="U340" s="272"/>
      <c r="V340" s="272"/>
      <c r="W340" s="272"/>
      <c r="X340" s="272"/>
      <c r="Y340" s="272"/>
      <c r="Z340" s="258"/>
      <c r="AA340" s="258"/>
      <c r="AB340" s="258"/>
      <c r="AC340" s="258"/>
      <c r="AD340" s="258"/>
      <c r="AE340" s="258"/>
      <c r="AF340" s="258"/>
      <c r="AG340" s="258"/>
      <c r="AH340" s="270"/>
      <c r="AI340" s="270"/>
      <c r="AQ340" s="259"/>
      <c r="AR340" s="259"/>
      <c r="AS340" s="259"/>
      <c r="AT340" s="259"/>
      <c r="AU340" s="259"/>
      <c r="AV340" s="259"/>
      <c r="AW340" s="259"/>
    </row>
    <row r="341" spans="2:49" ht="15" customHeight="1" x14ac:dyDescent="0.25">
      <c r="B341" s="260"/>
      <c r="D341" s="262"/>
      <c r="G341" s="289"/>
      <c r="H341" s="265"/>
      <c r="I341" s="266"/>
      <c r="K341" s="268"/>
      <c r="L341" s="278"/>
      <c r="M341" s="274"/>
      <c r="N341" s="258"/>
      <c r="O341" s="258"/>
      <c r="P341" s="258"/>
      <c r="Q341" s="276"/>
      <c r="R341" s="272"/>
      <c r="S341" s="272"/>
      <c r="T341" s="272"/>
      <c r="U341" s="272"/>
      <c r="V341" s="272"/>
      <c r="W341" s="272"/>
      <c r="X341" s="272"/>
      <c r="Y341" s="272"/>
      <c r="Z341" s="258"/>
      <c r="AA341" s="258"/>
      <c r="AB341" s="258"/>
      <c r="AC341" s="258"/>
      <c r="AD341" s="258"/>
      <c r="AE341" s="258"/>
      <c r="AF341" s="258"/>
      <c r="AG341" s="258"/>
      <c r="AH341" s="258"/>
      <c r="AQ341" s="259"/>
      <c r="AR341" s="259"/>
      <c r="AS341" s="259"/>
      <c r="AT341" s="259"/>
      <c r="AU341" s="259"/>
      <c r="AV341" s="259"/>
      <c r="AW341" s="259"/>
    </row>
    <row r="342" spans="2:49" ht="15" customHeight="1" x14ac:dyDescent="0.25">
      <c r="B342" s="260"/>
      <c r="D342" s="262"/>
      <c r="G342" s="289"/>
      <c r="H342" s="265"/>
      <c r="I342" s="266"/>
      <c r="K342" s="268"/>
      <c r="L342" s="278"/>
      <c r="M342" s="274"/>
      <c r="N342" s="258"/>
      <c r="O342" s="258"/>
      <c r="P342" s="258"/>
      <c r="Q342" s="276"/>
      <c r="R342" s="272"/>
      <c r="S342" s="272"/>
      <c r="T342" s="272"/>
      <c r="U342" s="272"/>
      <c r="V342" s="272"/>
      <c r="W342" s="272"/>
      <c r="X342" s="272"/>
      <c r="Y342" s="272"/>
      <c r="Z342" s="258"/>
      <c r="AA342" s="258"/>
      <c r="AB342" s="258"/>
      <c r="AC342" s="258"/>
      <c r="AD342" s="258"/>
      <c r="AE342" s="258"/>
      <c r="AF342" s="258"/>
      <c r="AG342" s="258"/>
      <c r="AH342" s="258"/>
      <c r="AQ342" s="259"/>
      <c r="AR342" s="259"/>
      <c r="AS342" s="259"/>
      <c r="AT342" s="259"/>
      <c r="AU342" s="259"/>
      <c r="AV342" s="259"/>
      <c r="AW342" s="259"/>
    </row>
    <row r="343" spans="2:49" ht="15" customHeight="1" x14ac:dyDescent="0.25">
      <c r="B343" s="260"/>
      <c r="D343" s="262"/>
      <c r="G343" s="289"/>
      <c r="H343" s="265"/>
      <c r="I343" s="266"/>
      <c r="K343" s="268"/>
      <c r="L343" s="278"/>
      <c r="M343" s="274"/>
      <c r="N343" s="258"/>
      <c r="O343" s="258"/>
      <c r="P343" s="258"/>
      <c r="Q343" s="276"/>
      <c r="R343" s="272"/>
      <c r="S343" s="272"/>
      <c r="T343" s="272"/>
      <c r="U343" s="272"/>
      <c r="V343" s="272"/>
      <c r="W343" s="272"/>
      <c r="X343" s="272"/>
      <c r="Y343" s="272"/>
      <c r="Z343" s="258"/>
      <c r="AA343" s="258"/>
      <c r="AB343" s="258"/>
      <c r="AC343" s="258"/>
      <c r="AD343" s="258"/>
      <c r="AE343" s="258"/>
      <c r="AF343" s="258"/>
      <c r="AG343" s="258"/>
      <c r="AH343" s="258"/>
      <c r="AQ343" s="259"/>
      <c r="AR343" s="259"/>
      <c r="AS343" s="259"/>
      <c r="AT343" s="259"/>
      <c r="AU343" s="259"/>
      <c r="AV343" s="259"/>
      <c r="AW343" s="259"/>
    </row>
    <row r="344" spans="2:49" ht="15" customHeight="1" x14ac:dyDescent="0.25">
      <c r="B344" s="260"/>
      <c r="D344" s="262"/>
      <c r="G344" s="289"/>
      <c r="H344" s="265"/>
      <c r="I344" s="266"/>
      <c r="K344" s="268"/>
      <c r="L344" s="278"/>
      <c r="M344" s="274"/>
      <c r="N344" s="258"/>
      <c r="O344" s="258"/>
      <c r="P344" s="258"/>
      <c r="Q344" s="276"/>
      <c r="R344" s="272"/>
      <c r="S344" s="272"/>
      <c r="T344" s="272"/>
      <c r="U344" s="272"/>
      <c r="V344" s="272"/>
      <c r="W344" s="272"/>
      <c r="X344" s="272"/>
      <c r="Y344" s="272"/>
      <c r="Z344" s="258"/>
      <c r="AA344" s="258"/>
      <c r="AB344" s="258"/>
      <c r="AC344" s="258"/>
      <c r="AD344" s="258"/>
      <c r="AE344" s="258"/>
      <c r="AF344" s="258"/>
      <c r="AG344" s="258"/>
      <c r="AH344" s="258"/>
      <c r="AQ344" s="259"/>
      <c r="AR344" s="259"/>
      <c r="AS344" s="259"/>
      <c r="AT344" s="259"/>
      <c r="AU344" s="259"/>
      <c r="AV344" s="259"/>
      <c r="AW344" s="259"/>
    </row>
    <row r="345" spans="2:49" ht="15" customHeight="1" x14ac:dyDescent="0.25">
      <c r="B345" s="260"/>
      <c r="D345" s="262"/>
      <c r="G345" s="288"/>
      <c r="H345" s="265"/>
      <c r="I345" s="266"/>
      <c r="K345" s="268"/>
      <c r="L345" s="278"/>
      <c r="M345" s="274"/>
      <c r="N345" s="258"/>
      <c r="O345" s="258"/>
      <c r="P345" s="258"/>
      <c r="Q345" s="276"/>
      <c r="W345" s="272"/>
      <c r="X345" s="272"/>
      <c r="Y345" s="272"/>
      <c r="Z345" s="258"/>
      <c r="AA345" s="258"/>
      <c r="AB345" s="258"/>
      <c r="AC345" s="258"/>
      <c r="AD345" s="258"/>
      <c r="AE345" s="258"/>
      <c r="AF345" s="258"/>
      <c r="AG345" s="258"/>
      <c r="AH345" s="258"/>
      <c r="AQ345" s="259"/>
      <c r="AR345" s="259"/>
      <c r="AS345" s="259"/>
      <c r="AT345" s="259"/>
      <c r="AU345" s="259"/>
      <c r="AV345" s="259"/>
      <c r="AW345" s="259"/>
    </row>
    <row r="346" spans="2:49" ht="15" customHeight="1" x14ac:dyDescent="0.25">
      <c r="B346" s="260"/>
      <c r="D346" s="262"/>
      <c r="G346" s="289"/>
      <c r="H346" s="265"/>
      <c r="I346" s="266"/>
      <c r="K346" s="268"/>
      <c r="L346" s="278"/>
      <c r="M346" s="274"/>
      <c r="N346" s="258"/>
      <c r="O346" s="258"/>
      <c r="P346" s="258"/>
      <c r="Q346" s="276"/>
      <c r="W346" s="272"/>
      <c r="X346" s="272"/>
      <c r="Y346" s="272"/>
      <c r="Z346" s="258"/>
      <c r="AA346" s="258"/>
      <c r="AB346" s="258"/>
      <c r="AC346" s="258"/>
      <c r="AD346" s="258"/>
      <c r="AE346" s="258"/>
      <c r="AF346" s="258"/>
      <c r="AG346" s="258"/>
      <c r="AH346" s="258"/>
      <c r="AQ346" s="259"/>
      <c r="AR346" s="259"/>
      <c r="AS346" s="259"/>
      <c r="AT346" s="259"/>
      <c r="AU346" s="259"/>
      <c r="AV346" s="259"/>
      <c r="AW346" s="259"/>
    </row>
    <row r="347" spans="2:49" ht="15" customHeight="1" x14ac:dyDescent="0.25">
      <c r="B347" s="260"/>
      <c r="D347" s="262"/>
      <c r="G347" s="289"/>
      <c r="H347" s="265"/>
      <c r="I347" s="266"/>
      <c r="K347" s="268"/>
      <c r="L347" s="278"/>
      <c r="M347" s="274"/>
      <c r="N347" s="258"/>
      <c r="O347" s="258"/>
      <c r="P347" s="258"/>
      <c r="Q347" s="276"/>
      <c r="W347" s="272"/>
      <c r="X347" s="272"/>
      <c r="Y347" s="272"/>
      <c r="Z347" s="258"/>
      <c r="AA347" s="258"/>
      <c r="AB347" s="258"/>
      <c r="AC347" s="258"/>
      <c r="AD347" s="258"/>
      <c r="AE347" s="258"/>
      <c r="AF347" s="258"/>
      <c r="AG347" s="258"/>
      <c r="AH347" s="258"/>
      <c r="AQ347" s="259"/>
      <c r="AR347" s="259"/>
      <c r="AS347" s="259"/>
      <c r="AT347" s="259"/>
      <c r="AU347" s="259"/>
      <c r="AV347" s="259"/>
      <c r="AW347" s="259"/>
    </row>
    <row r="348" spans="2:49" ht="15" customHeight="1" x14ac:dyDescent="0.25">
      <c r="B348" s="260"/>
      <c r="D348" s="262"/>
      <c r="G348" s="289"/>
      <c r="H348" s="265"/>
      <c r="I348" s="266"/>
      <c r="K348" s="268"/>
      <c r="L348" s="273"/>
      <c r="M348" s="274"/>
      <c r="N348" s="270"/>
      <c r="O348" s="270"/>
      <c r="P348" s="270"/>
      <c r="Q348" s="275"/>
      <c r="R348" s="272"/>
      <c r="S348" s="272"/>
      <c r="T348" s="272"/>
      <c r="U348" s="272"/>
      <c r="V348" s="272"/>
      <c r="W348" s="272"/>
      <c r="X348" s="272"/>
      <c r="Y348" s="272"/>
      <c r="Z348" s="258"/>
      <c r="AA348" s="258"/>
      <c r="AB348" s="258"/>
      <c r="AC348" s="258"/>
      <c r="AD348" s="258"/>
      <c r="AE348" s="258"/>
      <c r="AF348" s="258"/>
      <c r="AG348" s="258"/>
      <c r="AH348" s="258"/>
      <c r="AI348" s="258"/>
      <c r="AQ348" s="259"/>
      <c r="AR348" s="259"/>
      <c r="AS348" s="259"/>
      <c r="AT348" s="259"/>
      <c r="AU348" s="259"/>
      <c r="AV348" s="259"/>
      <c r="AW348" s="259"/>
    </row>
    <row r="349" spans="2:49" ht="15" customHeight="1" x14ac:dyDescent="0.25">
      <c r="B349" s="260"/>
      <c r="D349" s="262"/>
      <c r="G349" s="289"/>
      <c r="H349" s="265"/>
      <c r="I349" s="266"/>
      <c r="K349" s="268"/>
      <c r="L349" s="273"/>
      <c r="M349" s="274"/>
      <c r="N349" s="258"/>
      <c r="O349" s="258"/>
      <c r="P349" s="258"/>
      <c r="Q349" s="276"/>
      <c r="R349" s="272"/>
      <c r="S349" s="272"/>
      <c r="T349" s="272"/>
      <c r="U349" s="272"/>
      <c r="V349" s="272"/>
      <c r="W349" s="272"/>
      <c r="X349" s="272"/>
      <c r="Y349" s="272"/>
      <c r="Z349" s="258"/>
      <c r="AA349" s="258"/>
      <c r="AB349" s="258"/>
      <c r="AC349" s="258"/>
      <c r="AD349" s="258"/>
      <c r="AE349" s="258"/>
      <c r="AF349" s="258"/>
      <c r="AG349" s="258"/>
      <c r="AH349" s="258"/>
      <c r="AI349" s="258"/>
      <c r="AQ349" s="259"/>
      <c r="AR349" s="259"/>
      <c r="AS349" s="259"/>
      <c r="AT349" s="259"/>
      <c r="AU349" s="259"/>
      <c r="AV349" s="259"/>
      <c r="AW349" s="259"/>
    </row>
    <row r="350" spans="2:49" ht="15" customHeight="1" x14ac:dyDescent="0.25">
      <c r="B350" s="260"/>
      <c r="D350" s="262"/>
      <c r="E350" s="291"/>
      <c r="F350" s="293"/>
      <c r="G350" s="288"/>
      <c r="H350" s="265"/>
      <c r="I350" s="266"/>
      <c r="K350" s="268"/>
      <c r="L350" s="273"/>
      <c r="M350" s="274"/>
      <c r="N350" s="258"/>
      <c r="O350" s="258"/>
      <c r="P350" s="258"/>
      <c r="Q350" s="276"/>
      <c r="R350" s="272"/>
      <c r="S350" s="272"/>
      <c r="T350" s="272"/>
      <c r="U350" s="272"/>
      <c r="V350" s="272"/>
      <c r="W350" s="272"/>
      <c r="X350" s="272"/>
      <c r="Y350" s="272"/>
      <c r="Z350" s="258"/>
      <c r="AA350" s="258"/>
      <c r="AB350" s="258"/>
      <c r="AC350" s="258"/>
      <c r="AD350" s="258"/>
      <c r="AE350" s="258"/>
      <c r="AF350" s="258"/>
      <c r="AG350" s="258"/>
      <c r="AH350" s="270"/>
      <c r="AI350" s="270"/>
      <c r="AQ350" s="259"/>
      <c r="AR350" s="259"/>
      <c r="AS350" s="259"/>
      <c r="AT350" s="259"/>
      <c r="AU350" s="259"/>
      <c r="AV350" s="259"/>
      <c r="AW350" s="259"/>
    </row>
    <row r="351" spans="2:49" ht="15" customHeight="1" x14ac:dyDescent="0.25">
      <c r="B351" s="260"/>
      <c r="D351" s="262"/>
      <c r="G351" s="289"/>
      <c r="H351" s="265"/>
      <c r="I351" s="266"/>
      <c r="K351" s="268"/>
      <c r="L351" s="273"/>
      <c r="M351" s="277"/>
      <c r="N351" s="258"/>
      <c r="O351" s="258"/>
      <c r="P351" s="258"/>
      <c r="Q351" s="276"/>
      <c r="R351" s="272"/>
      <c r="S351" s="272"/>
      <c r="T351" s="272"/>
      <c r="U351" s="272"/>
      <c r="V351" s="272"/>
      <c r="W351" s="272"/>
      <c r="X351" s="272"/>
      <c r="Y351" s="272"/>
      <c r="Z351" s="258"/>
      <c r="AA351" s="258"/>
      <c r="AB351" s="258"/>
      <c r="AC351" s="258"/>
      <c r="AD351" s="258"/>
      <c r="AE351" s="258"/>
      <c r="AF351" s="258"/>
      <c r="AG351" s="258"/>
      <c r="AH351" s="270"/>
      <c r="AI351" s="270"/>
      <c r="AQ351" s="259"/>
      <c r="AR351" s="259"/>
      <c r="AS351" s="259"/>
      <c r="AT351" s="259"/>
      <c r="AU351" s="259"/>
      <c r="AV351" s="259"/>
      <c r="AW351" s="259"/>
    </row>
    <row r="352" spans="2:49" ht="15" customHeight="1" x14ac:dyDescent="0.25">
      <c r="B352" s="260"/>
      <c r="D352" s="262"/>
      <c r="G352" s="288"/>
      <c r="H352" s="265"/>
      <c r="I352" s="266"/>
      <c r="K352" s="268"/>
      <c r="L352" s="278"/>
      <c r="M352" s="274"/>
      <c r="N352" s="258"/>
      <c r="O352" s="258"/>
      <c r="P352" s="258"/>
      <c r="Q352" s="276"/>
      <c r="R352" s="272"/>
      <c r="S352" s="272"/>
      <c r="T352" s="272"/>
      <c r="U352" s="272"/>
      <c r="V352" s="272"/>
      <c r="W352" s="272"/>
      <c r="X352" s="272"/>
      <c r="Y352" s="272"/>
      <c r="Z352" s="258"/>
      <c r="AA352" s="258"/>
      <c r="AB352" s="258"/>
      <c r="AC352" s="258"/>
      <c r="AD352" s="258"/>
      <c r="AE352" s="258"/>
      <c r="AF352" s="258"/>
      <c r="AG352" s="258"/>
      <c r="AH352" s="270"/>
      <c r="AI352" s="270"/>
      <c r="AQ352" s="259"/>
      <c r="AR352" s="259"/>
      <c r="AS352" s="259"/>
      <c r="AT352" s="259"/>
      <c r="AU352" s="259"/>
      <c r="AV352" s="259"/>
      <c r="AW352" s="259"/>
    </row>
    <row r="353" spans="2:49" ht="15" customHeight="1" x14ac:dyDescent="0.25">
      <c r="B353" s="260"/>
      <c r="D353" s="262"/>
      <c r="G353" s="288"/>
      <c r="H353" s="265"/>
      <c r="I353" s="266"/>
      <c r="K353" s="268"/>
      <c r="L353" s="278"/>
      <c r="M353" s="274"/>
      <c r="N353" s="258"/>
      <c r="O353" s="258"/>
      <c r="P353" s="258"/>
      <c r="Q353" s="276"/>
      <c r="R353" s="272"/>
      <c r="S353" s="272"/>
      <c r="T353" s="272"/>
      <c r="U353" s="272"/>
      <c r="V353" s="272"/>
      <c r="W353" s="272"/>
      <c r="X353" s="272"/>
      <c r="Y353" s="272"/>
      <c r="Z353" s="258"/>
      <c r="AA353" s="258"/>
      <c r="AB353" s="258"/>
      <c r="AC353" s="258"/>
      <c r="AD353" s="258"/>
      <c r="AE353" s="258"/>
      <c r="AF353" s="258"/>
      <c r="AG353" s="258"/>
      <c r="AH353" s="258"/>
      <c r="AQ353" s="259"/>
      <c r="AR353" s="259"/>
      <c r="AS353" s="259"/>
      <c r="AT353" s="259"/>
      <c r="AU353" s="259"/>
      <c r="AV353" s="259"/>
      <c r="AW353" s="259"/>
    </row>
    <row r="354" spans="2:49" ht="15" customHeight="1" x14ac:dyDescent="0.25">
      <c r="B354" s="260"/>
      <c r="D354" s="262"/>
      <c r="G354" s="288"/>
      <c r="H354" s="265"/>
      <c r="I354" s="266"/>
      <c r="K354" s="268"/>
      <c r="L354" s="278"/>
      <c r="M354" s="274"/>
      <c r="N354" s="258"/>
      <c r="O354" s="258"/>
      <c r="P354" s="258"/>
      <c r="Q354" s="276"/>
      <c r="R354" s="272"/>
      <c r="S354" s="272"/>
      <c r="T354" s="272"/>
      <c r="U354" s="272"/>
      <c r="V354" s="272"/>
      <c r="W354" s="272"/>
      <c r="X354" s="272"/>
      <c r="Y354" s="272"/>
      <c r="Z354" s="258"/>
      <c r="AA354" s="258"/>
      <c r="AB354" s="258"/>
      <c r="AC354" s="258"/>
      <c r="AD354" s="258"/>
      <c r="AE354" s="258"/>
      <c r="AF354" s="258"/>
      <c r="AG354" s="258"/>
      <c r="AH354" s="258"/>
      <c r="AQ354" s="259"/>
      <c r="AR354" s="259"/>
      <c r="AS354" s="259"/>
      <c r="AT354" s="259"/>
      <c r="AU354" s="259"/>
      <c r="AV354" s="259"/>
      <c r="AW354" s="259"/>
    </row>
    <row r="355" spans="2:49" ht="15" customHeight="1" x14ac:dyDescent="0.25">
      <c r="B355" s="260"/>
      <c r="D355" s="262"/>
      <c r="G355" s="289"/>
      <c r="H355" s="265"/>
      <c r="I355" s="266"/>
      <c r="K355" s="268"/>
      <c r="L355" s="278"/>
      <c r="M355" s="274"/>
      <c r="N355" s="258"/>
      <c r="O355" s="258"/>
      <c r="P355" s="258"/>
      <c r="Q355" s="276"/>
      <c r="R355" s="272"/>
      <c r="S355" s="272"/>
      <c r="T355" s="272"/>
      <c r="U355" s="272"/>
      <c r="V355" s="272"/>
      <c r="W355" s="272"/>
      <c r="X355" s="272"/>
      <c r="Y355" s="272"/>
      <c r="Z355" s="258"/>
      <c r="AA355" s="258"/>
      <c r="AB355" s="258"/>
      <c r="AC355" s="258"/>
      <c r="AD355" s="258"/>
      <c r="AE355" s="258"/>
      <c r="AF355" s="258"/>
      <c r="AG355" s="258"/>
      <c r="AH355" s="258"/>
      <c r="AQ355" s="259"/>
      <c r="AR355" s="259"/>
      <c r="AS355" s="259"/>
      <c r="AT355" s="259"/>
      <c r="AU355" s="259"/>
      <c r="AV355" s="259"/>
      <c r="AW355" s="259"/>
    </row>
    <row r="356" spans="2:49" ht="15" customHeight="1" x14ac:dyDescent="0.25">
      <c r="B356" s="260"/>
      <c r="D356" s="262"/>
      <c r="G356" s="264"/>
      <c r="H356" s="265"/>
      <c r="I356" s="266"/>
      <c r="K356" s="268"/>
      <c r="L356" s="278"/>
      <c r="M356" s="274"/>
      <c r="N356" s="258"/>
      <c r="O356" s="258"/>
      <c r="P356" s="258"/>
      <c r="Q356" s="276"/>
      <c r="R356" s="272"/>
      <c r="S356" s="272"/>
      <c r="T356" s="272"/>
      <c r="U356" s="272"/>
      <c r="V356" s="272"/>
      <c r="W356" s="272"/>
      <c r="X356" s="272"/>
      <c r="Y356" s="272"/>
      <c r="Z356" s="258"/>
      <c r="AA356" s="258"/>
      <c r="AB356" s="258"/>
      <c r="AC356" s="258"/>
      <c r="AD356" s="258"/>
      <c r="AE356" s="258"/>
      <c r="AF356" s="258"/>
      <c r="AG356" s="258"/>
      <c r="AH356" s="258"/>
      <c r="AQ356" s="259"/>
      <c r="AR356" s="259"/>
      <c r="AS356" s="259"/>
      <c r="AT356" s="259"/>
      <c r="AU356" s="259"/>
      <c r="AV356" s="259"/>
      <c r="AW356" s="259"/>
    </row>
    <row r="357" spans="2:49" ht="15" customHeight="1" x14ac:dyDescent="0.25">
      <c r="B357" s="260"/>
      <c r="D357" s="262"/>
      <c r="G357" s="288"/>
      <c r="H357" s="265"/>
      <c r="I357" s="266"/>
      <c r="K357" s="268"/>
      <c r="L357" s="278"/>
      <c r="M357" s="274"/>
      <c r="N357" s="258"/>
      <c r="O357" s="258"/>
      <c r="P357" s="258"/>
      <c r="Q357" s="276"/>
      <c r="W357" s="272"/>
      <c r="X357" s="272"/>
      <c r="Y357" s="272"/>
      <c r="Z357" s="258"/>
      <c r="AA357" s="258"/>
      <c r="AB357" s="258"/>
      <c r="AC357" s="258"/>
      <c r="AD357" s="258"/>
      <c r="AE357" s="258"/>
      <c r="AF357" s="258"/>
      <c r="AG357" s="258"/>
      <c r="AH357" s="258"/>
      <c r="AQ357" s="259"/>
      <c r="AR357" s="259"/>
      <c r="AS357" s="259"/>
      <c r="AT357" s="259"/>
      <c r="AU357" s="259"/>
      <c r="AV357" s="259"/>
      <c r="AW357" s="259"/>
    </row>
    <row r="358" spans="2:49" ht="15" customHeight="1" x14ac:dyDescent="0.25">
      <c r="B358" s="260"/>
      <c r="D358" s="262"/>
      <c r="G358" s="289"/>
      <c r="H358" s="265"/>
      <c r="I358" s="266"/>
      <c r="K358" s="268"/>
      <c r="L358" s="278"/>
      <c r="M358" s="274"/>
      <c r="N358" s="258"/>
      <c r="O358" s="258"/>
      <c r="P358" s="258"/>
      <c r="Q358" s="276"/>
      <c r="W358" s="272"/>
      <c r="X358" s="272"/>
      <c r="Y358" s="272"/>
      <c r="Z358" s="258"/>
      <c r="AA358" s="258"/>
      <c r="AB358" s="258"/>
      <c r="AC358" s="258"/>
      <c r="AD358" s="258"/>
      <c r="AE358" s="258"/>
      <c r="AF358" s="258"/>
      <c r="AG358" s="258"/>
      <c r="AH358" s="258"/>
      <c r="AQ358" s="259"/>
      <c r="AR358" s="259"/>
      <c r="AS358" s="259"/>
      <c r="AT358" s="259"/>
      <c r="AU358" s="259"/>
      <c r="AV358" s="259"/>
      <c r="AW358" s="259"/>
    </row>
    <row r="359" spans="2:49" ht="15" customHeight="1" x14ac:dyDescent="0.25">
      <c r="B359" s="260"/>
      <c r="D359" s="262"/>
      <c r="G359" s="288"/>
      <c r="H359" s="265"/>
      <c r="I359" s="266"/>
      <c r="K359" s="268"/>
      <c r="L359" s="278"/>
      <c r="M359" s="274"/>
      <c r="N359" s="258"/>
      <c r="O359" s="258"/>
      <c r="P359" s="258"/>
      <c r="Q359" s="276"/>
      <c r="W359" s="272"/>
      <c r="X359" s="272"/>
      <c r="Y359" s="272"/>
      <c r="Z359" s="258"/>
      <c r="AA359" s="258"/>
      <c r="AB359" s="258"/>
      <c r="AC359" s="258"/>
      <c r="AD359" s="258"/>
      <c r="AE359" s="258"/>
      <c r="AF359" s="258"/>
      <c r="AG359" s="258"/>
      <c r="AH359" s="258"/>
      <c r="AQ359" s="259"/>
      <c r="AR359" s="259"/>
      <c r="AS359" s="259"/>
      <c r="AT359" s="259"/>
      <c r="AU359" s="259"/>
      <c r="AV359" s="259"/>
      <c r="AW359" s="259"/>
    </row>
    <row r="360" spans="2:49" ht="15" customHeight="1" x14ac:dyDescent="0.25">
      <c r="B360" s="260"/>
      <c r="D360" s="262"/>
      <c r="G360" s="288"/>
      <c r="H360" s="265"/>
      <c r="I360" s="266"/>
      <c r="K360" s="268"/>
      <c r="L360" s="273"/>
      <c r="M360" s="274"/>
      <c r="N360" s="270"/>
      <c r="O360" s="270"/>
      <c r="P360" s="270"/>
      <c r="Q360" s="275"/>
      <c r="R360" s="272"/>
      <c r="S360" s="272"/>
      <c r="T360" s="272"/>
      <c r="U360" s="272"/>
      <c r="V360" s="272"/>
      <c r="W360" s="272"/>
      <c r="X360" s="272"/>
      <c r="Y360" s="272"/>
      <c r="Z360" s="258"/>
      <c r="AA360" s="258"/>
      <c r="AB360" s="258"/>
      <c r="AC360" s="258"/>
      <c r="AD360" s="258"/>
      <c r="AE360" s="258"/>
      <c r="AF360" s="258"/>
      <c r="AG360" s="258"/>
      <c r="AH360" s="258"/>
      <c r="AI360" s="258"/>
      <c r="AQ360" s="259"/>
      <c r="AR360" s="259"/>
      <c r="AS360" s="259"/>
      <c r="AT360" s="259"/>
      <c r="AU360" s="259"/>
      <c r="AV360" s="259"/>
      <c r="AW360" s="259"/>
    </row>
    <row r="361" spans="2:49" ht="15" customHeight="1" x14ac:dyDescent="0.25">
      <c r="B361" s="260"/>
      <c r="D361" s="262"/>
      <c r="G361" s="288"/>
      <c r="H361" s="265"/>
      <c r="I361" s="266"/>
      <c r="K361" s="268"/>
      <c r="L361" s="273"/>
      <c r="M361" s="274"/>
      <c r="N361" s="258"/>
      <c r="O361" s="258"/>
      <c r="P361" s="258"/>
      <c r="Q361" s="276"/>
      <c r="R361" s="272"/>
      <c r="S361" s="272"/>
      <c r="T361" s="272"/>
      <c r="U361" s="272"/>
      <c r="V361" s="272"/>
      <c r="W361" s="272"/>
      <c r="X361" s="272"/>
      <c r="Y361" s="272"/>
      <c r="Z361" s="258"/>
      <c r="AA361" s="258"/>
      <c r="AB361" s="258"/>
      <c r="AC361" s="258"/>
      <c r="AD361" s="258"/>
      <c r="AE361" s="258"/>
      <c r="AF361" s="258"/>
      <c r="AG361" s="258"/>
      <c r="AH361" s="258"/>
      <c r="AI361" s="258"/>
      <c r="AQ361" s="259"/>
      <c r="AR361" s="259"/>
      <c r="AS361" s="259"/>
      <c r="AT361" s="259"/>
      <c r="AU361" s="259"/>
      <c r="AV361" s="259"/>
      <c r="AW361" s="259"/>
    </row>
    <row r="362" spans="2:49" ht="15" customHeight="1" x14ac:dyDescent="0.25">
      <c r="B362" s="260"/>
      <c r="D362" s="262"/>
      <c r="G362" s="288"/>
      <c r="H362" s="265"/>
      <c r="I362" s="266"/>
      <c r="K362" s="268"/>
      <c r="L362" s="273"/>
      <c r="M362" s="274"/>
      <c r="N362" s="258"/>
      <c r="O362" s="258"/>
      <c r="P362" s="258"/>
      <c r="Q362" s="276"/>
      <c r="R362" s="272"/>
      <c r="S362" s="272"/>
      <c r="T362" s="272"/>
      <c r="U362" s="272"/>
      <c r="V362" s="272"/>
      <c r="W362" s="272"/>
      <c r="X362" s="272"/>
      <c r="Y362" s="272"/>
      <c r="Z362" s="258"/>
      <c r="AA362" s="258"/>
      <c r="AB362" s="258"/>
      <c r="AC362" s="258"/>
      <c r="AD362" s="258"/>
      <c r="AE362" s="258"/>
      <c r="AF362" s="258"/>
      <c r="AG362" s="258"/>
      <c r="AH362" s="270"/>
      <c r="AI362" s="270"/>
      <c r="AQ362" s="259"/>
      <c r="AR362" s="259"/>
      <c r="AS362" s="259"/>
      <c r="AT362" s="259"/>
      <c r="AU362" s="259"/>
      <c r="AV362" s="259"/>
      <c r="AW362" s="259"/>
    </row>
    <row r="363" spans="2:49" ht="15" customHeight="1" x14ac:dyDescent="0.25">
      <c r="B363" s="260"/>
      <c r="C363" s="290"/>
      <c r="D363" s="262"/>
      <c r="E363" s="291"/>
      <c r="F363" s="262"/>
      <c r="G363" s="289"/>
      <c r="H363" s="243"/>
      <c r="I363" s="266"/>
      <c r="K363" s="268"/>
      <c r="L363" s="273"/>
      <c r="M363" s="277"/>
      <c r="N363" s="258"/>
      <c r="O363" s="258"/>
      <c r="P363" s="258"/>
      <c r="Q363" s="276"/>
      <c r="R363" s="272"/>
      <c r="S363" s="272"/>
      <c r="T363" s="272"/>
      <c r="U363" s="272"/>
      <c r="V363" s="272"/>
      <c r="W363" s="272"/>
      <c r="X363" s="272"/>
      <c r="Y363" s="272"/>
      <c r="Z363" s="258"/>
      <c r="AA363" s="258"/>
      <c r="AB363" s="258"/>
      <c r="AC363" s="258"/>
      <c r="AD363" s="258"/>
      <c r="AE363" s="258"/>
      <c r="AF363" s="258"/>
      <c r="AG363" s="258"/>
      <c r="AH363" s="270"/>
      <c r="AI363" s="270"/>
      <c r="AQ363" s="259"/>
      <c r="AR363" s="259"/>
      <c r="AS363" s="259"/>
      <c r="AT363" s="259"/>
      <c r="AU363" s="259"/>
      <c r="AV363" s="259"/>
      <c r="AW363" s="259"/>
    </row>
    <row r="364" spans="2:49" ht="15" customHeight="1" x14ac:dyDescent="0.25">
      <c r="B364" s="260"/>
      <c r="D364" s="262"/>
      <c r="G364" s="288"/>
      <c r="H364" s="265"/>
      <c r="I364" s="266"/>
      <c r="K364" s="268"/>
      <c r="L364" s="278"/>
      <c r="M364" s="274"/>
      <c r="N364" s="258"/>
      <c r="O364" s="258"/>
      <c r="P364" s="258"/>
      <c r="Q364" s="276"/>
      <c r="R364" s="272"/>
      <c r="S364" s="272"/>
      <c r="T364" s="272"/>
      <c r="U364" s="272"/>
      <c r="V364" s="272"/>
      <c r="W364" s="272"/>
      <c r="X364" s="272"/>
      <c r="Y364" s="272"/>
      <c r="Z364" s="258"/>
      <c r="AA364" s="258"/>
      <c r="AB364" s="258"/>
      <c r="AC364" s="258"/>
      <c r="AD364" s="258"/>
      <c r="AE364" s="258"/>
      <c r="AF364" s="258"/>
      <c r="AG364" s="258"/>
      <c r="AH364" s="270"/>
      <c r="AI364" s="270"/>
      <c r="AQ364" s="259"/>
      <c r="AR364" s="259"/>
      <c r="AS364" s="259"/>
      <c r="AT364" s="259"/>
      <c r="AU364" s="259"/>
      <c r="AV364" s="259"/>
      <c r="AW364" s="259"/>
    </row>
    <row r="365" spans="2:49" ht="15" customHeight="1" x14ac:dyDescent="0.25">
      <c r="B365" s="260"/>
      <c r="C365" s="290"/>
      <c r="D365" s="262"/>
      <c r="E365" s="291"/>
      <c r="F365" s="262"/>
      <c r="G365" s="289"/>
      <c r="H365" s="243"/>
      <c r="I365" s="266"/>
      <c r="K365" s="268"/>
      <c r="L365" s="278"/>
      <c r="M365" s="274"/>
      <c r="N365" s="258"/>
      <c r="O365" s="258"/>
      <c r="P365" s="258"/>
      <c r="Q365" s="276"/>
      <c r="R365" s="272"/>
      <c r="S365" s="272"/>
      <c r="T365" s="272"/>
      <c r="U365" s="272"/>
      <c r="V365" s="272"/>
      <c r="W365" s="272"/>
      <c r="X365" s="272"/>
      <c r="Y365" s="272"/>
      <c r="Z365" s="258"/>
      <c r="AA365" s="258"/>
      <c r="AB365" s="258"/>
      <c r="AC365" s="258"/>
      <c r="AD365" s="258"/>
      <c r="AE365" s="258"/>
      <c r="AF365" s="258"/>
      <c r="AG365" s="258"/>
      <c r="AH365" s="258"/>
      <c r="AQ365" s="259"/>
      <c r="AR365" s="259"/>
      <c r="AS365" s="259"/>
      <c r="AT365" s="259"/>
      <c r="AU365" s="259"/>
      <c r="AV365" s="259"/>
      <c r="AW365" s="259"/>
    </row>
    <row r="366" spans="2:49" ht="15" customHeight="1" x14ac:dyDescent="0.25">
      <c r="B366" s="260"/>
      <c r="D366" s="262"/>
      <c r="G366" s="288"/>
      <c r="H366" s="265"/>
      <c r="I366" s="266"/>
      <c r="K366" s="268"/>
      <c r="L366" s="278"/>
      <c r="M366" s="274"/>
      <c r="N366" s="258"/>
      <c r="O366" s="258"/>
      <c r="P366" s="258"/>
      <c r="Q366" s="276"/>
      <c r="R366" s="272"/>
      <c r="S366" s="272"/>
      <c r="T366" s="272"/>
      <c r="U366" s="272"/>
      <c r="V366" s="272"/>
      <c r="W366" s="272"/>
      <c r="X366" s="272"/>
      <c r="Y366" s="272"/>
      <c r="Z366" s="258"/>
      <c r="AA366" s="258"/>
      <c r="AB366" s="258"/>
      <c r="AC366" s="258"/>
      <c r="AD366" s="258"/>
      <c r="AE366" s="258"/>
      <c r="AF366" s="258"/>
      <c r="AG366" s="258"/>
      <c r="AH366" s="258"/>
      <c r="AQ366" s="259"/>
      <c r="AR366" s="259"/>
      <c r="AS366" s="259"/>
      <c r="AT366" s="259"/>
      <c r="AU366" s="259"/>
      <c r="AV366" s="259"/>
      <c r="AW366" s="259"/>
    </row>
    <row r="367" spans="2:49" ht="15" customHeight="1" x14ac:dyDescent="0.25">
      <c r="B367" s="260"/>
      <c r="D367" s="262"/>
      <c r="G367" s="289"/>
      <c r="H367" s="265"/>
      <c r="I367" s="266"/>
      <c r="K367" s="268"/>
      <c r="L367" s="278"/>
      <c r="M367" s="274"/>
      <c r="N367" s="258"/>
      <c r="O367" s="258"/>
      <c r="P367" s="258"/>
      <c r="Q367" s="276"/>
      <c r="R367" s="272"/>
      <c r="S367" s="272"/>
      <c r="T367" s="272"/>
      <c r="U367" s="272"/>
      <c r="V367" s="272"/>
      <c r="W367" s="272"/>
      <c r="X367" s="272"/>
      <c r="Y367" s="272"/>
      <c r="Z367" s="258"/>
      <c r="AA367" s="258"/>
      <c r="AB367" s="258"/>
      <c r="AC367" s="258"/>
      <c r="AD367" s="258"/>
      <c r="AE367" s="258"/>
      <c r="AF367" s="258"/>
      <c r="AG367" s="258"/>
      <c r="AH367" s="258"/>
      <c r="AQ367" s="259"/>
      <c r="AR367" s="259"/>
      <c r="AS367" s="259"/>
      <c r="AT367" s="259"/>
      <c r="AU367" s="259"/>
      <c r="AV367" s="259"/>
      <c r="AW367" s="259"/>
    </row>
    <row r="368" spans="2:49" ht="15" customHeight="1" x14ac:dyDescent="0.25">
      <c r="B368" s="260"/>
      <c r="D368" s="262"/>
      <c r="G368" s="289"/>
      <c r="H368" s="265"/>
      <c r="I368" s="266"/>
      <c r="K368" s="268"/>
      <c r="L368" s="278"/>
      <c r="M368" s="274"/>
      <c r="N368" s="258"/>
      <c r="O368" s="258"/>
      <c r="P368" s="258"/>
      <c r="Q368" s="276"/>
      <c r="R368" s="272"/>
      <c r="S368" s="272"/>
      <c r="T368" s="272"/>
      <c r="U368" s="272"/>
      <c r="V368" s="272"/>
      <c r="W368" s="272"/>
      <c r="X368" s="272"/>
      <c r="Y368" s="272"/>
      <c r="Z368" s="258"/>
      <c r="AA368" s="258"/>
      <c r="AB368" s="258"/>
      <c r="AC368" s="258"/>
      <c r="AD368" s="258"/>
      <c r="AE368" s="258"/>
      <c r="AF368" s="258"/>
      <c r="AG368" s="258"/>
      <c r="AH368" s="258"/>
      <c r="AQ368" s="259"/>
      <c r="AR368" s="259"/>
      <c r="AS368" s="259"/>
      <c r="AT368" s="259"/>
      <c r="AU368" s="259"/>
      <c r="AV368" s="259"/>
      <c r="AW368" s="259"/>
    </row>
    <row r="369" spans="2:49" ht="15" customHeight="1" x14ac:dyDescent="0.25">
      <c r="B369" s="260"/>
      <c r="D369" s="262"/>
      <c r="G369" s="289"/>
      <c r="H369" s="265"/>
      <c r="I369" s="266"/>
      <c r="K369" s="268"/>
      <c r="L369" s="278"/>
      <c r="M369" s="274"/>
      <c r="N369" s="258"/>
      <c r="O369" s="258"/>
      <c r="P369" s="258"/>
      <c r="Q369" s="276"/>
      <c r="W369" s="272"/>
      <c r="X369" s="272"/>
      <c r="Y369" s="272"/>
      <c r="Z369" s="258"/>
      <c r="AA369" s="258"/>
      <c r="AB369" s="258"/>
      <c r="AC369" s="258"/>
      <c r="AD369" s="258"/>
      <c r="AE369" s="258"/>
      <c r="AF369" s="258"/>
      <c r="AG369" s="258"/>
      <c r="AH369" s="258"/>
      <c r="AQ369" s="259"/>
      <c r="AR369" s="259"/>
      <c r="AS369" s="259"/>
      <c r="AT369" s="259"/>
      <c r="AU369" s="259"/>
      <c r="AV369" s="259"/>
      <c r="AW369" s="259"/>
    </row>
    <row r="370" spans="2:49" ht="15" customHeight="1" x14ac:dyDescent="0.25">
      <c r="B370" s="260"/>
      <c r="D370" s="262"/>
      <c r="G370" s="289"/>
      <c r="H370" s="265"/>
      <c r="I370" s="266"/>
      <c r="K370" s="268"/>
      <c r="L370" s="278"/>
      <c r="M370" s="274"/>
      <c r="N370" s="258"/>
      <c r="O370" s="258"/>
      <c r="P370" s="258"/>
      <c r="Q370" s="276"/>
      <c r="W370" s="272"/>
      <c r="X370" s="272"/>
      <c r="Y370" s="272"/>
      <c r="Z370" s="258"/>
      <c r="AA370" s="258"/>
      <c r="AB370" s="258"/>
      <c r="AC370" s="258"/>
      <c r="AD370" s="258"/>
      <c r="AE370" s="258"/>
      <c r="AF370" s="258"/>
      <c r="AG370" s="258"/>
      <c r="AH370" s="258"/>
      <c r="AQ370" s="259"/>
      <c r="AR370" s="259"/>
      <c r="AS370" s="259"/>
      <c r="AT370" s="259"/>
      <c r="AU370" s="259"/>
      <c r="AV370" s="259"/>
      <c r="AW370" s="259"/>
    </row>
    <row r="371" spans="2:49" ht="15" customHeight="1" x14ac:dyDescent="0.25">
      <c r="B371" s="260"/>
      <c r="D371" s="262"/>
      <c r="G371" s="289"/>
      <c r="H371" s="265"/>
      <c r="I371" s="266"/>
      <c r="K371" s="268"/>
      <c r="L371" s="278"/>
      <c r="M371" s="274"/>
      <c r="N371" s="258"/>
      <c r="O371" s="258"/>
      <c r="P371" s="258"/>
      <c r="Q371" s="276"/>
      <c r="W371" s="272"/>
      <c r="X371" s="272"/>
      <c r="Y371" s="272"/>
      <c r="Z371" s="258"/>
      <c r="AA371" s="258"/>
      <c r="AB371" s="258"/>
      <c r="AC371" s="258"/>
      <c r="AD371" s="258"/>
      <c r="AE371" s="258"/>
      <c r="AF371" s="258"/>
      <c r="AG371" s="258"/>
      <c r="AH371" s="258"/>
      <c r="AQ371" s="259"/>
      <c r="AR371" s="259"/>
      <c r="AS371" s="259"/>
      <c r="AT371" s="259"/>
      <c r="AU371" s="259"/>
      <c r="AV371" s="259"/>
      <c r="AW371" s="259"/>
    </row>
    <row r="372" spans="2:49" ht="15" customHeight="1" x14ac:dyDescent="0.25">
      <c r="B372" s="260"/>
      <c r="D372" s="262"/>
      <c r="G372" s="288"/>
      <c r="H372" s="265"/>
      <c r="I372" s="266"/>
      <c r="K372" s="268"/>
      <c r="L372" s="273"/>
      <c r="M372" s="274"/>
      <c r="N372" s="270"/>
      <c r="O372" s="270"/>
      <c r="P372" s="270"/>
      <c r="Q372" s="275"/>
      <c r="R372" s="272"/>
      <c r="S372" s="272"/>
      <c r="T372" s="272"/>
      <c r="U372" s="272"/>
      <c r="V372" s="272"/>
      <c r="W372" s="272"/>
      <c r="X372" s="272"/>
      <c r="Y372" s="272"/>
      <c r="Z372" s="258"/>
      <c r="AA372" s="258"/>
      <c r="AB372" s="258"/>
      <c r="AC372" s="258"/>
      <c r="AD372" s="258"/>
      <c r="AE372" s="258"/>
      <c r="AF372" s="258"/>
      <c r="AG372" s="258"/>
      <c r="AH372" s="258"/>
      <c r="AI372" s="258"/>
      <c r="AQ372" s="259"/>
      <c r="AR372" s="259"/>
      <c r="AS372" s="259"/>
      <c r="AT372" s="259"/>
      <c r="AU372" s="259"/>
      <c r="AV372" s="259"/>
      <c r="AW372" s="259"/>
    </row>
    <row r="373" spans="2:49" ht="15" customHeight="1" x14ac:dyDescent="0.25">
      <c r="B373" s="260"/>
      <c r="D373" s="262"/>
      <c r="G373" s="289"/>
      <c r="H373" s="265"/>
      <c r="I373" s="266"/>
      <c r="K373" s="268"/>
      <c r="L373" s="273"/>
      <c r="M373" s="274"/>
      <c r="N373" s="258"/>
      <c r="O373" s="258"/>
      <c r="P373" s="258"/>
      <c r="Q373" s="276"/>
      <c r="R373" s="272"/>
      <c r="S373" s="272"/>
      <c r="T373" s="272"/>
      <c r="U373" s="272"/>
      <c r="V373" s="272"/>
      <c r="W373" s="272"/>
      <c r="X373" s="272"/>
      <c r="Y373" s="272"/>
      <c r="Z373" s="258"/>
      <c r="AA373" s="258"/>
      <c r="AB373" s="258"/>
      <c r="AC373" s="258"/>
      <c r="AD373" s="258"/>
      <c r="AE373" s="258"/>
      <c r="AF373" s="258"/>
      <c r="AG373" s="258"/>
      <c r="AH373" s="258"/>
      <c r="AI373" s="258"/>
      <c r="AQ373" s="259"/>
      <c r="AR373" s="259"/>
      <c r="AS373" s="259"/>
      <c r="AT373" s="259"/>
      <c r="AU373" s="259"/>
      <c r="AV373" s="259"/>
      <c r="AW373" s="259"/>
    </row>
    <row r="374" spans="2:49" ht="15" customHeight="1" x14ac:dyDescent="0.25">
      <c r="B374" s="260"/>
      <c r="D374" s="262"/>
      <c r="G374" s="288"/>
      <c r="H374" s="265"/>
      <c r="I374" s="266"/>
      <c r="K374" s="268"/>
      <c r="L374" s="273"/>
      <c r="M374" s="274"/>
      <c r="N374" s="258"/>
      <c r="O374" s="258"/>
      <c r="P374" s="258"/>
      <c r="Q374" s="276"/>
      <c r="R374" s="272"/>
      <c r="S374" s="272"/>
      <c r="T374" s="272"/>
      <c r="U374" s="272"/>
      <c r="V374" s="272"/>
      <c r="W374" s="272"/>
      <c r="X374" s="272"/>
      <c r="Y374" s="272"/>
      <c r="Z374" s="258"/>
      <c r="AA374" s="258"/>
      <c r="AB374" s="258"/>
      <c r="AC374" s="258"/>
      <c r="AD374" s="258"/>
      <c r="AE374" s="258"/>
      <c r="AF374" s="258"/>
      <c r="AG374" s="258"/>
      <c r="AH374" s="270"/>
      <c r="AI374" s="270"/>
      <c r="AQ374" s="259"/>
      <c r="AR374" s="259"/>
      <c r="AS374" s="259"/>
      <c r="AT374" s="259"/>
      <c r="AU374" s="259"/>
      <c r="AV374" s="259"/>
      <c r="AW374" s="259"/>
    </row>
    <row r="375" spans="2:49" ht="15" customHeight="1" x14ac:dyDescent="0.25">
      <c r="B375" s="260"/>
      <c r="D375" s="262"/>
      <c r="G375" s="288"/>
      <c r="H375" s="265"/>
      <c r="I375" s="266"/>
      <c r="K375" s="268"/>
      <c r="L375" s="273"/>
      <c r="M375" s="277"/>
      <c r="N375" s="258"/>
      <c r="O375" s="258"/>
      <c r="P375" s="258"/>
      <c r="Q375" s="276"/>
      <c r="R375" s="272"/>
      <c r="S375" s="272"/>
      <c r="T375" s="272"/>
      <c r="U375" s="272"/>
      <c r="V375" s="272"/>
      <c r="W375" s="272"/>
      <c r="X375" s="272"/>
      <c r="Y375" s="272"/>
      <c r="Z375" s="258"/>
      <c r="AA375" s="258"/>
      <c r="AB375" s="258"/>
      <c r="AC375" s="258"/>
      <c r="AD375" s="258"/>
      <c r="AE375" s="258"/>
      <c r="AF375" s="258"/>
      <c r="AG375" s="258"/>
      <c r="AH375" s="270"/>
      <c r="AI375" s="270"/>
      <c r="AQ375" s="259"/>
      <c r="AR375" s="259"/>
      <c r="AS375" s="259"/>
      <c r="AT375" s="259"/>
      <c r="AU375" s="259"/>
      <c r="AV375" s="259"/>
      <c r="AW375" s="259"/>
    </row>
    <row r="376" spans="2:49" ht="15" customHeight="1" x14ac:dyDescent="0.25">
      <c r="B376" s="260"/>
      <c r="D376" s="262"/>
      <c r="G376" s="264"/>
      <c r="H376" s="265"/>
      <c r="I376" s="266"/>
      <c r="K376" s="268"/>
      <c r="L376" s="278"/>
      <c r="M376" s="274"/>
      <c r="N376" s="258"/>
      <c r="O376" s="258"/>
      <c r="P376" s="258"/>
      <c r="Q376" s="276"/>
      <c r="R376" s="272"/>
      <c r="S376" s="272"/>
      <c r="T376" s="272"/>
      <c r="U376" s="272"/>
      <c r="V376" s="272"/>
      <c r="W376" s="272"/>
      <c r="X376" s="272"/>
      <c r="Y376" s="272"/>
      <c r="Z376" s="258"/>
      <c r="AA376" s="258"/>
      <c r="AB376" s="258"/>
      <c r="AC376" s="258"/>
      <c r="AD376" s="258"/>
      <c r="AE376" s="258"/>
      <c r="AF376" s="258"/>
      <c r="AG376" s="258"/>
      <c r="AH376" s="270"/>
      <c r="AI376" s="270"/>
      <c r="AQ376" s="259"/>
      <c r="AR376" s="259"/>
      <c r="AS376" s="259"/>
      <c r="AT376" s="259"/>
      <c r="AU376" s="259"/>
      <c r="AV376" s="259"/>
      <c r="AW376" s="259"/>
    </row>
    <row r="377" spans="2:49" ht="15" customHeight="1" x14ac:dyDescent="0.25">
      <c r="B377" s="260"/>
      <c r="D377" s="262"/>
      <c r="G377" s="289"/>
      <c r="H377" s="265"/>
      <c r="I377" s="266"/>
      <c r="K377" s="268"/>
      <c r="L377" s="278"/>
      <c r="M377" s="274"/>
      <c r="N377" s="258"/>
      <c r="O377" s="258"/>
      <c r="P377" s="258"/>
      <c r="Q377" s="276"/>
      <c r="R377" s="272"/>
      <c r="S377" s="272"/>
      <c r="T377" s="272"/>
      <c r="U377" s="272"/>
      <c r="V377" s="272"/>
      <c r="W377" s="272"/>
      <c r="X377" s="272"/>
      <c r="Y377" s="272"/>
      <c r="Z377" s="258"/>
      <c r="AA377" s="258"/>
      <c r="AB377" s="258"/>
      <c r="AC377" s="258"/>
      <c r="AD377" s="258"/>
      <c r="AE377" s="258"/>
      <c r="AF377" s="258"/>
      <c r="AG377" s="258"/>
      <c r="AH377" s="258"/>
      <c r="AQ377" s="259"/>
      <c r="AR377" s="259"/>
      <c r="AS377" s="259"/>
      <c r="AT377" s="259"/>
      <c r="AU377" s="259"/>
      <c r="AV377" s="259"/>
      <c r="AW377" s="259"/>
    </row>
    <row r="378" spans="2:49" ht="15" customHeight="1" x14ac:dyDescent="0.25">
      <c r="B378" s="260"/>
      <c r="D378" s="262"/>
      <c r="G378" s="289"/>
      <c r="H378" s="265"/>
      <c r="I378" s="266"/>
      <c r="K378" s="268"/>
      <c r="L378" s="278"/>
      <c r="M378" s="274"/>
      <c r="N378" s="258"/>
      <c r="O378" s="258"/>
      <c r="P378" s="258"/>
      <c r="Q378" s="276"/>
      <c r="R378" s="272"/>
      <c r="S378" s="272"/>
      <c r="T378" s="272"/>
      <c r="U378" s="272"/>
      <c r="V378" s="272"/>
      <c r="W378" s="272"/>
      <c r="X378" s="272"/>
      <c r="Y378" s="272"/>
      <c r="Z378" s="258"/>
      <c r="AA378" s="258"/>
      <c r="AB378" s="258"/>
      <c r="AC378" s="258"/>
      <c r="AD378" s="258"/>
      <c r="AE378" s="258"/>
      <c r="AF378" s="258"/>
      <c r="AG378" s="258"/>
      <c r="AH378" s="258"/>
      <c r="AQ378" s="259"/>
      <c r="AR378" s="259"/>
      <c r="AS378" s="259"/>
      <c r="AT378" s="259"/>
      <c r="AU378" s="259"/>
      <c r="AV378" s="259"/>
      <c r="AW378" s="259"/>
    </row>
    <row r="379" spans="2:49" ht="15" customHeight="1" x14ac:dyDescent="0.25">
      <c r="B379" s="260"/>
      <c r="D379" s="262"/>
      <c r="G379" s="288"/>
      <c r="H379" s="265"/>
      <c r="I379" s="266"/>
      <c r="K379" s="268"/>
      <c r="L379" s="278"/>
      <c r="M379" s="274"/>
      <c r="N379" s="258"/>
      <c r="O379" s="258"/>
      <c r="P379" s="258"/>
      <c r="Q379" s="276"/>
      <c r="R379" s="272"/>
      <c r="S379" s="272"/>
      <c r="T379" s="272"/>
      <c r="U379" s="272"/>
      <c r="V379" s="272"/>
      <c r="W379" s="272"/>
      <c r="X379" s="272"/>
      <c r="Y379" s="272"/>
      <c r="Z379" s="258"/>
      <c r="AA379" s="258"/>
      <c r="AB379" s="258"/>
      <c r="AC379" s="258"/>
      <c r="AD379" s="258"/>
      <c r="AE379" s="258"/>
      <c r="AF379" s="258"/>
      <c r="AG379" s="258"/>
      <c r="AH379" s="258"/>
      <c r="AQ379" s="259"/>
      <c r="AR379" s="259"/>
      <c r="AS379" s="259"/>
      <c r="AT379" s="259"/>
      <c r="AU379" s="259"/>
      <c r="AV379" s="259"/>
      <c r="AW379" s="259"/>
    </row>
    <row r="380" spans="2:49" ht="15" customHeight="1" x14ac:dyDescent="0.25">
      <c r="B380" s="260"/>
      <c r="D380" s="262"/>
      <c r="G380" s="289"/>
      <c r="H380" s="265"/>
      <c r="I380" s="266"/>
      <c r="K380" s="268"/>
      <c r="L380" s="278"/>
      <c r="M380" s="274"/>
      <c r="N380" s="258"/>
      <c r="O380" s="258"/>
      <c r="P380" s="258"/>
      <c r="Q380" s="276"/>
      <c r="R380" s="272"/>
      <c r="S380" s="272"/>
      <c r="T380" s="272"/>
      <c r="U380" s="272"/>
      <c r="V380" s="272"/>
      <c r="W380" s="272"/>
      <c r="X380" s="272"/>
      <c r="Y380" s="272"/>
      <c r="Z380" s="258"/>
      <c r="AA380" s="258"/>
      <c r="AB380" s="258"/>
      <c r="AC380" s="258"/>
      <c r="AD380" s="258"/>
      <c r="AE380" s="258"/>
      <c r="AF380" s="258"/>
      <c r="AG380" s="258"/>
      <c r="AH380" s="258"/>
      <c r="AQ380" s="259"/>
      <c r="AR380" s="259"/>
      <c r="AS380" s="259"/>
      <c r="AT380" s="259"/>
      <c r="AU380" s="259"/>
      <c r="AV380" s="259"/>
      <c r="AW380" s="259"/>
    </row>
    <row r="381" spans="2:49" ht="15" customHeight="1" x14ac:dyDescent="0.25">
      <c r="B381" s="260"/>
      <c r="D381" s="262"/>
      <c r="E381" s="291"/>
      <c r="F381" s="293"/>
      <c r="G381" s="288"/>
      <c r="H381" s="265"/>
      <c r="I381" s="266"/>
      <c r="K381" s="268"/>
      <c r="L381" s="278"/>
      <c r="M381" s="274"/>
      <c r="N381" s="258"/>
      <c r="O381" s="258"/>
      <c r="P381" s="258"/>
      <c r="Q381" s="276"/>
      <c r="W381" s="272"/>
      <c r="X381" s="272"/>
      <c r="Y381" s="272"/>
      <c r="Z381" s="258"/>
      <c r="AA381" s="258"/>
      <c r="AB381" s="258"/>
      <c r="AC381" s="258"/>
      <c r="AD381" s="258"/>
      <c r="AE381" s="258"/>
      <c r="AF381" s="258"/>
      <c r="AG381" s="258"/>
      <c r="AH381" s="258"/>
      <c r="AQ381" s="259"/>
      <c r="AR381" s="259"/>
      <c r="AS381" s="259"/>
      <c r="AT381" s="259"/>
      <c r="AU381" s="259"/>
      <c r="AV381" s="259"/>
      <c r="AW381" s="259"/>
    </row>
    <row r="382" spans="2:49" ht="15" customHeight="1" x14ac:dyDescent="0.25">
      <c r="B382" s="260"/>
      <c r="D382" s="262"/>
      <c r="E382" s="291"/>
      <c r="F382" s="293"/>
      <c r="G382" s="288"/>
      <c r="H382" s="265"/>
      <c r="I382" s="266"/>
      <c r="K382" s="268"/>
      <c r="L382" s="278"/>
      <c r="M382" s="274"/>
      <c r="N382" s="258"/>
      <c r="O382" s="258"/>
      <c r="P382" s="258"/>
      <c r="Q382" s="276"/>
      <c r="W382" s="272"/>
      <c r="X382" s="272"/>
      <c r="Y382" s="272"/>
      <c r="Z382" s="258"/>
      <c r="AA382" s="258"/>
      <c r="AB382" s="258"/>
      <c r="AC382" s="258"/>
      <c r="AD382" s="258"/>
      <c r="AE382" s="258"/>
      <c r="AF382" s="258"/>
      <c r="AG382" s="258"/>
      <c r="AH382" s="258"/>
      <c r="AQ382" s="259"/>
      <c r="AR382" s="259"/>
      <c r="AS382" s="259"/>
      <c r="AT382" s="259"/>
      <c r="AU382" s="259"/>
      <c r="AV382" s="259"/>
      <c r="AW382" s="259"/>
    </row>
    <row r="383" spans="2:49" ht="15" customHeight="1" x14ac:dyDescent="0.25">
      <c r="B383" s="260"/>
      <c r="D383" s="262"/>
      <c r="G383" s="288"/>
      <c r="H383" s="265"/>
      <c r="I383" s="266"/>
      <c r="K383" s="268"/>
      <c r="L383" s="278"/>
      <c r="M383" s="274"/>
      <c r="N383" s="258"/>
      <c r="O383" s="258"/>
      <c r="P383" s="258"/>
      <c r="Q383" s="276"/>
      <c r="W383" s="272"/>
      <c r="X383" s="272"/>
      <c r="Y383" s="272"/>
      <c r="Z383" s="258"/>
      <c r="AA383" s="258"/>
      <c r="AB383" s="258"/>
      <c r="AC383" s="258"/>
      <c r="AD383" s="258"/>
      <c r="AE383" s="258"/>
      <c r="AF383" s="258"/>
      <c r="AG383" s="258"/>
      <c r="AH383" s="258"/>
      <c r="AQ383" s="259"/>
      <c r="AR383" s="259"/>
      <c r="AS383" s="259"/>
      <c r="AT383" s="259"/>
      <c r="AU383" s="259"/>
      <c r="AV383" s="259"/>
      <c r="AW383" s="259"/>
    </row>
    <row r="384" spans="2:49" ht="15" customHeight="1" x14ac:dyDescent="0.25">
      <c r="B384" s="260"/>
      <c r="D384" s="262"/>
      <c r="G384" s="288"/>
      <c r="H384" s="265"/>
      <c r="I384" s="266"/>
      <c r="K384" s="268"/>
      <c r="L384" s="273"/>
      <c r="M384" s="274"/>
      <c r="N384" s="270"/>
      <c r="O384" s="270"/>
      <c r="P384" s="270"/>
      <c r="Q384" s="275"/>
      <c r="R384" s="272"/>
      <c r="S384" s="272"/>
      <c r="T384" s="272"/>
      <c r="U384" s="272"/>
      <c r="V384" s="272"/>
      <c r="W384" s="272"/>
      <c r="X384" s="272"/>
      <c r="Y384" s="272"/>
      <c r="Z384" s="258"/>
      <c r="AA384" s="258"/>
      <c r="AB384" s="258"/>
      <c r="AC384" s="258"/>
      <c r="AD384" s="258"/>
      <c r="AE384" s="258"/>
      <c r="AF384" s="258"/>
      <c r="AG384" s="258"/>
      <c r="AH384" s="258"/>
      <c r="AI384" s="258"/>
      <c r="AQ384" s="259"/>
      <c r="AR384" s="259"/>
      <c r="AS384" s="259"/>
      <c r="AT384" s="259"/>
      <c r="AU384" s="259"/>
      <c r="AV384" s="259"/>
      <c r="AW384" s="259"/>
    </row>
    <row r="385" spans="2:49" ht="15" customHeight="1" x14ac:dyDescent="0.25">
      <c r="B385" s="260"/>
      <c r="D385" s="262"/>
      <c r="G385" s="288"/>
      <c r="H385" s="265"/>
      <c r="I385" s="266"/>
      <c r="K385" s="268"/>
      <c r="L385" s="273"/>
      <c r="M385" s="274"/>
      <c r="N385" s="258"/>
      <c r="O385" s="258"/>
      <c r="P385" s="258"/>
      <c r="Q385" s="276"/>
      <c r="R385" s="272"/>
      <c r="S385" s="272"/>
      <c r="T385" s="272"/>
      <c r="U385" s="272"/>
      <c r="V385" s="272"/>
      <c r="W385" s="272"/>
      <c r="X385" s="272"/>
      <c r="Y385" s="272"/>
      <c r="Z385" s="258"/>
      <c r="AA385" s="258"/>
      <c r="AB385" s="258"/>
      <c r="AC385" s="258"/>
      <c r="AD385" s="258"/>
      <c r="AE385" s="258"/>
      <c r="AF385" s="258"/>
      <c r="AG385" s="258"/>
      <c r="AH385" s="258"/>
      <c r="AI385" s="258"/>
      <c r="AQ385" s="259"/>
      <c r="AR385" s="259"/>
      <c r="AS385" s="259"/>
      <c r="AT385" s="259"/>
      <c r="AU385" s="259"/>
      <c r="AV385" s="259"/>
      <c r="AW385" s="259"/>
    </row>
    <row r="386" spans="2:49" ht="15" customHeight="1" x14ac:dyDescent="0.25">
      <c r="B386" s="260"/>
      <c r="D386" s="262"/>
      <c r="G386" s="289"/>
      <c r="H386" s="265"/>
      <c r="I386" s="266"/>
      <c r="K386" s="268"/>
      <c r="L386" s="273"/>
      <c r="M386" s="274"/>
      <c r="N386" s="258"/>
      <c r="O386" s="258"/>
      <c r="P386" s="258"/>
      <c r="Q386" s="276"/>
      <c r="R386" s="272"/>
      <c r="S386" s="272"/>
      <c r="T386" s="272"/>
      <c r="U386" s="272"/>
      <c r="V386" s="272"/>
      <c r="W386" s="272"/>
      <c r="X386" s="272"/>
      <c r="Y386" s="272"/>
      <c r="Z386" s="258"/>
      <c r="AA386" s="258"/>
      <c r="AB386" s="258"/>
      <c r="AC386" s="258"/>
      <c r="AD386" s="258"/>
      <c r="AE386" s="258"/>
      <c r="AF386" s="258"/>
      <c r="AG386" s="258"/>
      <c r="AH386" s="270"/>
      <c r="AI386" s="270"/>
      <c r="AQ386" s="259"/>
      <c r="AR386" s="259"/>
      <c r="AS386" s="259"/>
      <c r="AT386" s="259"/>
      <c r="AU386" s="259"/>
      <c r="AV386" s="259"/>
      <c r="AW386" s="259"/>
    </row>
    <row r="387" spans="2:49" ht="15" customHeight="1" x14ac:dyDescent="0.25">
      <c r="B387" s="260"/>
      <c r="D387" s="262"/>
      <c r="G387" s="288"/>
      <c r="H387" s="265"/>
      <c r="I387" s="266"/>
      <c r="K387" s="268"/>
      <c r="L387" s="273"/>
      <c r="M387" s="277"/>
      <c r="N387" s="258"/>
      <c r="O387" s="258"/>
      <c r="P387" s="258"/>
      <c r="Q387" s="276"/>
      <c r="R387" s="272"/>
      <c r="S387" s="272"/>
      <c r="T387" s="272"/>
      <c r="U387" s="272"/>
      <c r="V387" s="272"/>
      <c r="W387" s="272"/>
      <c r="X387" s="272"/>
      <c r="Y387" s="272"/>
      <c r="Z387" s="258"/>
      <c r="AA387" s="258"/>
      <c r="AB387" s="258"/>
      <c r="AC387" s="258"/>
      <c r="AD387" s="258"/>
      <c r="AE387" s="258"/>
      <c r="AF387" s="258"/>
      <c r="AG387" s="258"/>
      <c r="AH387" s="270"/>
      <c r="AI387" s="270"/>
      <c r="AQ387" s="259"/>
      <c r="AR387" s="259"/>
      <c r="AS387" s="259"/>
      <c r="AT387" s="259"/>
      <c r="AU387" s="259"/>
      <c r="AV387" s="259"/>
      <c r="AW387" s="259"/>
    </row>
    <row r="388" spans="2:49" ht="15" customHeight="1" x14ac:dyDescent="0.25">
      <c r="B388" s="260"/>
      <c r="D388" s="262"/>
      <c r="G388" s="288"/>
      <c r="H388" s="265"/>
      <c r="I388" s="266"/>
      <c r="K388" s="268"/>
      <c r="L388" s="278"/>
      <c r="M388" s="274"/>
      <c r="N388" s="258"/>
      <c r="O388" s="258"/>
      <c r="P388" s="258"/>
      <c r="Q388" s="276"/>
      <c r="R388" s="272"/>
      <c r="S388" s="272"/>
      <c r="T388" s="272"/>
      <c r="U388" s="272"/>
      <c r="V388" s="272"/>
      <c r="W388" s="272"/>
      <c r="X388" s="272"/>
      <c r="Y388" s="272"/>
      <c r="Z388" s="258"/>
      <c r="AA388" s="258"/>
      <c r="AB388" s="258"/>
      <c r="AC388" s="258"/>
      <c r="AD388" s="258"/>
      <c r="AE388" s="258"/>
      <c r="AF388" s="258"/>
      <c r="AG388" s="258"/>
      <c r="AH388" s="270"/>
      <c r="AI388" s="270"/>
      <c r="AQ388" s="259"/>
      <c r="AR388" s="259"/>
      <c r="AS388" s="259"/>
      <c r="AT388" s="259"/>
      <c r="AU388" s="259"/>
      <c r="AV388" s="259"/>
      <c r="AW388" s="259"/>
    </row>
    <row r="389" spans="2:49" ht="15" customHeight="1" x14ac:dyDescent="0.25">
      <c r="B389" s="260"/>
      <c r="D389" s="262"/>
      <c r="G389" s="289"/>
      <c r="H389" s="265"/>
      <c r="I389" s="266"/>
      <c r="K389" s="268"/>
      <c r="L389" s="278"/>
      <c r="M389" s="274"/>
      <c r="N389" s="258"/>
      <c r="O389" s="258"/>
      <c r="P389" s="258"/>
      <c r="Q389" s="276"/>
      <c r="R389" s="272"/>
      <c r="S389" s="272"/>
      <c r="T389" s="272"/>
      <c r="U389" s="272"/>
      <c r="V389" s="272"/>
      <c r="W389" s="272"/>
      <c r="X389" s="272"/>
      <c r="Y389" s="272"/>
      <c r="Z389" s="258"/>
      <c r="AA389" s="258"/>
      <c r="AB389" s="258"/>
      <c r="AC389" s="258"/>
      <c r="AD389" s="258"/>
      <c r="AE389" s="258"/>
      <c r="AF389" s="258"/>
      <c r="AG389" s="258"/>
      <c r="AH389" s="258"/>
      <c r="AQ389" s="259"/>
      <c r="AR389" s="259"/>
      <c r="AS389" s="259"/>
      <c r="AT389" s="259"/>
      <c r="AU389" s="259"/>
      <c r="AV389" s="259"/>
      <c r="AW389" s="259"/>
    </row>
    <row r="390" spans="2:49" ht="15" customHeight="1" x14ac:dyDescent="0.25">
      <c r="B390" s="260"/>
      <c r="D390" s="262"/>
      <c r="G390" s="289"/>
      <c r="H390" s="265"/>
      <c r="I390" s="266"/>
      <c r="K390" s="268"/>
      <c r="L390" s="278"/>
      <c r="M390" s="274"/>
      <c r="N390" s="258"/>
      <c r="O390" s="258"/>
      <c r="P390" s="258"/>
      <c r="Q390" s="276"/>
      <c r="R390" s="272"/>
      <c r="S390" s="272"/>
      <c r="T390" s="272"/>
      <c r="U390" s="272"/>
      <c r="V390" s="272"/>
      <c r="W390" s="272"/>
      <c r="X390" s="272"/>
      <c r="Y390" s="272"/>
      <c r="Z390" s="258"/>
      <c r="AA390" s="258"/>
      <c r="AB390" s="258"/>
      <c r="AC390" s="258"/>
      <c r="AD390" s="258"/>
      <c r="AE390" s="258"/>
      <c r="AF390" s="258"/>
      <c r="AG390" s="258"/>
      <c r="AH390" s="258"/>
      <c r="AQ390" s="259"/>
      <c r="AR390" s="259"/>
      <c r="AS390" s="259"/>
      <c r="AT390" s="259"/>
      <c r="AU390" s="259"/>
      <c r="AV390" s="259"/>
      <c r="AW390" s="259"/>
    </row>
    <row r="391" spans="2:49" ht="15" customHeight="1" x14ac:dyDescent="0.25">
      <c r="B391" s="260"/>
      <c r="D391" s="262"/>
      <c r="G391" s="289"/>
      <c r="H391" s="265"/>
      <c r="I391" s="266"/>
      <c r="K391" s="268"/>
      <c r="L391" s="278"/>
      <c r="M391" s="274"/>
      <c r="N391" s="258"/>
      <c r="O391" s="258"/>
      <c r="P391" s="258"/>
      <c r="Q391" s="276"/>
      <c r="R391" s="272"/>
      <c r="S391" s="272"/>
      <c r="T391" s="272"/>
      <c r="U391" s="272"/>
      <c r="V391" s="272"/>
      <c r="W391" s="272"/>
      <c r="X391" s="272"/>
      <c r="Y391" s="272"/>
      <c r="Z391" s="258"/>
      <c r="AA391" s="258"/>
      <c r="AB391" s="258"/>
      <c r="AC391" s="258"/>
      <c r="AD391" s="258"/>
      <c r="AE391" s="258"/>
      <c r="AF391" s="258"/>
      <c r="AG391" s="258"/>
      <c r="AH391" s="258"/>
      <c r="AQ391" s="259"/>
      <c r="AR391" s="259"/>
      <c r="AS391" s="259"/>
      <c r="AT391" s="259"/>
      <c r="AU391" s="259"/>
      <c r="AV391" s="259"/>
      <c r="AW391" s="259"/>
    </row>
    <row r="392" spans="2:49" ht="15" customHeight="1" x14ac:dyDescent="0.25">
      <c r="B392" s="260"/>
      <c r="D392" s="262"/>
      <c r="G392" s="289"/>
      <c r="H392" s="265"/>
      <c r="I392" s="266"/>
      <c r="K392" s="268"/>
      <c r="L392" s="278"/>
      <c r="M392" s="274"/>
      <c r="N392" s="258"/>
      <c r="O392" s="258"/>
      <c r="P392" s="258"/>
      <c r="Q392" s="276"/>
      <c r="R392" s="272"/>
      <c r="S392" s="272"/>
      <c r="T392" s="272"/>
      <c r="U392" s="272"/>
      <c r="V392" s="272"/>
      <c r="W392" s="272"/>
      <c r="X392" s="272"/>
      <c r="Y392" s="272"/>
      <c r="Z392" s="258"/>
      <c r="AA392" s="258"/>
      <c r="AB392" s="258"/>
      <c r="AC392" s="258"/>
      <c r="AD392" s="258"/>
      <c r="AE392" s="258"/>
      <c r="AF392" s="258"/>
      <c r="AG392" s="258"/>
      <c r="AH392" s="258"/>
      <c r="AQ392" s="259"/>
      <c r="AR392" s="259"/>
      <c r="AS392" s="259"/>
      <c r="AT392" s="259"/>
      <c r="AU392" s="259"/>
      <c r="AV392" s="259"/>
      <c r="AW392" s="259"/>
    </row>
    <row r="393" spans="2:49" ht="15" customHeight="1" x14ac:dyDescent="0.25">
      <c r="B393" s="260"/>
      <c r="C393" s="290"/>
      <c r="D393" s="262"/>
      <c r="E393" s="291"/>
      <c r="F393" s="262"/>
      <c r="G393" s="289"/>
      <c r="H393" s="243"/>
      <c r="I393" s="266"/>
      <c r="K393" s="268"/>
      <c r="L393" s="278"/>
      <c r="M393" s="274"/>
      <c r="N393" s="258"/>
      <c r="O393" s="258"/>
      <c r="P393" s="258"/>
      <c r="Q393" s="276"/>
      <c r="W393" s="272"/>
      <c r="X393" s="272"/>
      <c r="Y393" s="272"/>
      <c r="Z393" s="258"/>
      <c r="AA393" s="258"/>
      <c r="AB393" s="258"/>
      <c r="AC393" s="258"/>
      <c r="AD393" s="258"/>
      <c r="AE393" s="258"/>
      <c r="AF393" s="258"/>
      <c r="AG393" s="258"/>
      <c r="AH393" s="258"/>
      <c r="AQ393" s="259"/>
      <c r="AR393" s="259"/>
      <c r="AS393" s="259"/>
      <c r="AT393" s="259"/>
      <c r="AU393" s="259"/>
      <c r="AV393" s="259"/>
      <c r="AW393" s="259"/>
    </row>
    <row r="394" spans="2:49" ht="15" customHeight="1" x14ac:dyDescent="0.25">
      <c r="B394" s="260"/>
      <c r="D394" s="262"/>
      <c r="G394" s="289"/>
      <c r="H394" s="265"/>
      <c r="I394" s="266"/>
      <c r="K394" s="268"/>
      <c r="L394" s="278"/>
      <c r="M394" s="274"/>
      <c r="N394" s="258"/>
      <c r="O394" s="258"/>
      <c r="P394" s="258"/>
      <c r="Q394" s="276"/>
      <c r="W394" s="272"/>
      <c r="X394" s="272"/>
      <c r="Y394" s="272"/>
      <c r="Z394" s="258"/>
      <c r="AA394" s="258"/>
      <c r="AB394" s="258"/>
      <c r="AC394" s="258"/>
      <c r="AD394" s="258"/>
      <c r="AE394" s="258"/>
      <c r="AF394" s="258"/>
      <c r="AG394" s="258"/>
      <c r="AH394" s="258"/>
      <c r="AQ394" s="259"/>
      <c r="AR394" s="259"/>
      <c r="AS394" s="259"/>
      <c r="AT394" s="259"/>
      <c r="AU394" s="259"/>
      <c r="AV394" s="259"/>
      <c r="AW394" s="259"/>
    </row>
    <row r="395" spans="2:49" ht="15" customHeight="1" x14ac:dyDescent="0.25">
      <c r="B395" s="260"/>
      <c r="D395" s="262"/>
      <c r="G395" s="288"/>
      <c r="H395" s="265"/>
      <c r="I395" s="266"/>
      <c r="K395" s="268"/>
      <c r="L395" s="278"/>
      <c r="M395" s="274"/>
      <c r="N395" s="258"/>
      <c r="O395" s="258"/>
      <c r="P395" s="258"/>
      <c r="Q395" s="276"/>
      <c r="W395" s="272"/>
      <c r="X395" s="272"/>
      <c r="Y395" s="272"/>
      <c r="Z395" s="258"/>
      <c r="AA395" s="258"/>
      <c r="AB395" s="258"/>
      <c r="AC395" s="258"/>
      <c r="AD395" s="258"/>
      <c r="AE395" s="258"/>
      <c r="AF395" s="258"/>
      <c r="AG395" s="258"/>
      <c r="AH395" s="258"/>
      <c r="AQ395" s="259"/>
      <c r="AR395" s="259"/>
      <c r="AS395" s="259"/>
      <c r="AT395" s="259"/>
      <c r="AU395" s="259"/>
      <c r="AV395" s="259"/>
      <c r="AW395" s="259"/>
    </row>
    <row r="396" spans="2:49" ht="15" customHeight="1" x14ac:dyDescent="0.25">
      <c r="B396" s="260"/>
      <c r="D396" s="262"/>
      <c r="G396" s="288"/>
      <c r="H396" s="265"/>
      <c r="I396" s="266"/>
      <c r="K396" s="268"/>
      <c r="L396" s="273"/>
      <c r="M396" s="274"/>
      <c r="N396" s="270"/>
      <c r="O396" s="270"/>
      <c r="P396" s="270"/>
      <c r="Q396" s="275"/>
      <c r="R396" s="272"/>
      <c r="S396" s="272"/>
      <c r="T396" s="272"/>
      <c r="U396" s="272"/>
      <c r="V396" s="272"/>
      <c r="W396" s="272"/>
      <c r="X396" s="272"/>
      <c r="Y396" s="272"/>
      <c r="Z396" s="258"/>
      <c r="AA396" s="258"/>
      <c r="AB396" s="258"/>
      <c r="AC396" s="258"/>
      <c r="AD396" s="258"/>
      <c r="AE396" s="258"/>
      <c r="AF396" s="258"/>
      <c r="AG396" s="258"/>
      <c r="AH396" s="258"/>
      <c r="AI396" s="258"/>
      <c r="AQ396" s="259"/>
      <c r="AR396" s="259"/>
      <c r="AS396" s="259"/>
      <c r="AT396" s="259"/>
      <c r="AU396" s="259"/>
      <c r="AV396" s="259"/>
      <c r="AW396" s="259"/>
    </row>
    <row r="397" spans="2:49" ht="15" customHeight="1" x14ac:dyDescent="0.25">
      <c r="B397" s="260"/>
      <c r="D397" s="262"/>
      <c r="E397" s="291"/>
      <c r="F397" s="293"/>
      <c r="G397" s="288"/>
      <c r="H397" s="265"/>
      <c r="I397" s="266"/>
      <c r="K397" s="268"/>
      <c r="L397" s="273"/>
      <c r="M397" s="274"/>
      <c r="N397" s="258"/>
      <c r="O397" s="258"/>
      <c r="P397" s="258"/>
      <c r="Q397" s="276"/>
      <c r="R397" s="272"/>
      <c r="S397" s="272"/>
      <c r="T397" s="272"/>
      <c r="U397" s="272"/>
      <c r="V397" s="272"/>
      <c r="W397" s="272"/>
      <c r="X397" s="272"/>
      <c r="Y397" s="272"/>
      <c r="Z397" s="258"/>
      <c r="AA397" s="258"/>
      <c r="AB397" s="258"/>
      <c r="AC397" s="258"/>
      <c r="AD397" s="258"/>
      <c r="AE397" s="258"/>
      <c r="AF397" s="258"/>
      <c r="AG397" s="258"/>
      <c r="AH397" s="258"/>
      <c r="AI397" s="258"/>
      <c r="AQ397" s="259"/>
      <c r="AR397" s="259"/>
      <c r="AS397" s="259"/>
      <c r="AT397" s="259"/>
      <c r="AU397" s="259"/>
      <c r="AV397" s="259"/>
      <c r="AW397" s="259"/>
    </row>
    <row r="398" spans="2:49" ht="15" customHeight="1" x14ac:dyDescent="0.25">
      <c r="B398" s="260"/>
      <c r="C398" s="290"/>
      <c r="D398" s="262"/>
      <c r="E398" s="291"/>
      <c r="F398" s="262"/>
      <c r="G398" s="289"/>
      <c r="H398" s="243"/>
      <c r="I398" s="266"/>
      <c r="K398" s="268"/>
      <c r="L398" s="273"/>
      <c r="M398" s="274"/>
      <c r="N398" s="258"/>
      <c r="O398" s="258"/>
      <c r="P398" s="258"/>
      <c r="Q398" s="276"/>
      <c r="R398" s="272"/>
      <c r="S398" s="272"/>
      <c r="T398" s="272"/>
      <c r="U398" s="272"/>
      <c r="V398" s="272"/>
      <c r="W398" s="272"/>
      <c r="X398" s="272"/>
      <c r="Y398" s="272"/>
      <c r="Z398" s="258"/>
      <c r="AA398" s="258"/>
      <c r="AB398" s="258"/>
      <c r="AC398" s="258"/>
      <c r="AD398" s="258"/>
      <c r="AE398" s="258"/>
      <c r="AF398" s="258"/>
      <c r="AG398" s="258"/>
      <c r="AH398" s="270"/>
      <c r="AI398" s="270"/>
      <c r="AQ398" s="259"/>
      <c r="AR398" s="259"/>
      <c r="AS398" s="259"/>
      <c r="AT398" s="259"/>
      <c r="AU398" s="259"/>
      <c r="AV398" s="259"/>
      <c r="AW398" s="259"/>
    </row>
    <row r="399" spans="2:49" ht="15" customHeight="1" x14ac:dyDescent="0.25">
      <c r="B399" s="260"/>
      <c r="D399" s="262"/>
      <c r="G399" s="289"/>
      <c r="H399" s="265"/>
      <c r="I399" s="266"/>
      <c r="K399" s="268"/>
      <c r="L399" s="273"/>
      <c r="M399" s="277"/>
      <c r="N399" s="258"/>
      <c r="O399" s="258"/>
      <c r="P399" s="258"/>
      <c r="Q399" s="276"/>
      <c r="R399" s="272"/>
      <c r="S399" s="272"/>
      <c r="T399" s="272"/>
      <c r="U399" s="272"/>
      <c r="V399" s="272"/>
      <c r="W399" s="272"/>
      <c r="X399" s="272"/>
      <c r="Y399" s="272"/>
      <c r="Z399" s="258"/>
      <c r="AA399" s="258"/>
      <c r="AB399" s="258"/>
      <c r="AC399" s="258"/>
      <c r="AD399" s="258"/>
      <c r="AE399" s="258"/>
      <c r="AF399" s="258"/>
      <c r="AG399" s="258"/>
      <c r="AH399" s="270"/>
      <c r="AI399" s="270"/>
      <c r="AQ399" s="259"/>
      <c r="AR399" s="259"/>
      <c r="AS399" s="259"/>
      <c r="AT399" s="259"/>
      <c r="AU399" s="259"/>
      <c r="AV399" s="259"/>
      <c r="AW399" s="259"/>
    </row>
    <row r="400" spans="2:49" ht="15" customHeight="1" x14ac:dyDescent="0.25">
      <c r="B400" s="260"/>
      <c r="D400" s="262"/>
      <c r="G400" s="289"/>
      <c r="H400" s="265"/>
      <c r="I400" s="266"/>
      <c r="K400" s="268"/>
      <c r="L400" s="278"/>
      <c r="M400" s="274"/>
      <c r="N400" s="258"/>
      <c r="O400" s="258"/>
      <c r="P400" s="258"/>
      <c r="Q400" s="276"/>
      <c r="R400" s="272"/>
      <c r="S400" s="272"/>
      <c r="T400" s="272"/>
      <c r="U400" s="272"/>
      <c r="V400" s="272"/>
      <c r="W400" s="272"/>
      <c r="X400" s="272"/>
      <c r="Y400" s="272"/>
      <c r="Z400" s="258"/>
      <c r="AA400" s="258"/>
      <c r="AB400" s="258"/>
      <c r="AC400" s="258"/>
      <c r="AD400" s="258"/>
      <c r="AE400" s="258"/>
      <c r="AF400" s="258"/>
      <c r="AG400" s="258"/>
      <c r="AH400" s="270"/>
      <c r="AI400" s="270"/>
      <c r="AQ400" s="259"/>
      <c r="AR400" s="259"/>
      <c r="AS400" s="259"/>
      <c r="AT400" s="259"/>
      <c r="AU400" s="259"/>
      <c r="AV400" s="259"/>
      <c r="AW400" s="259"/>
    </row>
    <row r="401" spans="2:49" ht="15" customHeight="1" x14ac:dyDescent="0.25">
      <c r="B401" s="260"/>
      <c r="D401" s="262"/>
      <c r="G401" s="288"/>
      <c r="H401" s="265"/>
      <c r="I401" s="266"/>
      <c r="K401" s="268"/>
      <c r="L401" s="278"/>
      <c r="M401" s="274"/>
      <c r="N401" s="258"/>
      <c r="O401" s="258"/>
      <c r="P401" s="258"/>
      <c r="Q401" s="276"/>
      <c r="R401" s="272"/>
      <c r="S401" s="272"/>
      <c r="T401" s="272"/>
      <c r="U401" s="272"/>
      <c r="V401" s="272"/>
      <c r="W401" s="272"/>
      <c r="X401" s="272"/>
      <c r="Y401" s="272"/>
      <c r="Z401" s="258"/>
      <c r="AA401" s="258"/>
      <c r="AB401" s="258"/>
      <c r="AC401" s="258"/>
      <c r="AD401" s="258"/>
      <c r="AE401" s="258"/>
      <c r="AF401" s="258"/>
      <c r="AG401" s="258"/>
      <c r="AH401" s="258"/>
      <c r="AQ401" s="259"/>
      <c r="AR401" s="259"/>
      <c r="AS401" s="259"/>
      <c r="AT401" s="259"/>
      <c r="AU401" s="259"/>
      <c r="AV401" s="259"/>
      <c r="AW401" s="259"/>
    </row>
    <row r="402" spans="2:49" ht="15" customHeight="1" x14ac:dyDescent="0.25">
      <c r="B402" s="260"/>
      <c r="C402" s="290"/>
      <c r="D402" s="262"/>
      <c r="E402" s="291"/>
      <c r="F402" s="262"/>
      <c r="G402" s="289"/>
      <c r="H402" s="243"/>
      <c r="I402" s="266"/>
      <c r="K402" s="268"/>
      <c r="L402" s="278"/>
      <c r="M402" s="274"/>
      <c r="N402" s="258"/>
      <c r="O402" s="258"/>
      <c r="P402" s="258"/>
      <c r="Q402" s="276"/>
      <c r="R402" s="272"/>
      <c r="S402" s="272"/>
      <c r="T402" s="272"/>
      <c r="U402" s="272"/>
      <c r="V402" s="272"/>
      <c r="W402" s="272"/>
      <c r="X402" s="272"/>
      <c r="Y402" s="272"/>
      <c r="Z402" s="258"/>
      <c r="AA402" s="258"/>
      <c r="AB402" s="258"/>
      <c r="AC402" s="258"/>
      <c r="AD402" s="258"/>
      <c r="AE402" s="258"/>
      <c r="AF402" s="258"/>
      <c r="AG402" s="258"/>
      <c r="AH402" s="258"/>
      <c r="AQ402" s="259"/>
      <c r="AR402" s="259"/>
      <c r="AS402" s="259"/>
      <c r="AT402" s="259"/>
      <c r="AU402" s="259"/>
      <c r="AV402" s="259"/>
      <c r="AW402" s="259"/>
    </row>
    <row r="403" spans="2:49" ht="15" customHeight="1" x14ac:dyDescent="0.25">
      <c r="B403" s="260"/>
      <c r="D403" s="262"/>
      <c r="G403" s="288"/>
      <c r="H403" s="265"/>
      <c r="I403" s="266"/>
      <c r="K403" s="268"/>
      <c r="L403" s="278"/>
      <c r="M403" s="274"/>
      <c r="N403" s="258"/>
      <c r="O403" s="258"/>
      <c r="P403" s="258"/>
      <c r="Q403" s="276"/>
      <c r="R403" s="272"/>
      <c r="S403" s="272"/>
      <c r="T403" s="272"/>
      <c r="U403" s="272"/>
      <c r="V403" s="272"/>
      <c r="W403" s="272"/>
      <c r="X403" s="272"/>
      <c r="Y403" s="272"/>
      <c r="Z403" s="258"/>
      <c r="AA403" s="258"/>
      <c r="AB403" s="258"/>
      <c r="AC403" s="258"/>
      <c r="AD403" s="258"/>
      <c r="AE403" s="258"/>
      <c r="AF403" s="258"/>
      <c r="AG403" s="258"/>
      <c r="AH403" s="258"/>
      <c r="AQ403" s="259"/>
      <c r="AR403" s="259"/>
      <c r="AS403" s="259"/>
      <c r="AT403" s="259"/>
      <c r="AU403" s="259"/>
      <c r="AV403" s="259"/>
      <c r="AW403" s="259"/>
    </row>
    <row r="404" spans="2:49" ht="15" customHeight="1" x14ac:dyDescent="0.25">
      <c r="B404" s="260"/>
      <c r="D404" s="262"/>
      <c r="E404" s="291"/>
      <c r="F404" s="293"/>
      <c r="G404" s="288"/>
      <c r="H404" s="265"/>
      <c r="I404" s="266"/>
      <c r="K404" s="268"/>
      <c r="L404" s="278"/>
      <c r="M404" s="274"/>
      <c r="N404" s="258"/>
      <c r="O404" s="258"/>
      <c r="P404" s="258"/>
      <c r="Q404" s="276"/>
      <c r="R404" s="272"/>
      <c r="S404" s="272"/>
      <c r="T404" s="272"/>
      <c r="U404" s="272"/>
      <c r="V404" s="272"/>
      <c r="W404" s="272"/>
      <c r="X404" s="272"/>
      <c r="Y404" s="272"/>
      <c r="Z404" s="258"/>
      <c r="AA404" s="258"/>
      <c r="AB404" s="258"/>
      <c r="AC404" s="258"/>
      <c r="AD404" s="258"/>
      <c r="AE404" s="258"/>
      <c r="AF404" s="258"/>
      <c r="AG404" s="258"/>
      <c r="AH404" s="258"/>
      <c r="AQ404" s="259"/>
      <c r="AR404" s="259"/>
      <c r="AS404" s="259"/>
      <c r="AT404" s="259"/>
      <c r="AU404" s="259"/>
      <c r="AV404" s="259"/>
      <c r="AW404" s="259"/>
    </row>
    <row r="405" spans="2:49" ht="15" customHeight="1" x14ac:dyDescent="0.25">
      <c r="B405" s="260"/>
      <c r="D405" s="262"/>
      <c r="G405" s="288"/>
      <c r="H405" s="265"/>
      <c r="I405" s="266"/>
      <c r="K405" s="268"/>
      <c r="L405" s="278"/>
      <c r="M405" s="274"/>
      <c r="N405" s="258"/>
      <c r="O405" s="258"/>
      <c r="P405" s="258"/>
      <c r="Q405" s="276"/>
      <c r="W405" s="272"/>
      <c r="X405" s="272"/>
      <c r="Y405" s="272"/>
      <c r="Z405" s="258"/>
      <c r="AA405" s="258"/>
      <c r="AB405" s="258"/>
      <c r="AC405" s="258"/>
      <c r="AD405" s="258"/>
      <c r="AE405" s="258"/>
      <c r="AF405" s="258"/>
      <c r="AG405" s="258"/>
      <c r="AH405" s="258"/>
      <c r="AQ405" s="259"/>
      <c r="AR405" s="259"/>
      <c r="AS405" s="259"/>
      <c r="AT405" s="259"/>
      <c r="AU405" s="259"/>
      <c r="AV405" s="259"/>
      <c r="AW405" s="259"/>
    </row>
    <row r="406" spans="2:49" ht="15" customHeight="1" x14ac:dyDescent="0.25">
      <c r="B406" s="260"/>
      <c r="D406" s="262"/>
      <c r="G406" s="288"/>
      <c r="H406" s="265"/>
      <c r="I406" s="266"/>
      <c r="K406" s="268"/>
      <c r="L406" s="278"/>
      <c r="M406" s="274"/>
      <c r="N406" s="258"/>
      <c r="O406" s="258"/>
      <c r="P406" s="258"/>
      <c r="Q406" s="276"/>
      <c r="W406" s="272"/>
      <c r="X406" s="272"/>
      <c r="Y406" s="272"/>
      <c r="Z406" s="258"/>
      <c r="AA406" s="258"/>
      <c r="AB406" s="258"/>
      <c r="AC406" s="258"/>
      <c r="AD406" s="258"/>
      <c r="AE406" s="258"/>
      <c r="AF406" s="258"/>
      <c r="AG406" s="258"/>
      <c r="AH406" s="258"/>
      <c r="AQ406" s="259"/>
      <c r="AR406" s="259"/>
      <c r="AS406" s="259"/>
      <c r="AT406" s="259"/>
      <c r="AU406" s="259"/>
      <c r="AV406" s="259"/>
      <c r="AW406" s="259"/>
    </row>
    <row r="407" spans="2:49" ht="15" customHeight="1" x14ac:dyDescent="0.25">
      <c r="B407" s="260"/>
      <c r="D407" s="262"/>
      <c r="E407" s="291"/>
      <c r="F407" s="293"/>
      <c r="G407" s="288"/>
      <c r="H407" s="265"/>
      <c r="I407" s="266"/>
      <c r="K407" s="268"/>
      <c r="L407" s="278"/>
      <c r="M407" s="274"/>
      <c r="N407" s="258"/>
      <c r="O407" s="258"/>
      <c r="P407" s="258"/>
      <c r="Q407" s="276"/>
      <c r="W407" s="272"/>
      <c r="X407" s="272"/>
      <c r="Y407" s="272"/>
      <c r="Z407" s="258"/>
      <c r="AA407" s="258"/>
      <c r="AB407" s="258"/>
      <c r="AC407" s="258"/>
      <c r="AD407" s="258"/>
      <c r="AE407" s="258"/>
      <c r="AF407" s="258"/>
      <c r="AG407" s="258"/>
      <c r="AH407" s="258"/>
      <c r="AQ407" s="259"/>
      <c r="AR407" s="259"/>
      <c r="AS407" s="259"/>
      <c r="AT407" s="259"/>
      <c r="AU407" s="259"/>
      <c r="AV407" s="259"/>
      <c r="AW407" s="259"/>
    </row>
    <row r="408" spans="2:49" ht="15" customHeight="1" x14ac:dyDescent="0.25">
      <c r="B408" s="260"/>
      <c r="D408" s="262"/>
      <c r="G408" s="288"/>
      <c r="H408" s="265"/>
      <c r="I408" s="266"/>
      <c r="K408" s="268"/>
      <c r="L408" s="273"/>
      <c r="M408" s="274"/>
      <c r="N408" s="270"/>
      <c r="O408" s="270"/>
      <c r="P408" s="270"/>
      <c r="Q408" s="275"/>
      <c r="R408" s="272"/>
      <c r="S408" s="272"/>
      <c r="T408" s="272"/>
      <c r="U408" s="272"/>
      <c r="V408" s="272"/>
      <c r="W408" s="272"/>
      <c r="X408" s="272"/>
      <c r="Y408" s="272"/>
      <c r="Z408" s="258"/>
      <c r="AA408" s="258"/>
      <c r="AB408" s="258"/>
      <c r="AC408" s="258"/>
      <c r="AD408" s="258"/>
      <c r="AE408" s="258"/>
      <c r="AF408" s="258"/>
      <c r="AG408" s="258"/>
      <c r="AH408" s="258"/>
      <c r="AI408" s="258"/>
      <c r="AQ408" s="259"/>
      <c r="AR408" s="259"/>
      <c r="AS408" s="259"/>
      <c r="AT408" s="259"/>
      <c r="AU408" s="259"/>
      <c r="AV408" s="259"/>
      <c r="AW408" s="259"/>
    </row>
    <row r="409" spans="2:49" ht="15" customHeight="1" x14ac:dyDescent="0.25">
      <c r="B409" s="260"/>
      <c r="D409" s="262"/>
      <c r="G409" s="289"/>
      <c r="H409" s="265"/>
      <c r="I409" s="266"/>
      <c r="K409" s="268"/>
      <c r="L409" s="273"/>
      <c r="M409" s="274"/>
      <c r="N409" s="258"/>
      <c r="O409" s="258"/>
      <c r="P409" s="258"/>
      <c r="Q409" s="276"/>
      <c r="R409" s="272"/>
      <c r="S409" s="272"/>
      <c r="T409" s="272"/>
      <c r="U409" s="272"/>
      <c r="V409" s="272"/>
      <c r="W409" s="272"/>
      <c r="X409" s="272"/>
      <c r="Y409" s="272"/>
      <c r="Z409" s="258"/>
      <c r="AA409" s="258"/>
      <c r="AB409" s="258"/>
      <c r="AC409" s="258"/>
      <c r="AD409" s="258"/>
      <c r="AE409" s="258"/>
      <c r="AF409" s="258"/>
      <c r="AG409" s="258"/>
      <c r="AH409" s="258"/>
      <c r="AI409" s="258"/>
      <c r="AQ409" s="259"/>
      <c r="AR409" s="259"/>
      <c r="AS409" s="259"/>
      <c r="AT409" s="259"/>
      <c r="AU409" s="259"/>
      <c r="AV409" s="259"/>
      <c r="AW409" s="259"/>
    </row>
    <row r="410" spans="2:49" ht="15" customHeight="1" x14ac:dyDescent="0.25">
      <c r="B410" s="260"/>
      <c r="D410" s="262"/>
      <c r="G410" s="289"/>
      <c r="H410" s="265"/>
      <c r="I410" s="266"/>
      <c r="K410" s="268"/>
      <c r="L410" s="273"/>
      <c r="M410" s="274"/>
      <c r="N410" s="258"/>
      <c r="O410" s="258"/>
      <c r="P410" s="258"/>
      <c r="Q410" s="276"/>
      <c r="R410" s="272"/>
      <c r="S410" s="272"/>
      <c r="T410" s="272"/>
      <c r="U410" s="272"/>
      <c r="V410" s="272"/>
      <c r="W410" s="272"/>
      <c r="X410" s="272"/>
      <c r="Y410" s="272"/>
      <c r="Z410" s="258"/>
      <c r="AA410" s="258"/>
      <c r="AB410" s="258"/>
      <c r="AC410" s="258"/>
      <c r="AD410" s="258"/>
      <c r="AE410" s="258"/>
      <c r="AF410" s="258"/>
      <c r="AG410" s="258"/>
      <c r="AH410" s="270"/>
      <c r="AI410" s="270"/>
      <c r="AQ410" s="259"/>
      <c r="AR410" s="259"/>
      <c r="AS410" s="259"/>
      <c r="AT410" s="259"/>
      <c r="AU410" s="259"/>
      <c r="AV410" s="259"/>
      <c r="AW410" s="259"/>
    </row>
    <row r="411" spans="2:49" ht="15" customHeight="1" x14ac:dyDescent="0.25">
      <c r="B411" s="260"/>
      <c r="D411" s="262"/>
      <c r="G411" s="289"/>
      <c r="H411" s="265"/>
      <c r="I411" s="266"/>
      <c r="K411" s="268"/>
      <c r="L411" s="273"/>
      <c r="M411" s="277"/>
      <c r="N411" s="258"/>
      <c r="O411" s="258"/>
      <c r="P411" s="258"/>
      <c r="Q411" s="276"/>
      <c r="R411" s="272"/>
      <c r="S411" s="272"/>
      <c r="T411" s="272"/>
      <c r="U411" s="272"/>
      <c r="V411" s="272"/>
      <c r="W411" s="272"/>
      <c r="X411" s="272"/>
      <c r="Y411" s="272"/>
      <c r="Z411" s="258"/>
      <c r="AA411" s="258"/>
      <c r="AB411" s="258"/>
      <c r="AC411" s="258"/>
      <c r="AD411" s="258"/>
      <c r="AE411" s="258"/>
      <c r="AF411" s="258"/>
      <c r="AG411" s="258"/>
      <c r="AH411" s="270"/>
      <c r="AI411" s="270"/>
      <c r="AQ411" s="259"/>
      <c r="AR411" s="259"/>
      <c r="AS411" s="259"/>
      <c r="AT411" s="259"/>
      <c r="AU411" s="259"/>
      <c r="AV411" s="259"/>
      <c r="AW411" s="259"/>
    </row>
    <row r="412" spans="2:49" ht="15" customHeight="1" x14ac:dyDescent="0.25">
      <c r="B412" s="260"/>
      <c r="D412" s="262"/>
      <c r="G412" s="288"/>
      <c r="H412" s="265"/>
      <c r="I412" s="266"/>
      <c r="K412" s="268"/>
      <c r="L412" s="278"/>
      <c r="M412" s="274"/>
      <c r="N412" s="258"/>
      <c r="O412" s="258"/>
      <c r="P412" s="258"/>
      <c r="Q412" s="276"/>
      <c r="R412" s="272"/>
      <c r="S412" s="272"/>
      <c r="T412" s="272"/>
      <c r="U412" s="272"/>
      <c r="V412" s="272"/>
      <c r="W412" s="272"/>
      <c r="X412" s="272"/>
      <c r="Y412" s="272"/>
      <c r="Z412" s="258"/>
      <c r="AA412" s="258"/>
      <c r="AB412" s="258"/>
      <c r="AC412" s="258"/>
      <c r="AD412" s="258"/>
      <c r="AE412" s="258"/>
      <c r="AF412" s="258"/>
      <c r="AG412" s="258"/>
      <c r="AH412" s="270"/>
      <c r="AI412" s="270"/>
      <c r="AQ412" s="259"/>
      <c r="AR412" s="259"/>
      <c r="AS412" s="259"/>
      <c r="AT412" s="259"/>
      <c r="AU412" s="259"/>
      <c r="AV412" s="259"/>
      <c r="AW412" s="259"/>
    </row>
    <row r="413" spans="2:49" ht="15" customHeight="1" x14ac:dyDescent="0.25">
      <c r="B413" s="260"/>
      <c r="D413" s="262"/>
      <c r="G413" s="288"/>
      <c r="H413" s="265"/>
      <c r="I413" s="266"/>
      <c r="K413" s="268"/>
      <c r="L413" s="278"/>
      <c r="M413" s="274"/>
      <c r="N413" s="258"/>
      <c r="O413" s="258"/>
      <c r="P413" s="258"/>
      <c r="Q413" s="276"/>
      <c r="R413" s="272"/>
      <c r="S413" s="272"/>
      <c r="T413" s="272"/>
      <c r="U413" s="272"/>
      <c r="V413" s="272"/>
      <c r="W413" s="272"/>
      <c r="X413" s="272"/>
      <c r="Y413" s="272"/>
      <c r="Z413" s="258"/>
      <c r="AA413" s="258"/>
      <c r="AB413" s="258"/>
      <c r="AC413" s="258"/>
      <c r="AD413" s="258"/>
      <c r="AE413" s="258"/>
      <c r="AF413" s="258"/>
      <c r="AG413" s="258"/>
      <c r="AH413" s="258"/>
      <c r="AQ413" s="259"/>
      <c r="AR413" s="259"/>
      <c r="AS413" s="259"/>
      <c r="AT413" s="259"/>
      <c r="AU413" s="259"/>
      <c r="AV413" s="259"/>
      <c r="AW413" s="259"/>
    </row>
    <row r="414" spans="2:49" ht="15" customHeight="1" x14ac:dyDescent="0.25">
      <c r="B414" s="260"/>
      <c r="D414" s="262"/>
      <c r="G414" s="288"/>
      <c r="H414" s="265"/>
      <c r="I414" s="266"/>
      <c r="K414" s="268"/>
      <c r="L414" s="278"/>
      <c r="M414" s="274"/>
      <c r="N414" s="258"/>
      <c r="O414" s="258"/>
      <c r="P414" s="258"/>
      <c r="Q414" s="276"/>
      <c r="R414" s="272"/>
      <c r="S414" s="272"/>
      <c r="T414" s="272"/>
      <c r="U414" s="272"/>
      <c r="V414" s="272"/>
      <c r="W414" s="272"/>
      <c r="X414" s="272"/>
      <c r="Y414" s="272"/>
      <c r="Z414" s="258"/>
      <c r="AA414" s="258"/>
      <c r="AB414" s="258"/>
      <c r="AC414" s="258"/>
      <c r="AD414" s="258"/>
      <c r="AE414" s="258"/>
      <c r="AF414" s="258"/>
      <c r="AG414" s="258"/>
      <c r="AH414" s="258"/>
      <c r="AQ414" s="259"/>
      <c r="AR414" s="259"/>
      <c r="AS414" s="259"/>
      <c r="AT414" s="259"/>
      <c r="AU414" s="259"/>
      <c r="AV414" s="259"/>
      <c r="AW414" s="259"/>
    </row>
    <row r="415" spans="2:49" ht="15" customHeight="1" x14ac:dyDescent="0.25">
      <c r="B415" s="260"/>
      <c r="D415" s="262"/>
      <c r="E415" s="291"/>
      <c r="F415" s="293"/>
      <c r="G415" s="288"/>
      <c r="H415" s="265"/>
      <c r="I415" s="266"/>
      <c r="K415" s="268"/>
      <c r="L415" s="278"/>
      <c r="M415" s="274"/>
      <c r="N415" s="258"/>
      <c r="O415" s="258"/>
      <c r="P415" s="258"/>
      <c r="Q415" s="276"/>
      <c r="R415" s="272"/>
      <c r="S415" s="272"/>
      <c r="T415" s="272"/>
      <c r="U415" s="272"/>
      <c r="V415" s="272"/>
      <c r="W415" s="272"/>
      <c r="X415" s="272"/>
      <c r="Y415" s="272"/>
      <c r="Z415" s="258"/>
      <c r="AA415" s="258"/>
      <c r="AB415" s="258"/>
      <c r="AC415" s="258"/>
      <c r="AD415" s="258"/>
      <c r="AE415" s="258"/>
      <c r="AF415" s="258"/>
      <c r="AG415" s="258"/>
      <c r="AH415" s="258"/>
      <c r="AQ415" s="259"/>
      <c r="AR415" s="259"/>
      <c r="AS415" s="259"/>
      <c r="AT415" s="259"/>
      <c r="AU415" s="259"/>
      <c r="AV415" s="259"/>
      <c r="AW415" s="259"/>
    </row>
    <row r="416" spans="2:49" ht="15" customHeight="1" x14ac:dyDescent="0.25">
      <c r="B416" s="260"/>
      <c r="C416" s="290"/>
      <c r="D416" s="262"/>
      <c r="E416" s="291"/>
      <c r="F416" s="262"/>
      <c r="G416" s="289"/>
      <c r="H416" s="243"/>
      <c r="I416" s="266"/>
      <c r="K416" s="268"/>
      <c r="L416" s="278"/>
      <c r="M416" s="274"/>
      <c r="N416" s="258"/>
      <c r="O416" s="258"/>
      <c r="P416" s="258"/>
      <c r="Q416" s="276"/>
      <c r="R416" s="272"/>
      <c r="S416" s="272"/>
      <c r="T416" s="272"/>
      <c r="U416" s="272"/>
      <c r="V416" s="272"/>
      <c r="W416" s="272"/>
      <c r="X416" s="272"/>
      <c r="Y416" s="272"/>
      <c r="Z416" s="258"/>
      <c r="AA416" s="258"/>
      <c r="AB416" s="258"/>
      <c r="AC416" s="258"/>
      <c r="AD416" s="258"/>
      <c r="AE416" s="258"/>
      <c r="AF416" s="258"/>
      <c r="AG416" s="258"/>
      <c r="AH416" s="258"/>
      <c r="AQ416" s="259"/>
      <c r="AR416" s="259"/>
      <c r="AS416" s="259"/>
      <c r="AT416" s="259"/>
      <c r="AU416" s="259"/>
      <c r="AV416" s="259"/>
      <c r="AW416" s="259"/>
    </row>
    <row r="417" spans="2:49" ht="15" customHeight="1" x14ac:dyDescent="0.25">
      <c r="B417" s="260"/>
      <c r="D417" s="262"/>
      <c r="G417" s="289"/>
      <c r="H417" s="265"/>
      <c r="I417" s="266"/>
      <c r="K417" s="268"/>
      <c r="L417" s="278"/>
      <c r="M417" s="274"/>
      <c r="N417" s="258"/>
      <c r="O417" s="258"/>
      <c r="P417" s="258"/>
      <c r="Q417" s="276"/>
      <c r="W417" s="272"/>
      <c r="X417" s="272"/>
      <c r="Y417" s="272"/>
      <c r="Z417" s="258"/>
      <c r="AA417" s="258"/>
      <c r="AB417" s="258"/>
      <c r="AC417" s="258"/>
      <c r="AD417" s="258"/>
      <c r="AE417" s="258"/>
      <c r="AF417" s="258"/>
      <c r="AG417" s="258"/>
      <c r="AH417" s="258"/>
      <c r="AQ417" s="259"/>
      <c r="AR417" s="259"/>
      <c r="AS417" s="259"/>
      <c r="AT417" s="259"/>
      <c r="AU417" s="259"/>
      <c r="AV417" s="259"/>
      <c r="AW417" s="259"/>
    </row>
    <row r="418" spans="2:49" ht="15" customHeight="1" x14ac:dyDescent="0.25">
      <c r="B418" s="260"/>
      <c r="D418" s="262"/>
      <c r="G418" s="289"/>
      <c r="H418" s="265"/>
      <c r="I418" s="266"/>
      <c r="K418" s="268"/>
      <c r="L418" s="278"/>
      <c r="M418" s="274"/>
      <c r="N418" s="258"/>
      <c r="O418" s="258"/>
      <c r="P418" s="258"/>
      <c r="Q418" s="276"/>
      <c r="W418" s="272"/>
      <c r="X418" s="272"/>
      <c r="Y418" s="272"/>
      <c r="Z418" s="258"/>
      <c r="AA418" s="258"/>
      <c r="AB418" s="258"/>
      <c r="AC418" s="258"/>
      <c r="AD418" s="258"/>
      <c r="AE418" s="258"/>
      <c r="AF418" s="258"/>
      <c r="AG418" s="258"/>
      <c r="AH418" s="258"/>
      <c r="AQ418" s="259"/>
      <c r="AR418" s="259"/>
      <c r="AS418" s="259"/>
      <c r="AT418" s="259"/>
      <c r="AU418" s="259"/>
      <c r="AV418" s="259"/>
      <c r="AW418" s="259"/>
    </row>
    <row r="419" spans="2:49" ht="15" customHeight="1" x14ac:dyDescent="0.25">
      <c r="B419" s="260"/>
      <c r="D419" s="262"/>
      <c r="G419" s="288"/>
      <c r="H419" s="265"/>
      <c r="I419" s="266"/>
      <c r="K419" s="268"/>
      <c r="L419" s="278"/>
      <c r="M419" s="274"/>
      <c r="N419" s="258"/>
      <c r="O419" s="258"/>
      <c r="P419" s="258"/>
      <c r="Q419" s="276"/>
      <c r="W419" s="272"/>
      <c r="X419" s="272"/>
      <c r="Y419" s="272"/>
      <c r="Z419" s="258"/>
      <c r="AA419" s="258"/>
      <c r="AB419" s="258"/>
      <c r="AC419" s="258"/>
      <c r="AD419" s="258"/>
      <c r="AE419" s="258"/>
      <c r="AF419" s="258"/>
      <c r="AG419" s="258"/>
      <c r="AH419" s="258"/>
      <c r="AQ419" s="259"/>
      <c r="AR419" s="259"/>
      <c r="AS419" s="259"/>
      <c r="AT419" s="259"/>
      <c r="AU419" s="259"/>
      <c r="AV419" s="259"/>
      <c r="AW419" s="259"/>
    </row>
    <row r="420" spans="2:49" ht="15" customHeight="1" x14ac:dyDescent="0.25">
      <c r="B420" s="260"/>
      <c r="D420" s="262"/>
      <c r="G420" s="289"/>
      <c r="H420" s="265"/>
      <c r="I420" s="266"/>
      <c r="K420" s="268"/>
      <c r="L420" s="273"/>
      <c r="M420" s="274"/>
      <c r="N420" s="270"/>
      <c r="O420" s="270"/>
      <c r="P420" s="270"/>
      <c r="Q420" s="275"/>
      <c r="R420" s="272"/>
      <c r="S420" s="272"/>
      <c r="T420" s="272"/>
      <c r="U420" s="272"/>
      <c r="V420" s="272"/>
      <c r="W420" s="272"/>
      <c r="X420" s="272"/>
      <c r="Y420" s="272"/>
      <c r="Z420" s="258"/>
      <c r="AA420" s="258"/>
      <c r="AB420" s="258"/>
      <c r="AC420" s="258"/>
      <c r="AD420" s="258"/>
      <c r="AE420" s="258"/>
      <c r="AF420" s="258"/>
      <c r="AG420" s="258"/>
      <c r="AH420" s="258"/>
      <c r="AI420" s="258"/>
      <c r="AQ420" s="259"/>
      <c r="AR420" s="259"/>
      <c r="AS420" s="259"/>
      <c r="AT420" s="259"/>
      <c r="AU420" s="259"/>
      <c r="AV420" s="259"/>
      <c r="AW420" s="259"/>
    </row>
    <row r="421" spans="2:49" ht="15" customHeight="1" x14ac:dyDescent="0.25">
      <c r="B421" s="260"/>
      <c r="D421" s="262"/>
      <c r="G421" s="289"/>
      <c r="H421" s="265"/>
      <c r="I421" s="266"/>
      <c r="K421" s="268"/>
      <c r="L421" s="273"/>
      <c r="M421" s="274"/>
      <c r="N421" s="258"/>
      <c r="O421" s="258"/>
      <c r="P421" s="258"/>
      <c r="Q421" s="276"/>
      <c r="R421" s="272"/>
      <c r="S421" s="272"/>
      <c r="T421" s="272"/>
      <c r="U421" s="272"/>
      <c r="V421" s="272"/>
      <c r="W421" s="272"/>
      <c r="X421" s="272"/>
      <c r="Y421" s="272"/>
      <c r="Z421" s="258"/>
      <c r="AA421" s="258"/>
      <c r="AB421" s="258"/>
      <c r="AC421" s="258"/>
      <c r="AD421" s="258"/>
      <c r="AE421" s="258"/>
      <c r="AF421" s="258"/>
      <c r="AG421" s="258"/>
      <c r="AH421" s="258"/>
      <c r="AI421" s="258"/>
      <c r="AQ421" s="259"/>
      <c r="AR421" s="259"/>
      <c r="AS421" s="259"/>
      <c r="AT421" s="259"/>
      <c r="AU421" s="259"/>
      <c r="AV421" s="259"/>
      <c r="AW421" s="259"/>
    </row>
    <row r="422" spans="2:49" ht="15" customHeight="1" x14ac:dyDescent="0.25">
      <c r="B422" s="260"/>
      <c r="D422" s="262"/>
      <c r="G422" s="289"/>
      <c r="H422" s="265"/>
      <c r="I422" s="266"/>
      <c r="K422" s="268"/>
      <c r="L422" s="273"/>
      <c r="M422" s="274"/>
      <c r="N422" s="258"/>
      <c r="O422" s="258"/>
      <c r="P422" s="258"/>
      <c r="Q422" s="276"/>
      <c r="R422" s="272"/>
      <c r="S422" s="272"/>
      <c r="T422" s="272"/>
      <c r="U422" s="272"/>
      <c r="V422" s="272"/>
      <c r="W422" s="272"/>
      <c r="X422" s="272"/>
      <c r="Y422" s="272"/>
      <c r="Z422" s="258"/>
      <c r="AA422" s="258"/>
      <c r="AB422" s="258"/>
      <c r="AC422" s="258"/>
      <c r="AD422" s="258"/>
      <c r="AE422" s="258"/>
      <c r="AF422" s="258"/>
      <c r="AG422" s="258"/>
      <c r="AH422" s="270"/>
      <c r="AI422" s="270"/>
      <c r="AQ422" s="259"/>
      <c r="AR422" s="259"/>
      <c r="AS422" s="259"/>
      <c r="AT422" s="259"/>
      <c r="AU422" s="259"/>
      <c r="AV422" s="259"/>
      <c r="AW422" s="259"/>
    </row>
    <row r="423" spans="2:49" ht="15" customHeight="1" x14ac:dyDescent="0.25">
      <c r="B423" s="260"/>
      <c r="D423" s="262"/>
      <c r="G423" s="289"/>
      <c r="H423" s="265"/>
      <c r="I423" s="266"/>
      <c r="K423" s="268"/>
      <c r="L423" s="273"/>
      <c r="M423" s="277"/>
      <c r="N423" s="258"/>
      <c r="O423" s="258"/>
      <c r="P423" s="258"/>
      <c r="Q423" s="276"/>
      <c r="R423" s="272"/>
      <c r="S423" s="272"/>
      <c r="T423" s="272"/>
      <c r="U423" s="272"/>
      <c r="V423" s="272"/>
      <c r="W423" s="272"/>
      <c r="X423" s="272"/>
      <c r="Y423" s="272"/>
      <c r="Z423" s="258"/>
      <c r="AA423" s="258"/>
      <c r="AB423" s="258"/>
      <c r="AC423" s="258"/>
      <c r="AD423" s="258"/>
      <c r="AE423" s="258"/>
      <c r="AF423" s="258"/>
      <c r="AG423" s="258"/>
      <c r="AH423" s="270"/>
      <c r="AI423" s="270"/>
      <c r="AQ423" s="259"/>
      <c r="AR423" s="259"/>
      <c r="AS423" s="259"/>
      <c r="AT423" s="259"/>
      <c r="AU423" s="259"/>
      <c r="AV423" s="259"/>
      <c r="AW423" s="259"/>
    </row>
    <row r="424" spans="2:49" ht="15" customHeight="1" x14ac:dyDescent="0.25">
      <c r="B424" s="260"/>
      <c r="D424" s="262"/>
      <c r="G424" s="289"/>
      <c r="H424" s="265"/>
      <c r="I424" s="266"/>
      <c r="K424" s="268"/>
      <c r="L424" s="278"/>
      <c r="M424" s="274"/>
      <c r="N424" s="258"/>
      <c r="O424" s="258"/>
      <c r="P424" s="258"/>
      <c r="Q424" s="276"/>
      <c r="R424" s="272"/>
      <c r="S424" s="272"/>
      <c r="T424" s="272"/>
      <c r="U424" s="272"/>
      <c r="V424" s="272"/>
      <c r="W424" s="272"/>
      <c r="X424" s="272"/>
      <c r="Y424" s="272"/>
      <c r="Z424" s="258"/>
      <c r="AA424" s="258"/>
      <c r="AB424" s="258"/>
      <c r="AC424" s="258"/>
      <c r="AD424" s="258"/>
      <c r="AE424" s="258"/>
      <c r="AF424" s="258"/>
      <c r="AG424" s="258"/>
      <c r="AH424" s="270"/>
      <c r="AI424" s="270"/>
      <c r="AQ424" s="259"/>
      <c r="AR424" s="259"/>
      <c r="AS424" s="259"/>
      <c r="AT424" s="259"/>
      <c r="AU424" s="259"/>
      <c r="AV424" s="259"/>
      <c r="AW424" s="259"/>
    </row>
    <row r="425" spans="2:49" ht="15" customHeight="1" x14ac:dyDescent="0.25">
      <c r="B425" s="260"/>
      <c r="D425" s="262"/>
      <c r="G425" s="288"/>
      <c r="H425" s="265"/>
      <c r="I425" s="266"/>
      <c r="K425" s="268"/>
      <c r="L425" s="278"/>
      <c r="M425" s="274"/>
      <c r="N425" s="258"/>
      <c r="O425" s="258"/>
      <c r="P425" s="258"/>
      <c r="Q425" s="276"/>
      <c r="R425" s="272"/>
      <c r="S425" s="272"/>
      <c r="T425" s="272"/>
      <c r="U425" s="272"/>
      <c r="V425" s="272"/>
      <c r="W425" s="272"/>
      <c r="X425" s="272"/>
      <c r="Y425" s="272"/>
      <c r="Z425" s="258"/>
      <c r="AA425" s="258"/>
      <c r="AB425" s="258"/>
      <c r="AC425" s="258"/>
      <c r="AD425" s="258"/>
      <c r="AE425" s="258"/>
      <c r="AF425" s="258"/>
      <c r="AG425" s="258"/>
      <c r="AH425" s="258"/>
      <c r="AQ425" s="259"/>
      <c r="AR425" s="259"/>
      <c r="AS425" s="259"/>
      <c r="AT425" s="259"/>
      <c r="AU425" s="259"/>
      <c r="AV425" s="259"/>
      <c r="AW425" s="259"/>
    </row>
    <row r="426" spans="2:49" ht="15" customHeight="1" x14ac:dyDescent="0.25">
      <c r="B426" s="260"/>
      <c r="D426" s="262"/>
      <c r="G426" s="288"/>
      <c r="H426" s="265"/>
      <c r="I426" s="266"/>
      <c r="K426" s="268"/>
      <c r="L426" s="278"/>
      <c r="M426" s="274"/>
      <c r="N426" s="258"/>
      <c r="O426" s="258"/>
      <c r="P426" s="258"/>
      <c r="Q426" s="276"/>
      <c r="R426" s="272"/>
      <c r="S426" s="272"/>
      <c r="T426" s="272"/>
      <c r="U426" s="272"/>
      <c r="V426" s="272"/>
      <c r="W426" s="272"/>
      <c r="X426" s="272"/>
      <c r="Y426" s="272"/>
      <c r="Z426" s="258"/>
      <c r="AA426" s="258"/>
      <c r="AB426" s="258"/>
      <c r="AC426" s="258"/>
      <c r="AD426" s="258"/>
      <c r="AE426" s="258"/>
      <c r="AF426" s="258"/>
      <c r="AG426" s="258"/>
      <c r="AH426" s="258"/>
      <c r="AQ426" s="259"/>
      <c r="AR426" s="259"/>
      <c r="AS426" s="259"/>
      <c r="AT426" s="259"/>
      <c r="AU426" s="259"/>
      <c r="AV426" s="259"/>
      <c r="AW426" s="259"/>
    </row>
    <row r="427" spans="2:49" ht="15" customHeight="1" x14ac:dyDescent="0.25">
      <c r="B427" s="260"/>
      <c r="D427" s="262"/>
      <c r="G427" s="288"/>
      <c r="H427" s="265"/>
      <c r="I427" s="266"/>
      <c r="K427" s="268"/>
      <c r="L427" s="278"/>
      <c r="M427" s="274"/>
      <c r="N427" s="258"/>
      <c r="O427" s="258"/>
      <c r="P427" s="258"/>
      <c r="Q427" s="276"/>
      <c r="R427" s="272"/>
      <c r="S427" s="272"/>
      <c r="T427" s="272"/>
      <c r="U427" s="272"/>
      <c r="V427" s="272"/>
      <c r="W427" s="272"/>
      <c r="X427" s="272"/>
      <c r="Y427" s="272"/>
      <c r="Z427" s="258"/>
      <c r="AA427" s="258"/>
      <c r="AB427" s="258"/>
      <c r="AC427" s="258"/>
      <c r="AD427" s="258"/>
      <c r="AE427" s="258"/>
      <c r="AF427" s="258"/>
      <c r="AG427" s="258"/>
      <c r="AH427" s="258"/>
      <c r="AQ427" s="259"/>
      <c r="AR427" s="259"/>
      <c r="AS427" s="259"/>
      <c r="AT427" s="259"/>
      <c r="AU427" s="259"/>
      <c r="AV427" s="259"/>
      <c r="AW427" s="259"/>
    </row>
    <row r="428" spans="2:49" ht="15" customHeight="1" x14ac:dyDescent="0.25">
      <c r="B428" s="260"/>
      <c r="D428" s="262"/>
      <c r="G428" s="288"/>
      <c r="H428" s="265"/>
      <c r="I428" s="266"/>
      <c r="K428" s="268"/>
      <c r="L428" s="278"/>
      <c r="M428" s="274"/>
      <c r="N428" s="258"/>
      <c r="O428" s="258"/>
      <c r="P428" s="258"/>
      <c r="Q428" s="276"/>
      <c r="R428" s="272"/>
      <c r="S428" s="272"/>
      <c r="T428" s="272"/>
      <c r="U428" s="272"/>
      <c r="V428" s="272"/>
      <c r="W428" s="272"/>
      <c r="X428" s="272"/>
      <c r="Y428" s="272"/>
      <c r="Z428" s="258"/>
      <c r="AA428" s="258"/>
      <c r="AB428" s="258"/>
      <c r="AC428" s="258"/>
      <c r="AD428" s="258"/>
      <c r="AE428" s="258"/>
      <c r="AF428" s="258"/>
      <c r="AG428" s="258"/>
      <c r="AH428" s="258"/>
      <c r="AQ428" s="259"/>
      <c r="AR428" s="259"/>
      <c r="AS428" s="259"/>
      <c r="AT428" s="259"/>
      <c r="AU428" s="259"/>
      <c r="AV428" s="259"/>
      <c r="AW428" s="259"/>
    </row>
    <row r="429" spans="2:49" ht="15" customHeight="1" x14ac:dyDescent="0.25">
      <c r="B429" s="260"/>
      <c r="D429" s="262"/>
      <c r="E429" s="291"/>
      <c r="F429" s="293"/>
      <c r="G429" s="288"/>
      <c r="H429" s="265"/>
      <c r="I429" s="266"/>
      <c r="K429" s="268"/>
      <c r="L429" s="278"/>
      <c r="M429" s="274"/>
      <c r="N429" s="258"/>
      <c r="O429" s="258"/>
      <c r="P429" s="258"/>
      <c r="Q429" s="276"/>
      <c r="W429" s="272"/>
      <c r="X429" s="272"/>
      <c r="Y429" s="272"/>
      <c r="Z429" s="258"/>
      <c r="AA429" s="258"/>
      <c r="AB429" s="258"/>
      <c r="AC429" s="258"/>
      <c r="AD429" s="258"/>
      <c r="AE429" s="258"/>
      <c r="AF429" s="258"/>
      <c r="AG429" s="258"/>
      <c r="AH429" s="258"/>
      <c r="AQ429" s="259"/>
      <c r="AR429" s="259"/>
      <c r="AS429" s="259"/>
      <c r="AT429" s="259"/>
      <c r="AU429" s="259"/>
      <c r="AV429" s="259"/>
      <c r="AW429" s="259"/>
    </row>
    <row r="430" spans="2:49" ht="15" customHeight="1" x14ac:dyDescent="0.25">
      <c r="B430" s="260"/>
      <c r="C430" s="290"/>
      <c r="D430" s="262"/>
      <c r="E430" s="291"/>
      <c r="F430" s="262"/>
      <c r="G430" s="289"/>
      <c r="H430" s="243"/>
      <c r="I430" s="266"/>
      <c r="K430" s="268"/>
      <c r="L430" s="278"/>
      <c r="M430" s="274"/>
      <c r="N430" s="258"/>
      <c r="O430" s="258"/>
      <c r="P430" s="258"/>
      <c r="Q430" s="276"/>
      <c r="W430" s="272"/>
      <c r="X430" s="272"/>
      <c r="Y430" s="272"/>
      <c r="Z430" s="258"/>
      <c r="AA430" s="258"/>
      <c r="AB430" s="258"/>
      <c r="AC430" s="258"/>
      <c r="AD430" s="258"/>
      <c r="AE430" s="258"/>
      <c r="AF430" s="258"/>
      <c r="AG430" s="258"/>
      <c r="AH430" s="258"/>
      <c r="AQ430" s="259"/>
      <c r="AR430" s="259"/>
      <c r="AS430" s="259"/>
      <c r="AT430" s="259"/>
      <c r="AU430" s="259"/>
      <c r="AV430" s="259"/>
      <c r="AW430" s="259"/>
    </row>
    <row r="431" spans="2:49" ht="15" customHeight="1" x14ac:dyDescent="0.25">
      <c r="B431" s="260"/>
      <c r="D431" s="262"/>
      <c r="G431" s="289"/>
      <c r="H431" s="265"/>
      <c r="I431" s="266"/>
      <c r="K431" s="268"/>
      <c r="L431" s="278"/>
      <c r="M431" s="274"/>
      <c r="N431" s="258"/>
      <c r="O431" s="258"/>
      <c r="P431" s="258"/>
      <c r="Q431" s="276"/>
      <c r="W431" s="272"/>
      <c r="X431" s="272"/>
      <c r="Y431" s="272"/>
      <c r="Z431" s="258"/>
      <c r="AA431" s="258"/>
      <c r="AB431" s="258"/>
      <c r="AC431" s="258"/>
      <c r="AD431" s="258"/>
      <c r="AE431" s="258"/>
      <c r="AF431" s="258"/>
      <c r="AG431" s="258"/>
      <c r="AH431" s="258"/>
      <c r="AQ431" s="259"/>
      <c r="AR431" s="259"/>
      <c r="AS431" s="259"/>
      <c r="AT431" s="259"/>
      <c r="AU431" s="259"/>
      <c r="AV431" s="259"/>
      <c r="AW431" s="259"/>
    </row>
    <row r="432" spans="2:49" ht="15" customHeight="1" x14ac:dyDescent="0.25">
      <c r="B432" s="260"/>
      <c r="D432" s="262"/>
      <c r="G432" s="288"/>
      <c r="H432" s="265"/>
      <c r="I432" s="266"/>
      <c r="K432" s="268"/>
      <c r="L432" s="273"/>
      <c r="M432" s="274"/>
      <c r="N432" s="270"/>
      <c r="O432" s="270"/>
      <c r="P432" s="270"/>
      <c r="Q432" s="275"/>
      <c r="R432" s="272"/>
      <c r="S432" s="272"/>
      <c r="T432" s="272"/>
      <c r="U432" s="272"/>
      <c r="V432" s="272"/>
      <c r="W432" s="272"/>
      <c r="X432" s="272"/>
      <c r="Y432" s="272"/>
      <c r="Z432" s="258"/>
      <c r="AA432" s="258"/>
      <c r="AB432" s="258"/>
      <c r="AC432" s="258"/>
      <c r="AD432" s="258"/>
      <c r="AE432" s="258"/>
      <c r="AF432" s="258"/>
      <c r="AG432" s="258"/>
      <c r="AH432" s="258"/>
      <c r="AI432" s="258"/>
      <c r="AQ432" s="259"/>
      <c r="AR432" s="259"/>
      <c r="AS432" s="259"/>
      <c r="AT432" s="259"/>
      <c r="AU432" s="259"/>
      <c r="AV432" s="259"/>
      <c r="AW432" s="259"/>
    </row>
    <row r="433" spans="2:49" ht="15" customHeight="1" x14ac:dyDescent="0.25">
      <c r="B433" s="260"/>
      <c r="D433" s="262"/>
      <c r="G433" s="289"/>
      <c r="H433" s="265"/>
      <c r="I433" s="266"/>
      <c r="K433" s="268"/>
      <c r="L433" s="273"/>
      <c r="M433" s="274"/>
      <c r="N433" s="258"/>
      <c r="O433" s="258"/>
      <c r="P433" s="258"/>
      <c r="Q433" s="276"/>
      <c r="R433" s="272"/>
      <c r="S433" s="272"/>
      <c r="T433" s="272"/>
      <c r="U433" s="272"/>
      <c r="V433" s="272"/>
      <c r="W433" s="272"/>
      <c r="X433" s="272"/>
      <c r="Y433" s="272"/>
      <c r="Z433" s="258"/>
      <c r="AA433" s="258"/>
      <c r="AB433" s="258"/>
      <c r="AC433" s="258"/>
      <c r="AD433" s="258"/>
      <c r="AE433" s="258"/>
      <c r="AF433" s="258"/>
      <c r="AG433" s="258"/>
      <c r="AH433" s="258"/>
      <c r="AI433" s="258"/>
      <c r="AQ433" s="259"/>
      <c r="AR433" s="259"/>
      <c r="AS433" s="259"/>
      <c r="AT433" s="259"/>
      <c r="AU433" s="259"/>
      <c r="AV433" s="259"/>
      <c r="AW433" s="259"/>
    </row>
    <row r="434" spans="2:49" ht="15" customHeight="1" x14ac:dyDescent="0.25">
      <c r="B434" s="260"/>
      <c r="D434" s="262"/>
      <c r="G434" s="289"/>
      <c r="H434" s="265"/>
      <c r="I434" s="266"/>
      <c r="K434" s="268"/>
      <c r="L434" s="273"/>
      <c r="M434" s="274"/>
      <c r="N434" s="258"/>
      <c r="O434" s="258"/>
      <c r="P434" s="258"/>
      <c r="Q434" s="276"/>
      <c r="R434" s="272"/>
      <c r="S434" s="272"/>
      <c r="T434" s="272"/>
      <c r="U434" s="272"/>
      <c r="V434" s="272"/>
      <c r="W434" s="272"/>
      <c r="X434" s="272"/>
      <c r="Y434" s="272"/>
      <c r="Z434" s="258"/>
      <c r="AA434" s="258"/>
      <c r="AB434" s="258"/>
      <c r="AC434" s="258"/>
      <c r="AD434" s="258"/>
      <c r="AE434" s="258"/>
      <c r="AF434" s="258"/>
      <c r="AG434" s="258"/>
      <c r="AH434" s="270"/>
      <c r="AI434" s="270"/>
      <c r="AQ434" s="259"/>
      <c r="AR434" s="259"/>
      <c r="AS434" s="259"/>
      <c r="AT434" s="259"/>
      <c r="AU434" s="259"/>
      <c r="AV434" s="259"/>
      <c r="AW434" s="259"/>
    </row>
    <row r="435" spans="2:49" ht="15" customHeight="1" x14ac:dyDescent="0.25">
      <c r="B435" s="260"/>
      <c r="D435" s="262"/>
      <c r="G435" s="289"/>
      <c r="H435" s="265"/>
      <c r="I435" s="266"/>
      <c r="K435" s="268"/>
      <c r="L435" s="273"/>
      <c r="M435" s="277"/>
      <c r="N435" s="258"/>
      <c r="O435" s="258"/>
      <c r="P435" s="258"/>
      <c r="Q435" s="276"/>
      <c r="R435" s="272"/>
      <c r="S435" s="272"/>
      <c r="T435" s="272"/>
      <c r="U435" s="272"/>
      <c r="V435" s="272"/>
      <c r="W435" s="272"/>
      <c r="X435" s="272"/>
      <c r="Y435" s="272"/>
      <c r="Z435" s="258"/>
      <c r="AA435" s="258"/>
      <c r="AB435" s="258"/>
      <c r="AC435" s="258"/>
      <c r="AD435" s="258"/>
      <c r="AE435" s="258"/>
      <c r="AF435" s="258"/>
      <c r="AG435" s="258"/>
      <c r="AH435" s="270"/>
      <c r="AI435" s="270"/>
      <c r="AQ435" s="259"/>
      <c r="AR435" s="259"/>
      <c r="AS435" s="259"/>
      <c r="AT435" s="259"/>
      <c r="AU435" s="259"/>
      <c r="AV435" s="259"/>
      <c r="AW435" s="259"/>
    </row>
    <row r="436" spans="2:49" ht="15" customHeight="1" x14ac:dyDescent="0.25">
      <c r="B436" s="260"/>
      <c r="D436" s="262"/>
      <c r="E436" s="291"/>
      <c r="F436" s="293"/>
      <c r="G436" s="288"/>
      <c r="H436" s="265"/>
      <c r="I436" s="266"/>
      <c r="K436" s="268"/>
      <c r="L436" s="278"/>
      <c r="M436" s="274"/>
      <c r="N436" s="258"/>
      <c r="O436" s="258"/>
      <c r="P436" s="258"/>
      <c r="Q436" s="276"/>
      <c r="R436" s="272"/>
      <c r="S436" s="272"/>
      <c r="T436" s="272"/>
      <c r="U436" s="272"/>
      <c r="V436" s="272"/>
      <c r="W436" s="272"/>
      <c r="X436" s="272"/>
      <c r="Y436" s="272"/>
      <c r="Z436" s="258"/>
      <c r="AA436" s="258"/>
      <c r="AB436" s="258"/>
      <c r="AC436" s="258"/>
      <c r="AD436" s="258"/>
      <c r="AE436" s="258"/>
      <c r="AF436" s="258"/>
      <c r="AG436" s="258"/>
      <c r="AH436" s="270"/>
      <c r="AI436" s="270"/>
      <c r="AQ436" s="259"/>
      <c r="AR436" s="259"/>
      <c r="AS436" s="259"/>
      <c r="AT436" s="259"/>
      <c r="AU436" s="259"/>
      <c r="AV436" s="259"/>
      <c r="AW436" s="259"/>
    </row>
    <row r="437" spans="2:49" ht="15" customHeight="1" x14ac:dyDescent="0.25">
      <c r="B437" s="260"/>
      <c r="D437" s="262"/>
      <c r="G437" s="289"/>
      <c r="H437" s="265"/>
      <c r="I437" s="266"/>
      <c r="K437" s="268"/>
      <c r="L437" s="278"/>
      <c r="M437" s="274"/>
      <c r="N437" s="258"/>
      <c r="O437" s="258"/>
      <c r="P437" s="258"/>
      <c r="Q437" s="276"/>
      <c r="R437" s="272"/>
      <c r="S437" s="272"/>
      <c r="T437" s="272"/>
      <c r="U437" s="272"/>
      <c r="V437" s="272"/>
      <c r="W437" s="272"/>
      <c r="X437" s="272"/>
      <c r="Y437" s="272"/>
      <c r="Z437" s="258"/>
      <c r="AA437" s="258"/>
      <c r="AB437" s="258"/>
      <c r="AC437" s="258"/>
      <c r="AD437" s="258"/>
      <c r="AE437" s="258"/>
      <c r="AF437" s="258"/>
      <c r="AG437" s="258"/>
      <c r="AH437" s="258"/>
      <c r="AQ437" s="259"/>
      <c r="AR437" s="259"/>
      <c r="AS437" s="259"/>
      <c r="AT437" s="259"/>
      <c r="AU437" s="259"/>
      <c r="AV437" s="259"/>
      <c r="AW437" s="259"/>
    </row>
    <row r="438" spans="2:49" ht="15" customHeight="1" x14ac:dyDescent="0.25">
      <c r="B438" s="260"/>
      <c r="D438" s="262"/>
      <c r="E438" s="291"/>
      <c r="F438" s="293"/>
      <c r="G438" s="288"/>
      <c r="H438" s="265"/>
      <c r="I438" s="266"/>
      <c r="K438" s="268"/>
      <c r="L438" s="278"/>
      <c r="M438" s="274"/>
      <c r="N438" s="258"/>
      <c r="O438" s="258"/>
      <c r="P438" s="258"/>
      <c r="Q438" s="276"/>
      <c r="R438" s="272"/>
      <c r="S438" s="272"/>
      <c r="T438" s="272"/>
      <c r="U438" s="272"/>
      <c r="V438" s="272"/>
      <c r="W438" s="272"/>
      <c r="X438" s="272"/>
      <c r="Y438" s="272"/>
      <c r="Z438" s="258"/>
      <c r="AA438" s="258"/>
      <c r="AB438" s="258"/>
      <c r="AC438" s="258"/>
      <c r="AD438" s="258"/>
      <c r="AE438" s="258"/>
      <c r="AF438" s="258"/>
      <c r="AG438" s="258"/>
      <c r="AH438" s="258"/>
      <c r="AQ438" s="259"/>
      <c r="AR438" s="259"/>
      <c r="AS438" s="259"/>
      <c r="AT438" s="259"/>
      <c r="AU438" s="259"/>
      <c r="AV438" s="259"/>
      <c r="AW438" s="259"/>
    </row>
    <row r="439" spans="2:49" ht="15" customHeight="1" x14ac:dyDescent="0.25">
      <c r="B439" s="260"/>
      <c r="D439" s="262"/>
      <c r="G439" s="289"/>
      <c r="H439" s="265"/>
      <c r="I439" s="266"/>
      <c r="K439" s="268"/>
      <c r="L439" s="278"/>
      <c r="M439" s="274"/>
      <c r="N439" s="258"/>
      <c r="O439" s="258"/>
      <c r="P439" s="258"/>
      <c r="Q439" s="276"/>
      <c r="R439" s="272"/>
      <c r="S439" s="272"/>
      <c r="T439" s="272"/>
      <c r="U439" s="272"/>
      <c r="V439" s="272"/>
      <c r="W439" s="272"/>
      <c r="X439" s="272"/>
      <c r="Y439" s="272"/>
      <c r="Z439" s="258"/>
      <c r="AA439" s="258"/>
      <c r="AB439" s="258"/>
      <c r="AC439" s="258"/>
      <c r="AD439" s="258"/>
      <c r="AE439" s="258"/>
      <c r="AF439" s="258"/>
      <c r="AG439" s="258"/>
      <c r="AH439" s="258"/>
      <c r="AQ439" s="259"/>
      <c r="AR439" s="259"/>
      <c r="AS439" s="259"/>
      <c r="AT439" s="259"/>
      <c r="AU439" s="259"/>
      <c r="AV439" s="259"/>
      <c r="AW439" s="259"/>
    </row>
    <row r="440" spans="2:49" ht="15" customHeight="1" x14ac:dyDescent="0.25">
      <c r="B440" s="260"/>
      <c r="C440" s="290"/>
      <c r="D440" s="262"/>
      <c r="E440" s="291"/>
      <c r="F440" s="262"/>
      <c r="G440" s="289"/>
      <c r="H440" s="243"/>
      <c r="I440" s="266"/>
      <c r="K440" s="268"/>
      <c r="L440" s="278"/>
      <c r="M440" s="274"/>
      <c r="N440" s="258"/>
      <c r="O440" s="258"/>
      <c r="P440" s="258"/>
      <c r="Q440" s="276"/>
      <c r="R440" s="272"/>
      <c r="S440" s="272"/>
      <c r="T440" s="272"/>
      <c r="U440" s="272"/>
      <c r="V440" s="272"/>
      <c r="W440" s="272"/>
      <c r="X440" s="272"/>
      <c r="Y440" s="272"/>
      <c r="Z440" s="258"/>
      <c r="AA440" s="258"/>
      <c r="AB440" s="258"/>
      <c r="AC440" s="258"/>
      <c r="AD440" s="258"/>
      <c r="AE440" s="258"/>
      <c r="AF440" s="258"/>
      <c r="AG440" s="258"/>
      <c r="AH440" s="258"/>
      <c r="AQ440" s="259"/>
      <c r="AR440" s="259"/>
      <c r="AS440" s="259"/>
      <c r="AT440" s="259"/>
      <c r="AU440" s="259"/>
      <c r="AV440" s="259"/>
      <c r="AW440" s="259"/>
    </row>
    <row r="441" spans="2:49" ht="15" customHeight="1" x14ac:dyDescent="0.25">
      <c r="B441" s="260"/>
      <c r="D441" s="262"/>
      <c r="G441" s="289"/>
      <c r="H441" s="265"/>
      <c r="I441" s="266"/>
      <c r="K441" s="268"/>
      <c r="L441" s="278"/>
      <c r="M441" s="274"/>
      <c r="N441" s="258"/>
      <c r="O441" s="258"/>
      <c r="P441" s="258"/>
      <c r="Q441" s="276"/>
      <c r="W441" s="272"/>
      <c r="X441" s="272"/>
      <c r="Y441" s="272"/>
      <c r="Z441" s="258"/>
      <c r="AA441" s="258"/>
      <c r="AB441" s="258"/>
      <c r="AC441" s="258"/>
      <c r="AD441" s="258"/>
      <c r="AE441" s="258"/>
      <c r="AF441" s="258"/>
      <c r="AG441" s="258"/>
      <c r="AH441" s="258"/>
      <c r="AQ441" s="259"/>
      <c r="AR441" s="259"/>
      <c r="AS441" s="259"/>
      <c r="AT441" s="259"/>
      <c r="AU441" s="259"/>
      <c r="AV441" s="259"/>
      <c r="AW441" s="259"/>
    </row>
    <row r="442" spans="2:49" ht="15" customHeight="1" x14ac:dyDescent="0.25">
      <c r="B442" s="260"/>
      <c r="D442" s="262"/>
      <c r="G442" s="289"/>
      <c r="H442" s="265"/>
      <c r="I442" s="266"/>
      <c r="K442" s="268"/>
      <c r="L442" s="278"/>
      <c r="M442" s="274"/>
      <c r="N442" s="258"/>
      <c r="O442" s="258"/>
      <c r="P442" s="258"/>
      <c r="Q442" s="276"/>
      <c r="W442" s="272"/>
      <c r="X442" s="272"/>
      <c r="Y442" s="272"/>
      <c r="Z442" s="258"/>
      <c r="AA442" s="258"/>
      <c r="AB442" s="258"/>
      <c r="AC442" s="258"/>
      <c r="AD442" s="258"/>
      <c r="AE442" s="258"/>
      <c r="AF442" s="258"/>
      <c r="AG442" s="258"/>
      <c r="AH442" s="258"/>
      <c r="AQ442" s="259"/>
      <c r="AR442" s="259"/>
      <c r="AS442" s="259"/>
      <c r="AT442" s="259"/>
      <c r="AU442" s="259"/>
      <c r="AV442" s="259"/>
      <c r="AW442" s="259"/>
    </row>
    <row r="443" spans="2:49" ht="15" customHeight="1" x14ac:dyDescent="0.25">
      <c r="B443" s="260"/>
      <c r="D443" s="262"/>
      <c r="G443" s="289"/>
      <c r="H443" s="265"/>
      <c r="I443" s="266"/>
      <c r="K443" s="268"/>
      <c r="L443" s="278"/>
      <c r="M443" s="274"/>
      <c r="N443" s="258"/>
      <c r="O443" s="258"/>
      <c r="P443" s="258"/>
      <c r="Q443" s="276"/>
      <c r="W443" s="272"/>
      <c r="X443" s="272"/>
      <c r="Y443" s="272"/>
      <c r="Z443" s="258"/>
      <c r="AA443" s="258"/>
      <c r="AB443" s="258"/>
      <c r="AC443" s="258"/>
      <c r="AD443" s="258"/>
      <c r="AE443" s="258"/>
      <c r="AF443" s="258"/>
      <c r="AG443" s="258"/>
      <c r="AH443" s="258"/>
      <c r="AQ443" s="259"/>
      <c r="AR443" s="259"/>
      <c r="AS443" s="259"/>
      <c r="AT443" s="259"/>
      <c r="AU443" s="259"/>
      <c r="AV443" s="259"/>
      <c r="AW443" s="259"/>
    </row>
    <row r="444" spans="2:49" ht="15" customHeight="1" x14ac:dyDescent="0.25">
      <c r="B444" s="260"/>
      <c r="D444" s="262"/>
      <c r="G444" s="289"/>
      <c r="H444" s="265"/>
      <c r="I444" s="266"/>
      <c r="K444" s="268"/>
      <c r="L444" s="273"/>
      <c r="M444" s="274"/>
      <c r="N444" s="270"/>
      <c r="O444" s="270"/>
      <c r="P444" s="270"/>
      <c r="Q444" s="275"/>
      <c r="R444" s="272"/>
      <c r="S444" s="272"/>
      <c r="T444" s="272"/>
      <c r="U444" s="272"/>
      <c r="V444" s="272"/>
      <c r="W444" s="272"/>
      <c r="X444" s="272"/>
      <c r="Y444" s="272"/>
      <c r="Z444" s="258"/>
      <c r="AA444" s="258"/>
      <c r="AB444" s="258"/>
      <c r="AC444" s="258"/>
      <c r="AD444" s="258"/>
      <c r="AE444" s="258"/>
      <c r="AF444" s="258"/>
      <c r="AG444" s="258"/>
      <c r="AH444" s="258"/>
      <c r="AI444" s="258"/>
      <c r="AQ444" s="259"/>
      <c r="AR444" s="259"/>
      <c r="AS444" s="259"/>
      <c r="AT444" s="259"/>
      <c r="AU444" s="259"/>
      <c r="AV444" s="259"/>
      <c r="AW444" s="259"/>
    </row>
    <row r="445" spans="2:49" ht="15" customHeight="1" x14ac:dyDescent="0.25">
      <c r="B445" s="260"/>
      <c r="D445" s="262"/>
      <c r="G445" s="289"/>
      <c r="H445" s="265"/>
      <c r="I445" s="266"/>
      <c r="K445" s="268"/>
      <c r="L445" s="273"/>
      <c r="M445" s="274"/>
      <c r="N445" s="258"/>
      <c r="O445" s="258"/>
      <c r="P445" s="258"/>
      <c r="Q445" s="276"/>
      <c r="R445" s="272"/>
      <c r="S445" s="272"/>
      <c r="T445" s="272"/>
      <c r="U445" s="272"/>
      <c r="V445" s="272"/>
      <c r="W445" s="272"/>
      <c r="X445" s="272"/>
      <c r="Y445" s="272"/>
      <c r="Z445" s="258"/>
      <c r="AA445" s="258"/>
      <c r="AB445" s="258"/>
      <c r="AC445" s="258"/>
      <c r="AD445" s="258"/>
      <c r="AE445" s="258"/>
      <c r="AF445" s="258"/>
      <c r="AG445" s="258"/>
      <c r="AH445" s="258"/>
      <c r="AI445" s="258"/>
      <c r="AQ445" s="259"/>
      <c r="AR445" s="259"/>
      <c r="AS445" s="259"/>
      <c r="AT445" s="259"/>
      <c r="AU445" s="259"/>
      <c r="AV445" s="259"/>
      <c r="AW445" s="259"/>
    </row>
    <row r="446" spans="2:49" ht="15" customHeight="1" x14ac:dyDescent="0.25">
      <c r="B446" s="260"/>
      <c r="D446" s="262"/>
      <c r="G446" s="288"/>
      <c r="H446" s="265"/>
      <c r="I446" s="266"/>
      <c r="K446" s="268"/>
      <c r="L446" s="273"/>
      <c r="M446" s="274"/>
      <c r="N446" s="258"/>
      <c r="O446" s="258"/>
      <c r="P446" s="258"/>
      <c r="Q446" s="276"/>
      <c r="R446" s="272"/>
      <c r="S446" s="272"/>
      <c r="T446" s="272"/>
      <c r="U446" s="272"/>
      <c r="V446" s="272"/>
      <c r="W446" s="272"/>
      <c r="X446" s="272"/>
      <c r="Y446" s="272"/>
      <c r="Z446" s="258"/>
      <c r="AA446" s="258"/>
      <c r="AB446" s="258"/>
      <c r="AC446" s="258"/>
      <c r="AD446" s="258"/>
      <c r="AE446" s="258"/>
      <c r="AF446" s="258"/>
      <c r="AG446" s="258"/>
      <c r="AH446" s="270"/>
      <c r="AI446" s="270"/>
      <c r="AQ446" s="259"/>
      <c r="AR446" s="259"/>
      <c r="AS446" s="259"/>
      <c r="AT446" s="259"/>
      <c r="AU446" s="259"/>
      <c r="AV446" s="259"/>
      <c r="AW446" s="259"/>
    </row>
    <row r="447" spans="2:49" ht="15" customHeight="1" x14ac:dyDescent="0.25">
      <c r="B447" s="260"/>
      <c r="D447" s="262"/>
      <c r="G447" s="289"/>
      <c r="H447" s="265"/>
      <c r="I447" s="266"/>
      <c r="K447" s="268"/>
      <c r="L447" s="273"/>
      <c r="M447" s="277"/>
      <c r="N447" s="258"/>
      <c r="O447" s="258"/>
      <c r="P447" s="258"/>
      <c r="Q447" s="276"/>
      <c r="R447" s="272"/>
      <c r="S447" s="272"/>
      <c r="T447" s="272"/>
      <c r="U447" s="272"/>
      <c r="V447" s="272"/>
      <c r="W447" s="272"/>
      <c r="X447" s="272"/>
      <c r="Y447" s="272"/>
      <c r="Z447" s="258"/>
      <c r="AA447" s="258"/>
      <c r="AB447" s="258"/>
      <c r="AC447" s="258"/>
      <c r="AD447" s="258"/>
      <c r="AE447" s="258"/>
      <c r="AF447" s="258"/>
      <c r="AG447" s="258"/>
      <c r="AH447" s="270"/>
      <c r="AI447" s="270"/>
      <c r="AQ447" s="259"/>
      <c r="AR447" s="259"/>
      <c r="AS447" s="259"/>
      <c r="AT447" s="259"/>
      <c r="AU447" s="259"/>
      <c r="AV447" s="259"/>
      <c r="AW447" s="259"/>
    </row>
    <row r="448" spans="2:49" ht="15" customHeight="1" x14ac:dyDescent="0.25">
      <c r="B448" s="260"/>
      <c r="D448" s="262"/>
      <c r="G448" s="288"/>
      <c r="H448" s="265"/>
      <c r="I448" s="266"/>
      <c r="K448" s="268"/>
      <c r="L448" s="278"/>
      <c r="M448" s="274"/>
      <c r="N448" s="258"/>
      <c r="O448" s="258"/>
      <c r="P448" s="258"/>
      <c r="Q448" s="276"/>
      <c r="R448" s="272"/>
      <c r="S448" s="272"/>
      <c r="T448" s="272"/>
      <c r="U448" s="272"/>
      <c r="V448" s="272"/>
      <c r="W448" s="272"/>
      <c r="X448" s="272"/>
      <c r="Y448" s="272"/>
      <c r="Z448" s="258"/>
      <c r="AA448" s="258"/>
      <c r="AB448" s="258"/>
      <c r="AC448" s="258"/>
      <c r="AD448" s="258"/>
      <c r="AE448" s="258"/>
      <c r="AF448" s="258"/>
      <c r="AG448" s="258"/>
      <c r="AH448" s="270"/>
      <c r="AI448" s="270"/>
      <c r="AQ448" s="259"/>
      <c r="AR448" s="259"/>
      <c r="AS448" s="259"/>
      <c r="AT448" s="259"/>
      <c r="AU448" s="259"/>
      <c r="AV448" s="259"/>
      <c r="AW448" s="259"/>
    </row>
    <row r="449" spans="2:49" ht="15" customHeight="1" x14ac:dyDescent="0.25">
      <c r="B449" s="260"/>
      <c r="D449" s="262"/>
      <c r="G449" s="289"/>
      <c r="H449" s="265"/>
      <c r="I449" s="266"/>
      <c r="K449" s="268"/>
      <c r="L449" s="278"/>
      <c r="M449" s="274"/>
      <c r="N449" s="258"/>
      <c r="O449" s="258"/>
      <c r="P449" s="258"/>
      <c r="Q449" s="276"/>
      <c r="R449" s="272"/>
      <c r="S449" s="272"/>
      <c r="T449" s="272"/>
      <c r="U449" s="272"/>
      <c r="V449" s="272"/>
      <c r="W449" s="272"/>
      <c r="X449" s="272"/>
      <c r="Y449" s="272"/>
      <c r="Z449" s="258"/>
      <c r="AA449" s="258"/>
      <c r="AB449" s="258"/>
      <c r="AC449" s="258"/>
      <c r="AD449" s="258"/>
      <c r="AE449" s="258"/>
      <c r="AF449" s="258"/>
      <c r="AG449" s="258"/>
      <c r="AH449" s="258"/>
      <c r="AQ449" s="259"/>
      <c r="AR449" s="259"/>
      <c r="AS449" s="259"/>
      <c r="AT449" s="259"/>
      <c r="AU449" s="259"/>
      <c r="AV449" s="259"/>
      <c r="AW449" s="259"/>
    </row>
    <row r="450" spans="2:49" ht="15" customHeight="1" x14ac:dyDescent="0.25">
      <c r="B450" s="260"/>
      <c r="D450" s="262"/>
      <c r="G450" s="288"/>
      <c r="H450" s="265"/>
      <c r="I450" s="266"/>
      <c r="K450" s="268"/>
      <c r="L450" s="278"/>
      <c r="M450" s="274"/>
      <c r="N450" s="258"/>
      <c r="O450" s="258"/>
      <c r="P450" s="258"/>
      <c r="Q450" s="276"/>
      <c r="R450" s="272"/>
      <c r="S450" s="272"/>
      <c r="T450" s="272"/>
      <c r="U450" s="272"/>
      <c r="V450" s="272"/>
      <c r="W450" s="272"/>
      <c r="X450" s="272"/>
      <c r="Y450" s="272"/>
      <c r="Z450" s="258"/>
      <c r="AA450" s="258"/>
      <c r="AB450" s="258"/>
      <c r="AC450" s="258"/>
      <c r="AD450" s="258"/>
      <c r="AE450" s="258"/>
      <c r="AF450" s="258"/>
      <c r="AG450" s="258"/>
      <c r="AH450" s="258"/>
      <c r="AQ450" s="259"/>
      <c r="AR450" s="259"/>
      <c r="AS450" s="259"/>
      <c r="AT450" s="259"/>
      <c r="AU450" s="259"/>
      <c r="AV450" s="259"/>
      <c r="AW450" s="259"/>
    </row>
    <row r="451" spans="2:49" ht="15" customHeight="1" x14ac:dyDescent="0.25">
      <c r="B451" s="260"/>
      <c r="D451" s="262"/>
      <c r="G451" s="288"/>
      <c r="H451" s="265"/>
      <c r="I451" s="266"/>
      <c r="K451" s="268"/>
      <c r="L451" s="278"/>
      <c r="M451" s="274"/>
      <c r="N451" s="258"/>
      <c r="O451" s="258"/>
      <c r="P451" s="258"/>
      <c r="Q451" s="276"/>
      <c r="R451" s="272"/>
      <c r="S451" s="272"/>
      <c r="T451" s="272"/>
      <c r="U451" s="272"/>
      <c r="V451" s="272"/>
      <c r="W451" s="272"/>
      <c r="X451" s="272"/>
      <c r="Y451" s="272"/>
      <c r="Z451" s="258"/>
      <c r="AA451" s="258"/>
      <c r="AB451" s="258"/>
      <c r="AC451" s="258"/>
      <c r="AD451" s="258"/>
      <c r="AE451" s="258"/>
      <c r="AF451" s="258"/>
      <c r="AG451" s="258"/>
      <c r="AH451" s="258"/>
      <c r="AQ451" s="259"/>
      <c r="AR451" s="259"/>
      <c r="AS451" s="259"/>
      <c r="AT451" s="259"/>
      <c r="AU451" s="259"/>
      <c r="AV451" s="259"/>
      <c r="AW451" s="259"/>
    </row>
    <row r="452" spans="2:49" ht="15" customHeight="1" x14ac:dyDescent="0.25">
      <c r="B452" s="260"/>
      <c r="D452" s="262"/>
      <c r="G452" s="288"/>
      <c r="H452" s="265"/>
      <c r="I452" s="266"/>
      <c r="K452" s="268"/>
      <c r="L452" s="278"/>
      <c r="M452" s="274"/>
      <c r="N452" s="258"/>
      <c r="O452" s="258"/>
      <c r="P452" s="258"/>
      <c r="Q452" s="276"/>
      <c r="R452" s="272"/>
      <c r="S452" s="272"/>
      <c r="T452" s="272"/>
      <c r="U452" s="272"/>
      <c r="V452" s="272"/>
      <c r="W452" s="272"/>
      <c r="X452" s="272"/>
      <c r="Y452" s="272"/>
      <c r="Z452" s="258"/>
      <c r="AA452" s="258"/>
      <c r="AB452" s="258"/>
      <c r="AC452" s="258"/>
      <c r="AD452" s="258"/>
      <c r="AE452" s="258"/>
      <c r="AF452" s="258"/>
      <c r="AG452" s="258"/>
      <c r="AH452" s="258"/>
      <c r="AQ452" s="259"/>
      <c r="AR452" s="259"/>
      <c r="AS452" s="259"/>
      <c r="AT452" s="259"/>
      <c r="AU452" s="259"/>
      <c r="AV452" s="259"/>
      <c r="AW452" s="259"/>
    </row>
    <row r="453" spans="2:49" ht="15" customHeight="1" x14ac:dyDescent="0.25">
      <c r="B453" s="260"/>
      <c r="D453" s="262"/>
      <c r="G453" s="289"/>
      <c r="H453" s="265"/>
      <c r="I453" s="266"/>
      <c r="K453" s="268"/>
      <c r="L453" s="278"/>
      <c r="M453" s="274"/>
      <c r="N453" s="258"/>
      <c r="O453" s="258"/>
      <c r="P453" s="258"/>
      <c r="Q453" s="276"/>
      <c r="W453" s="272"/>
      <c r="X453" s="272"/>
      <c r="Y453" s="272"/>
      <c r="Z453" s="258"/>
      <c r="AA453" s="258"/>
      <c r="AB453" s="258"/>
      <c r="AC453" s="258"/>
      <c r="AD453" s="258"/>
      <c r="AE453" s="258"/>
      <c r="AF453" s="258"/>
      <c r="AG453" s="258"/>
      <c r="AH453" s="258"/>
      <c r="AQ453" s="259"/>
      <c r="AR453" s="259"/>
      <c r="AS453" s="259"/>
      <c r="AT453" s="259"/>
      <c r="AU453" s="259"/>
      <c r="AV453" s="259"/>
      <c r="AW453" s="259"/>
    </row>
    <row r="454" spans="2:49" ht="15" customHeight="1" x14ac:dyDescent="0.25">
      <c r="B454" s="260"/>
      <c r="D454" s="262"/>
      <c r="G454" s="289"/>
      <c r="H454" s="265"/>
      <c r="I454" s="266"/>
      <c r="K454" s="268"/>
      <c r="L454" s="278"/>
      <c r="M454" s="274"/>
      <c r="N454" s="258"/>
      <c r="O454" s="258"/>
      <c r="P454" s="258"/>
      <c r="Q454" s="276"/>
      <c r="W454" s="272"/>
      <c r="X454" s="272"/>
      <c r="Y454" s="272"/>
      <c r="Z454" s="258"/>
      <c r="AA454" s="258"/>
      <c r="AB454" s="258"/>
      <c r="AC454" s="258"/>
      <c r="AD454" s="258"/>
      <c r="AE454" s="258"/>
      <c r="AF454" s="258"/>
      <c r="AG454" s="258"/>
      <c r="AH454" s="258"/>
      <c r="AQ454" s="259"/>
      <c r="AR454" s="259"/>
      <c r="AS454" s="259"/>
      <c r="AT454" s="259"/>
      <c r="AU454" s="259"/>
      <c r="AV454" s="259"/>
      <c r="AW454" s="259"/>
    </row>
    <row r="455" spans="2:49" ht="15" customHeight="1" x14ac:dyDescent="0.25">
      <c r="B455" s="260"/>
      <c r="D455" s="262"/>
      <c r="G455" s="289"/>
      <c r="H455" s="265"/>
      <c r="I455" s="266"/>
      <c r="K455" s="268"/>
      <c r="L455" s="278"/>
      <c r="M455" s="274"/>
      <c r="N455" s="258"/>
      <c r="O455" s="258"/>
      <c r="P455" s="258"/>
      <c r="Q455" s="276"/>
      <c r="W455" s="272"/>
      <c r="X455" s="272"/>
      <c r="Y455" s="272"/>
      <c r="Z455" s="258"/>
      <c r="AA455" s="258"/>
      <c r="AB455" s="258"/>
      <c r="AC455" s="258"/>
      <c r="AD455" s="258"/>
      <c r="AE455" s="258"/>
      <c r="AF455" s="258"/>
      <c r="AG455" s="258"/>
      <c r="AH455" s="258"/>
      <c r="AQ455" s="259"/>
      <c r="AR455" s="259"/>
      <c r="AS455" s="259"/>
      <c r="AT455" s="259"/>
      <c r="AU455" s="259"/>
      <c r="AV455" s="259"/>
      <c r="AW455" s="259"/>
    </row>
    <row r="456" spans="2:49" ht="15" customHeight="1" x14ac:dyDescent="0.25">
      <c r="B456" s="260"/>
      <c r="D456" s="262"/>
      <c r="G456" s="288"/>
      <c r="H456" s="265"/>
      <c r="I456" s="266"/>
      <c r="K456" s="268"/>
      <c r="L456" s="273"/>
      <c r="M456" s="274"/>
      <c r="N456" s="270"/>
      <c r="O456" s="270"/>
      <c r="P456" s="270"/>
      <c r="Q456" s="275"/>
      <c r="R456" s="272"/>
      <c r="S456" s="272"/>
      <c r="T456" s="272"/>
      <c r="U456" s="272"/>
      <c r="V456" s="272"/>
      <c r="W456" s="272"/>
      <c r="X456" s="272"/>
      <c r="Y456" s="272"/>
      <c r="Z456" s="258"/>
      <c r="AA456" s="258"/>
      <c r="AB456" s="258"/>
      <c r="AC456" s="258"/>
      <c r="AD456" s="258"/>
      <c r="AE456" s="258"/>
      <c r="AF456" s="258"/>
      <c r="AG456" s="258"/>
      <c r="AH456" s="258"/>
      <c r="AI456" s="258"/>
      <c r="AQ456" s="259"/>
      <c r="AR456" s="259"/>
      <c r="AS456" s="259"/>
      <c r="AT456" s="259"/>
      <c r="AU456" s="259"/>
      <c r="AV456" s="259"/>
      <c r="AW456" s="259"/>
    </row>
    <row r="457" spans="2:49" ht="15" customHeight="1" x14ac:dyDescent="0.25">
      <c r="B457" s="260"/>
      <c r="D457" s="262"/>
      <c r="G457" s="288"/>
      <c r="H457" s="265"/>
      <c r="I457" s="266"/>
      <c r="K457" s="268"/>
      <c r="L457" s="273"/>
      <c r="M457" s="274"/>
      <c r="N457" s="258"/>
      <c r="O457" s="258"/>
      <c r="P457" s="258"/>
      <c r="Q457" s="276"/>
      <c r="R457" s="272"/>
      <c r="S457" s="272"/>
      <c r="T457" s="272"/>
      <c r="U457" s="272"/>
      <c r="V457" s="272"/>
      <c r="W457" s="272"/>
      <c r="X457" s="272"/>
      <c r="Y457" s="272"/>
      <c r="Z457" s="258"/>
      <c r="AA457" s="258"/>
      <c r="AB457" s="258"/>
      <c r="AC457" s="258"/>
      <c r="AD457" s="258"/>
      <c r="AE457" s="258"/>
      <c r="AF457" s="258"/>
      <c r="AG457" s="258"/>
      <c r="AH457" s="258"/>
      <c r="AI457" s="258"/>
      <c r="AQ457" s="259"/>
      <c r="AR457" s="259"/>
      <c r="AS457" s="259"/>
      <c r="AT457" s="259"/>
      <c r="AU457" s="259"/>
      <c r="AV457" s="259"/>
      <c r="AW457" s="259"/>
    </row>
    <row r="458" spans="2:49" ht="15" customHeight="1" x14ac:dyDescent="0.25">
      <c r="B458" s="260"/>
      <c r="D458" s="262"/>
      <c r="G458" s="288"/>
      <c r="H458" s="265"/>
      <c r="I458" s="266"/>
      <c r="K458" s="268"/>
      <c r="L458" s="273"/>
      <c r="M458" s="274"/>
      <c r="N458" s="258"/>
      <c r="O458" s="258"/>
      <c r="P458" s="258"/>
      <c r="Q458" s="276"/>
      <c r="R458" s="272"/>
      <c r="S458" s="272"/>
      <c r="T458" s="272"/>
      <c r="U458" s="272"/>
      <c r="V458" s="272"/>
      <c r="W458" s="272"/>
      <c r="X458" s="272"/>
      <c r="Y458" s="272"/>
      <c r="Z458" s="258"/>
      <c r="AA458" s="258"/>
      <c r="AB458" s="258"/>
      <c r="AC458" s="258"/>
      <c r="AD458" s="258"/>
      <c r="AE458" s="258"/>
      <c r="AF458" s="258"/>
      <c r="AG458" s="258"/>
      <c r="AH458" s="270"/>
      <c r="AI458" s="270"/>
      <c r="AQ458" s="259"/>
      <c r="AR458" s="259"/>
      <c r="AS458" s="259"/>
      <c r="AT458" s="259"/>
      <c r="AU458" s="259"/>
      <c r="AV458" s="259"/>
      <c r="AW458" s="259"/>
    </row>
    <row r="459" spans="2:49" ht="15" customHeight="1" x14ac:dyDescent="0.25">
      <c r="B459" s="260"/>
      <c r="D459" s="262"/>
      <c r="G459" s="288"/>
      <c r="H459" s="265"/>
      <c r="I459" s="266"/>
      <c r="K459" s="268"/>
      <c r="L459" s="273"/>
      <c r="M459" s="277"/>
      <c r="N459" s="258"/>
      <c r="O459" s="258"/>
      <c r="P459" s="258"/>
      <c r="Q459" s="276"/>
      <c r="R459" s="272"/>
      <c r="S459" s="272"/>
      <c r="T459" s="272"/>
      <c r="U459" s="272"/>
      <c r="V459" s="272"/>
      <c r="W459" s="272"/>
      <c r="X459" s="272"/>
      <c r="Y459" s="272"/>
      <c r="Z459" s="258"/>
      <c r="AA459" s="258"/>
      <c r="AB459" s="258"/>
      <c r="AC459" s="258"/>
      <c r="AD459" s="258"/>
      <c r="AE459" s="258"/>
      <c r="AF459" s="258"/>
      <c r="AG459" s="258"/>
      <c r="AH459" s="270"/>
      <c r="AI459" s="270"/>
      <c r="AQ459" s="259"/>
      <c r="AR459" s="259"/>
      <c r="AS459" s="259"/>
      <c r="AT459" s="259"/>
      <c r="AU459" s="259"/>
      <c r="AV459" s="259"/>
      <c r="AW459" s="259"/>
    </row>
    <row r="460" spans="2:49" ht="15" customHeight="1" x14ac:dyDescent="0.25">
      <c r="B460" s="260"/>
      <c r="D460" s="262"/>
      <c r="E460" s="291"/>
      <c r="F460" s="293"/>
      <c r="G460" s="288"/>
      <c r="H460" s="265"/>
      <c r="I460" s="266"/>
      <c r="K460" s="268"/>
      <c r="L460" s="278"/>
      <c r="M460" s="274"/>
      <c r="N460" s="258"/>
      <c r="O460" s="258"/>
      <c r="P460" s="258"/>
      <c r="Q460" s="276"/>
      <c r="R460" s="272"/>
      <c r="S460" s="272"/>
      <c r="T460" s="272"/>
      <c r="U460" s="272"/>
      <c r="V460" s="272"/>
      <c r="W460" s="272"/>
      <c r="X460" s="272"/>
      <c r="Y460" s="272"/>
      <c r="Z460" s="258"/>
      <c r="AA460" s="258"/>
      <c r="AB460" s="258"/>
      <c r="AC460" s="258"/>
      <c r="AD460" s="258"/>
      <c r="AE460" s="258"/>
      <c r="AF460" s="258"/>
      <c r="AG460" s="258"/>
      <c r="AH460" s="270"/>
      <c r="AI460" s="270"/>
      <c r="AQ460" s="259"/>
      <c r="AR460" s="259"/>
      <c r="AS460" s="259"/>
      <c r="AT460" s="259"/>
      <c r="AU460" s="259"/>
      <c r="AV460" s="259"/>
      <c r="AW460" s="259"/>
    </row>
    <row r="461" spans="2:49" ht="15" customHeight="1" x14ac:dyDescent="0.25">
      <c r="B461" s="260"/>
      <c r="C461" s="290"/>
      <c r="D461" s="262"/>
      <c r="E461" s="291"/>
      <c r="F461" s="262"/>
      <c r="G461" s="289"/>
      <c r="H461" s="243"/>
      <c r="I461" s="266"/>
      <c r="K461" s="268"/>
      <c r="L461" s="278"/>
      <c r="M461" s="274"/>
      <c r="N461" s="258"/>
      <c r="O461" s="258"/>
      <c r="P461" s="258"/>
      <c r="Q461" s="276"/>
      <c r="R461" s="272"/>
      <c r="S461" s="272"/>
      <c r="T461" s="272"/>
      <c r="U461" s="272"/>
      <c r="V461" s="272"/>
      <c r="W461" s="272"/>
      <c r="X461" s="272"/>
      <c r="Y461" s="272"/>
      <c r="Z461" s="258"/>
      <c r="AA461" s="258"/>
      <c r="AB461" s="258"/>
      <c r="AC461" s="258"/>
      <c r="AD461" s="258"/>
      <c r="AE461" s="258"/>
      <c r="AF461" s="258"/>
      <c r="AG461" s="258"/>
      <c r="AH461" s="258"/>
      <c r="AQ461" s="259"/>
      <c r="AR461" s="259"/>
      <c r="AS461" s="259"/>
      <c r="AT461" s="259"/>
      <c r="AU461" s="259"/>
      <c r="AV461" s="259"/>
      <c r="AW461" s="259"/>
    </row>
    <row r="462" spans="2:49" ht="15" customHeight="1" x14ac:dyDescent="0.25">
      <c r="B462" s="260"/>
      <c r="D462" s="262"/>
      <c r="G462" s="288"/>
      <c r="H462" s="265"/>
      <c r="I462" s="266"/>
      <c r="K462" s="268"/>
      <c r="L462" s="278"/>
      <c r="M462" s="274"/>
      <c r="N462" s="258"/>
      <c r="O462" s="258"/>
      <c r="P462" s="258"/>
      <c r="Q462" s="276"/>
      <c r="R462" s="272"/>
      <c r="S462" s="272"/>
      <c r="T462" s="272"/>
      <c r="U462" s="272"/>
      <c r="V462" s="272"/>
      <c r="W462" s="272"/>
      <c r="X462" s="272"/>
      <c r="Y462" s="272"/>
      <c r="Z462" s="258"/>
      <c r="AA462" s="258"/>
      <c r="AB462" s="258"/>
      <c r="AC462" s="258"/>
      <c r="AD462" s="258"/>
      <c r="AE462" s="258"/>
      <c r="AF462" s="258"/>
      <c r="AG462" s="258"/>
      <c r="AH462" s="258"/>
      <c r="AQ462" s="259"/>
      <c r="AR462" s="259"/>
      <c r="AS462" s="259"/>
      <c r="AT462" s="259"/>
      <c r="AU462" s="259"/>
      <c r="AV462" s="259"/>
      <c r="AW462" s="259"/>
    </row>
    <row r="463" spans="2:49" ht="15" customHeight="1" x14ac:dyDescent="0.25">
      <c r="B463" s="260"/>
      <c r="D463" s="262"/>
      <c r="E463" s="291"/>
      <c r="F463" s="293"/>
      <c r="G463" s="288"/>
      <c r="H463" s="265"/>
      <c r="I463" s="266"/>
      <c r="K463" s="268"/>
      <c r="L463" s="278"/>
      <c r="M463" s="274"/>
      <c r="N463" s="258"/>
      <c r="O463" s="258"/>
      <c r="P463" s="258"/>
      <c r="Q463" s="276"/>
      <c r="R463" s="272"/>
      <c r="S463" s="272"/>
      <c r="T463" s="272"/>
      <c r="U463" s="272"/>
      <c r="V463" s="272"/>
      <c r="W463" s="272"/>
      <c r="X463" s="272"/>
      <c r="Y463" s="272"/>
      <c r="Z463" s="258"/>
      <c r="AA463" s="258"/>
      <c r="AB463" s="258"/>
      <c r="AC463" s="258"/>
      <c r="AD463" s="258"/>
      <c r="AE463" s="258"/>
      <c r="AF463" s="258"/>
      <c r="AG463" s="258"/>
      <c r="AH463" s="258"/>
      <c r="AQ463" s="259"/>
      <c r="AR463" s="259"/>
      <c r="AS463" s="259"/>
      <c r="AT463" s="259"/>
      <c r="AU463" s="259"/>
      <c r="AV463" s="259"/>
      <c r="AW463" s="259"/>
    </row>
    <row r="464" spans="2:49" ht="15" customHeight="1" x14ac:dyDescent="0.25">
      <c r="B464" s="260"/>
      <c r="D464" s="262"/>
      <c r="G464" s="288"/>
      <c r="H464" s="265"/>
      <c r="I464" s="266"/>
      <c r="K464" s="268"/>
      <c r="L464" s="278"/>
      <c r="M464" s="274"/>
      <c r="N464" s="258"/>
      <c r="O464" s="258"/>
      <c r="P464" s="258"/>
      <c r="Q464" s="276"/>
      <c r="R464" s="272"/>
      <c r="S464" s="272"/>
      <c r="T464" s="272"/>
      <c r="U464" s="272"/>
      <c r="V464" s="272"/>
      <c r="W464" s="272"/>
      <c r="X464" s="272"/>
      <c r="Y464" s="272"/>
      <c r="Z464" s="258"/>
      <c r="AA464" s="258"/>
      <c r="AB464" s="258"/>
      <c r="AC464" s="258"/>
      <c r="AD464" s="258"/>
      <c r="AE464" s="258"/>
      <c r="AF464" s="258"/>
      <c r="AG464" s="258"/>
      <c r="AH464" s="258"/>
      <c r="AQ464" s="259"/>
      <c r="AR464" s="259"/>
      <c r="AS464" s="259"/>
      <c r="AT464" s="259"/>
      <c r="AU464" s="259"/>
      <c r="AV464" s="259"/>
      <c r="AW464" s="259"/>
    </row>
    <row r="465" spans="2:49" ht="15" customHeight="1" x14ac:dyDescent="0.25">
      <c r="B465" s="260"/>
      <c r="D465" s="262"/>
      <c r="G465" s="289"/>
      <c r="H465" s="265"/>
      <c r="I465" s="266"/>
      <c r="K465" s="268"/>
      <c r="L465" s="278"/>
      <c r="M465" s="274"/>
      <c r="N465" s="258"/>
      <c r="O465" s="258"/>
      <c r="P465" s="258"/>
      <c r="Q465" s="276"/>
      <c r="W465" s="272"/>
      <c r="X465" s="272"/>
      <c r="Y465" s="272"/>
      <c r="Z465" s="258"/>
      <c r="AA465" s="258"/>
      <c r="AB465" s="258"/>
      <c r="AC465" s="258"/>
      <c r="AD465" s="258"/>
      <c r="AE465" s="258"/>
      <c r="AF465" s="258"/>
      <c r="AG465" s="258"/>
      <c r="AH465" s="258"/>
      <c r="AQ465" s="259"/>
      <c r="AR465" s="259"/>
      <c r="AS465" s="259"/>
      <c r="AT465" s="259"/>
      <c r="AU465" s="259"/>
      <c r="AV465" s="259"/>
      <c r="AW465" s="259"/>
    </row>
    <row r="466" spans="2:49" ht="15" customHeight="1" x14ac:dyDescent="0.25">
      <c r="B466" s="260"/>
      <c r="D466" s="262"/>
      <c r="G466" s="288"/>
      <c r="H466" s="265"/>
      <c r="I466" s="266"/>
      <c r="K466" s="268"/>
      <c r="L466" s="278"/>
      <c r="M466" s="274"/>
      <c r="N466" s="258"/>
      <c r="O466" s="258"/>
      <c r="P466" s="258"/>
      <c r="Q466" s="276"/>
      <c r="W466" s="272"/>
      <c r="X466" s="272"/>
      <c r="Y466" s="272"/>
      <c r="Z466" s="258"/>
      <c r="AA466" s="258"/>
      <c r="AB466" s="258"/>
      <c r="AC466" s="258"/>
      <c r="AD466" s="258"/>
      <c r="AE466" s="258"/>
      <c r="AF466" s="258"/>
      <c r="AG466" s="258"/>
      <c r="AH466" s="258"/>
      <c r="AQ466" s="259"/>
      <c r="AR466" s="259"/>
      <c r="AS466" s="259"/>
      <c r="AT466" s="259"/>
      <c r="AU466" s="259"/>
      <c r="AV466" s="259"/>
      <c r="AW466" s="259"/>
    </row>
    <row r="467" spans="2:49" ht="15" customHeight="1" x14ac:dyDescent="0.25">
      <c r="B467" s="260"/>
      <c r="D467" s="262"/>
      <c r="G467" s="289"/>
      <c r="H467" s="265"/>
      <c r="I467" s="266"/>
      <c r="K467" s="268"/>
      <c r="L467" s="278"/>
      <c r="M467" s="274"/>
      <c r="N467" s="258"/>
      <c r="O467" s="258"/>
      <c r="P467" s="258"/>
      <c r="Q467" s="276"/>
      <c r="W467" s="272"/>
      <c r="X467" s="272"/>
      <c r="Y467" s="272"/>
      <c r="Z467" s="258"/>
      <c r="AA467" s="258"/>
      <c r="AB467" s="258"/>
      <c r="AC467" s="258"/>
      <c r="AD467" s="258"/>
      <c r="AE467" s="258"/>
      <c r="AF467" s="258"/>
      <c r="AG467" s="258"/>
      <c r="AH467" s="258"/>
      <c r="AQ467" s="259"/>
      <c r="AR467" s="259"/>
      <c r="AS467" s="259"/>
      <c r="AT467" s="259"/>
      <c r="AU467" s="259"/>
      <c r="AV467" s="259"/>
      <c r="AW467" s="259"/>
    </row>
    <row r="468" spans="2:49" ht="15" customHeight="1" x14ac:dyDescent="0.25">
      <c r="B468" s="260"/>
      <c r="D468" s="262"/>
      <c r="G468" s="288"/>
      <c r="H468" s="265"/>
      <c r="I468" s="266"/>
      <c r="K468" s="268"/>
      <c r="L468" s="273"/>
      <c r="M468" s="274"/>
      <c r="N468" s="270"/>
      <c r="O468" s="270"/>
      <c r="P468" s="270"/>
      <c r="Q468" s="275"/>
      <c r="R468" s="272"/>
      <c r="S468" s="272"/>
      <c r="T468" s="272"/>
      <c r="U468" s="272"/>
      <c r="V468" s="272"/>
      <c r="W468" s="272"/>
      <c r="X468" s="272"/>
      <c r="Y468" s="272"/>
      <c r="Z468" s="258"/>
      <c r="AA468" s="258"/>
      <c r="AB468" s="258"/>
      <c r="AC468" s="258"/>
      <c r="AD468" s="258"/>
      <c r="AE468" s="258"/>
      <c r="AF468" s="258"/>
      <c r="AG468" s="258"/>
      <c r="AH468" s="258"/>
      <c r="AI468" s="258"/>
      <c r="AQ468" s="259"/>
      <c r="AR468" s="259"/>
      <c r="AS468" s="259"/>
      <c r="AT468" s="259"/>
      <c r="AU468" s="259"/>
      <c r="AV468" s="259"/>
      <c r="AW468" s="259"/>
    </row>
    <row r="469" spans="2:49" ht="15" customHeight="1" x14ac:dyDescent="0.25">
      <c r="B469" s="260"/>
      <c r="D469" s="262"/>
      <c r="G469" s="288"/>
      <c r="H469" s="265"/>
      <c r="I469" s="266"/>
      <c r="K469" s="268"/>
      <c r="L469" s="273"/>
      <c r="M469" s="274"/>
      <c r="N469" s="258"/>
      <c r="O469" s="258"/>
      <c r="P469" s="258"/>
      <c r="Q469" s="276"/>
      <c r="R469" s="272"/>
      <c r="S469" s="272"/>
      <c r="T469" s="272"/>
      <c r="U469" s="272"/>
      <c r="V469" s="272"/>
      <c r="W469" s="272"/>
      <c r="X469" s="272"/>
      <c r="Y469" s="272"/>
      <c r="Z469" s="258"/>
      <c r="AA469" s="258"/>
      <c r="AB469" s="258"/>
      <c r="AC469" s="258"/>
      <c r="AD469" s="258"/>
      <c r="AE469" s="258"/>
      <c r="AF469" s="258"/>
      <c r="AG469" s="258"/>
      <c r="AH469" s="258"/>
      <c r="AI469" s="258"/>
      <c r="AQ469" s="259"/>
      <c r="AR469" s="259"/>
      <c r="AS469" s="259"/>
      <c r="AT469" s="259"/>
      <c r="AU469" s="259"/>
      <c r="AV469" s="259"/>
      <c r="AW469" s="259"/>
    </row>
    <row r="470" spans="2:49" ht="15" customHeight="1" x14ac:dyDescent="0.25">
      <c r="B470" s="260"/>
      <c r="D470" s="262"/>
      <c r="G470" s="288"/>
      <c r="H470" s="265"/>
      <c r="I470" s="266"/>
      <c r="K470" s="268"/>
      <c r="L470" s="273"/>
      <c r="M470" s="274"/>
      <c r="N470" s="258"/>
      <c r="O470" s="258"/>
      <c r="P470" s="258"/>
      <c r="Q470" s="276"/>
      <c r="R470" s="272"/>
      <c r="S470" s="272"/>
      <c r="T470" s="272"/>
      <c r="U470" s="272"/>
      <c r="V470" s="272"/>
      <c r="W470" s="272"/>
      <c r="X470" s="272"/>
      <c r="Y470" s="272"/>
      <c r="Z470" s="258"/>
      <c r="AA470" s="258"/>
      <c r="AB470" s="258"/>
      <c r="AC470" s="258"/>
      <c r="AD470" s="258"/>
      <c r="AE470" s="258"/>
      <c r="AF470" s="258"/>
      <c r="AG470" s="258"/>
      <c r="AH470" s="270"/>
      <c r="AI470" s="270"/>
      <c r="AQ470" s="259"/>
      <c r="AR470" s="259"/>
      <c r="AS470" s="259"/>
      <c r="AT470" s="259"/>
      <c r="AU470" s="259"/>
      <c r="AV470" s="259"/>
      <c r="AW470" s="259"/>
    </row>
    <row r="471" spans="2:49" ht="15" customHeight="1" x14ac:dyDescent="0.25">
      <c r="B471" s="260"/>
      <c r="D471" s="262"/>
      <c r="G471" s="288"/>
      <c r="H471" s="265"/>
      <c r="I471" s="266"/>
      <c r="K471" s="268"/>
      <c r="L471" s="273"/>
      <c r="M471" s="277"/>
      <c r="N471" s="258"/>
      <c r="O471" s="258"/>
      <c r="P471" s="258"/>
      <c r="Q471" s="276"/>
      <c r="R471" s="272"/>
      <c r="S471" s="272"/>
      <c r="T471" s="272"/>
      <c r="U471" s="272"/>
      <c r="V471" s="272"/>
      <c r="W471" s="272"/>
      <c r="X471" s="272"/>
      <c r="Y471" s="272"/>
      <c r="Z471" s="258"/>
      <c r="AA471" s="258"/>
      <c r="AB471" s="258"/>
      <c r="AC471" s="258"/>
      <c r="AD471" s="258"/>
      <c r="AE471" s="258"/>
      <c r="AF471" s="258"/>
      <c r="AG471" s="258"/>
      <c r="AH471" s="270"/>
      <c r="AI471" s="270"/>
      <c r="AQ471" s="259"/>
      <c r="AR471" s="259"/>
      <c r="AS471" s="259"/>
      <c r="AT471" s="259"/>
      <c r="AU471" s="259"/>
      <c r="AV471" s="259"/>
      <c r="AW471" s="259"/>
    </row>
    <row r="472" spans="2:49" ht="15" customHeight="1" x14ac:dyDescent="0.25">
      <c r="B472" s="260"/>
      <c r="C472" s="290"/>
      <c r="D472" s="262"/>
      <c r="E472" s="291"/>
      <c r="F472" s="262"/>
      <c r="G472" s="289"/>
      <c r="H472" s="243"/>
      <c r="I472" s="266"/>
      <c r="K472" s="268"/>
      <c r="L472" s="278"/>
      <c r="M472" s="274"/>
      <c r="N472" s="258"/>
      <c r="O472" s="258"/>
      <c r="P472" s="258"/>
      <c r="Q472" s="276"/>
      <c r="R472" s="272"/>
      <c r="S472" s="272"/>
      <c r="T472" s="272"/>
      <c r="U472" s="272"/>
      <c r="V472" s="272"/>
      <c r="W472" s="272"/>
      <c r="X472" s="272"/>
      <c r="Y472" s="272"/>
      <c r="Z472" s="258"/>
      <c r="AA472" s="258"/>
      <c r="AB472" s="258"/>
      <c r="AC472" s="258"/>
      <c r="AD472" s="258"/>
      <c r="AE472" s="258"/>
      <c r="AF472" s="258"/>
      <c r="AG472" s="258"/>
      <c r="AH472" s="270"/>
      <c r="AI472" s="270"/>
      <c r="AQ472" s="259"/>
      <c r="AR472" s="259"/>
      <c r="AS472" s="259"/>
      <c r="AT472" s="259"/>
      <c r="AU472" s="259"/>
      <c r="AV472" s="259"/>
      <c r="AW472" s="259"/>
    </row>
    <row r="473" spans="2:49" ht="15" customHeight="1" x14ac:dyDescent="0.25">
      <c r="B473" s="260"/>
      <c r="D473" s="262"/>
      <c r="G473" s="289"/>
      <c r="H473" s="265"/>
      <c r="I473" s="266"/>
      <c r="K473" s="268"/>
      <c r="L473" s="278"/>
      <c r="M473" s="274"/>
      <c r="N473" s="258"/>
      <c r="O473" s="258"/>
      <c r="P473" s="258"/>
      <c r="Q473" s="276"/>
      <c r="R473" s="272"/>
      <c r="S473" s="272"/>
      <c r="T473" s="272"/>
      <c r="U473" s="272"/>
      <c r="V473" s="272"/>
      <c r="W473" s="272"/>
      <c r="X473" s="272"/>
      <c r="Y473" s="272"/>
      <c r="Z473" s="258"/>
      <c r="AA473" s="258"/>
      <c r="AB473" s="258"/>
      <c r="AC473" s="258"/>
      <c r="AD473" s="258"/>
      <c r="AE473" s="258"/>
      <c r="AF473" s="258"/>
      <c r="AG473" s="258"/>
      <c r="AH473" s="258"/>
      <c r="AQ473" s="259"/>
      <c r="AR473" s="259"/>
      <c r="AS473" s="259"/>
      <c r="AT473" s="259"/>
      <c r="AU473" s="259"/>
      <c r="AV473" s="259"/>
      <c r="AW473" s="259"/>
    </row>
    <row r="474" spans="2:49" ht="15" customHeight="1" x14ac:dyDescent="0.25">
      <c r="B474" s="260"/>
      <c r="D474" s="262"/>
      <c r="G474" s="288"/>
      <c r="H474" s="265"/>
      <c r="I474" s="266"/>
      <c r="K474" s="268"/>
      <c r="L474" s="278"/>
      <c r="M474" s="274"/>
      <c r="N474" s="258"/>
      <c r="O474" s="258"/>
      <c r="P474" s="258"/>
      <c r="Q474" s="276"/>
      <c r="R474" s="272"/>
      <c r="S474" s="272"/>
      <c r="T474" s="272"/>
      <c r="U474" s="272"/>
      <c r="V474" s="272"/>
      <c r="W474" s="272"/>
      <c r="X474" s="272"/>
      <c r="Y474" s="272"/>
      <c r="Z474" s="258"/>
      <c r="AA474" s="258"/>
      <c r="AB474" s="258"/>
      <c r="AC474" s="258"/>
      <c r="AD474" s="258"/>
      <c r="AE474" s="258"/>
      <c r="AF474" s="258"/>
      <c r="AG474" s="258"/>
      <c r="AH474" s="258"/>
      <c r="AQ474" s="259"/>
      <c r="AR474" s="259"/>
      <c r="AS474" s="259"/>
      <c r="AT474" s="259"/>
      <c r="AU474" s="259"/>
      <c r="AV474" s="259"/>
      <c r="AW474" s="259"/>
    </row>
    <row r="475" spans="2:49" ht="15" customHeight="1" x14ac:dyDescent="0.25">
      <c r="B475" s="260"/>
      <c r="D475" s="262"/>
      <c r="G475" s="289"/>
      <c r="H475" s="265"/>
      <c r="I475" s="266"/>
      <c r="K475" s="268"/>
      <c r="L475" s="278"/>
      <c r="M475" s="274"/>
      <c r="N475" s="258"/>
      <c r="O475" s="258"/>
      <c r="P475" s="258"/>
      <c r="Q475" s="276"/>
      <c r="R475" s="272"/>
      <c r="S475" s="272"/>
      <c r="T475" s="272"/>
      <c r="U475" s="272"/>
      <c r="V475" s="272"/>
      <c r="W475" s="272"/>
      <c r="X475" s="272"/>
      <c r="Y475" s="272"/>
      <c r="Z475" s="258"/>
      <c r="AA475" s="258"/>
      <c r="AB475" s="258"/>
      <c r="AC475" s="258"/>
      <c r="AD475" s="258"/>
      <c r="AE475" s="258"/>
      <c r="AF475" s="258"/>
      <c r="AG475" s="258"/>
      <c r="AH475" s="258"/>
      <c r="AQ475" s="259"/>
      <c r="AR475" s="259"/>
      <c r="AS475" s="259"/>
      <c r="AT475" s="259"/>
      <c r="AU475" s="259"/>
      <c r="AV475" s="259"/>
      <c r="AW475" s="259"/>
    </row>
    <row r="476" spans="2:49" ht="15" customHeight="1" x14ac:dyDescent="0.25">
      <c r="B476" s="260"/>
      <c r="D476" s="262"/>
      <c r="G476" s="289"/>
      <c r="H476" s="265"/>
      <c r="I476" s="266"/>
      <c r="K476" s="268"/>
      <c r="L476" s="278"/>
      <c r="M476" s="274"/>
      <c r="N476" s="258"/>
      <c r="O476" s="258"/>
      <c r="P476" s="258"/>
      <c r="Q476" s="276"/>
      <c r="R476" s="272"/>
      <c r="S476" s="272"/>
      <c r="T476" s="272"/>
      <c r="U476" s="272"/>
      <c r="V476" s="272"/>
      <c r="W476" s="272"/>
      <c r="X476" s="272"/>
      <c r="Y476" s="272"/>
      <c r="Z476" s="258"/>
      <c r="AA476" s="258"/>
      <c r="AB476" s="258"/>
      <c r="AC476" s="258"/>
      <c r="AD476" s="258"/>
      <c r="AE476" s="258"/>
      <c r="AF476" s="258"/>
      <c r="AG476" s="258"/>
      <c r="AH476" s="258"/>
      <c r="AQ476" s="259"/>
      <c r="AR476" s="259"/>
      <c r="AS476" s="259"/>
      <c r="AT476" s="259"/>
      <c r="AU476" s="259"/>
      <c r="AV476" s="259"/>
      <c r="AW476" s="259"/>
    </row>
    <row r="477" spans="2:49" ht="15" customHeight="1" x14ac:dyDescent="0.25">
      <c r="B477" s="260"/>
      <c r="D477" s="262"/>
      <c r="G477" s="289"/>
      <c r="H477" s="265"/>
      <c r="I477" s="266"/>
      <c r="K477" s="268"/>
      <c r="L477" s="278"/>
      <c r="M477" s="274"/>
      <c r="N477" s="258"/>
      <c r="O477" s="258"/>
      <c r="P477" s="258"/>
      <c r="Q477" s="276"/>
      <c r="W477" s="272"/>
      <c r="X477" s="272"/>
      <c r="Y477" s="272"/>
      <c r="Z477" s="258"/>
      <c r="AA477" s="258"/>
      <c r="AB477" s="258"/>
      <c r="AC477" s="258"/>
      <c r="AD477" s="258"/>
      <c r="AE477" s="258"/>
      <c r="AF477" s="258"/>
      <c r="AG477" s="258"/>
      <c r="AH477" s="258"/>
      <c r="AQ477" s="259"/>
      <c r="AR477" s="259"/>
      <c r="AS477" s="259"/>
      <c r="AT477" s="259"/>
      <c r="AU477" s="259"/>
      <c r="AV477" s="259"/>
      <c r="AW477" s="259"/>
    </row>
    <row r="478" spans="2:49" ht="15" customHeight="1" x14ac:dyDescent="0.25">
      <c r="B478" s="260"/>
      <c r="D478" s="262"/>
      <c r="G478" s="288"/>
      <c r="H478" s="265"/>
      <c r="I478" s="266"/>
      <c r="K478" s="268"/>
      <c r="L478" s="278"/>
      <c r="M478" s="274"/>
      <c r="N478" s="258"/>
      <c r="O478" s="258"/>
      <c r="P478" s="258"/>
      <c r="Q478" s="276"/>
      <c r="W478" s="272"/>
      <c r="X478" s="272"/>
      <c r="Y478" s="272"/>
      <c r="Z478" s="258"/>
      <c r="AA478" s="258"/>
      <c r="AB478" s="258"/>
      <c r="AC478" s="258"/>
      <c r="AD478" s="258"/>
      <c r="AE478" s="258"/>
      <c r="AF478" s="258"/>
      <c r="AG478" s="258"/>
      <c r="AH478" s="258"/>
      <c r="AQ478" s="259"/>
      <c r="AR478" s="259"/>
      <c r="AS478" s="259"/>
      <c r="AT478" s="259"/>
      <c r="AU478" s="259"/>
      <c r="AV478" s="259"/>
      <c r="AW478" s="259"/>
    </row>
    <row r="479" spans="2:49" ht="15" customHeight="1" x14ac:dyDescent="0.25">
      <c r="B479" s="260"/>
      <c r="C479" s="290"/>
      <c r="D479" s="262"/>
      <c r="E479" s="291"/>
      <c r="F479" s="262"/>
      <c r="G479" s="289"/>
      <c r="H479" s="243"/>
      <c r="I479" s="266"/>
      <c r="K479" s="268"/>
      <c r="L479" s="278"/>
      <c r="M479" s="274"/>
      <c r="N479" s="258"/>
      <c r="O479" s="258"/>
      <c r="P479" s="258"/>
      <c r="Q479" s="276"/>
      <c r="W479" s="272"/>
      <c r="X479" s="272"/>
      <c r="Y479" s="272"/>
      <c r="Z479" s="258"/>
      <c r="AA479" s="258"/>
      <c r="AB479" s="258"/>
      <c r="AC479" s="258"/>
      <c r="AD479" s="258"/>
      <c r="AE479" s="258"/>
      <c r="AF479" s="258"/>
      <c r="AG479" s="258"/>
      <c r="AH479" s="258"/>
      <c r="AQ479" s="259"/>
      <c r="AR479" s="259"/>
      <c r="AS479" s="259"/>
      <c r="AT479" s="259"/>
      <c r="AU479" s="259"/>
      <c r="AV479" s="259"/>
      <c r="AW479" s="259"/>
    </row>
    <row r="480" spans="2:49" ht="15" customHeight="1" x14ac:dyDescent="0.25">
      <c r="B480" s="260"/>
      <c r="D480" s="262"/>
      <c r="G480" s="289"/>
      <c r="H480" s="265"/>
      <c r="I480" s="266"/>
      <c r="K480" s="268"/>
      <c r="L480" s="273"/>
      <c r="M480" s="274"/>
      <c r="N480" s="270"/>
      <c r="O480" s="270"/>
      <c r="P480" s="270"/>
      <c r="Q480" s="275"/>
      <c r="R480" s="272"/>
      <c r="S480" s="272"/>
      <c r="T480" s="272"/>
      <c r="U480" s="272"/>
      <c r="V480" s="272"/>
      <c r="W480" s="272"/>
      <c r="X480" s="272"/>
      <c r="Y480" s="272"/>
      <c r="Z480" s="258"/>
      <c r="AA480" s="258"/>
      <c r="AB480" s="258"/>
      <c r="AC480" s="258"/>
      <c r="AD480" s="258"/>
      <c r="AE480" s="258"/>
      <c r="AF480" s="258"/>
      <c r="AG480" s="258"/>
      <c r="AH480" s="258"/>
      <c r="AI480" s="258"/>
      <c r="AQ480" s="259"/>
      <c r="AR480" s="259"/>
      <c r="AS480" s="259"/>
      <c r="AT480" s="259"/>
      <c r="AU480" s="259"/>
      <c r="AV480" s="259"/>
      <c r="AW480" s="259"/>
    </row>
    <row r="481" spans="2:49" ht="15" customHeight="1" x14ac:dyDescent="0.25">
      <c r="B481" s="260"/>
      <c r="D481" s="262"/>
      <c r="G481" s="288"/>
      <c r="H481" s="265"/>
      <c r="I481" s="266"/>
      <c r="K481" s="268"/>
      <c r="L481" s="273"/>
      <c r="M481" s="274"/>
      <c r="N481" s="258"/>
      <c r="O481" s="258"/>
      <c r="P481" s="258"/>
      <c r="Q481" s="276"/>
      <c r="R481" s="272"/>
      <c r="S481" s="272"/>
      <c r="T481" s="272"/>
      <c r="U481" s="272"/>
      <c r="V481" s="272"/>
      <c r="W481" s="272"/>
      <c r="X481" s="272"/>
      <c r="Y481" s="272"/>
      <c r="Z481" s="258"/>
      <c r="AA481" s="258"/>
      <c r="AB481" s="258"/>
      <c r="AC481" s="258"/>
      <c r="AD481" s="258"/>
      <c r="AE481" s="258"/>
      <c r="AF481" s="258"/>
      <c r="AG481" s="258"/>
      <c r="AH481" s="258"/>
      <c r="AI481" s="258"/>
      <c r="AQ481" s="259"/>
      <c r="AR481" s="259"/>
      <c r="AS481" s="259"/>
      <c r="AT481" s="259"/>
      <c r="AU481" s="259"/>
      <c r="AV481" s="259"/>
      <c r="AW481" s="259"/>
    </row>
    <row r="482" spans="2:49" ht="15" customHeight="1" x14ac:dyDescent="0.25">
      <c r="B482" s="260"/>
      <c r="D482" s="262"/>
      <c r="G482" s="288"/>
      <c r="H482" s="265"/>
      <c r="I482" s="266"/>
      <c r="K482" s="268"/>
      <c r="L482" s="273"/>
      <c r="M482" s="274"/>
      <c r="N482" s="258"/>
      <c r="O482" s="258"/>
      <c r="P482" s="258"/>
      <c r="Q482" s="276"/>
      <c r="R482" s="272"/>
      <c r="S482" s="272"/>
      <c r="T482" s="272"/>
      <c r="U482" s="272"/>
      <c r="V482" s="272"/>
      <c r="W482" s="272"/>
      <c r="X482" s="272"/>
      <c r="Y482" s="272"/>
      <c r="Z482" s="258"/>
      <c r="AA482" s="258"/>
      <c r="AB482" s="258"/>
      <c r="AC482" s="258"/>
      <c r="AD482" s="258"/>
      <c r="AE482" s="258"/>
      <c r="AF482" s="258"/>
      <c r="AG482" s="258"/>
      <c r="AH482" s="270"/>
      <c r="AI482" s="270"/>
      <c r="AQ482" s="259"/>
      <c r="AR482" s="259"/>
      <c r="AS482" s="259"/>
      <c r="AT482" s="259"/>
      <c r="AU482" s="259"/>
      <c r="AV482" s="259"/>
      <c r="AW482" s="259"/>
    </row>
    <row r="483" spans="2:49" ht="15" customHeight="1" x14ac:dyDescent="0.25">
      <c r="B483" s="260"/>
      <c r="D483" s="262"/>
      <c r="G483" s="288"/>
      <c r="H483" s="265"/>
      <c r="I483" s="266"/>
      <c r="K483" s="268"/>
      <c r="L483" s="273"/>
      <c r="M483" s="277"/>
      <c r="N483" s="258"/>
      <c r="O483" s="258"/>
      <c r="P483" s="258"/>
      <c r="Q483" s="276"/>
      <c r="R483" s="272"/>
      <c r="S483" s="272"/>
      <c r="T483" s="272"/>
      <c r="U483" s="272"/>
      <c r="V483" s="272"/>
      <c r="W483" s="272"/>
      <c r="X483" s="272"/>
      <c r="Y483" s="272"/>
      <c r="Z483" s="258"/>
      <c r="AA483" s="258"/>
      <c r="AB483" s="258"/>
      <c r="AC483" s="258"/>
      <c r="AD483" s="258"/>
      <c r="AE483" s="258"/>
      <c r="AF483" s="258"/>
      <c r="AG483" s="258"/>
      <c r="AH483" s="270"/>
      <c r="AI483" s="270"/>
      <c r="AQ483" s="259"/>
      <c r="AR483" s="259"/>
      <c r="AS483" s="259"/>
      <c r="AT483" s="259"/>
      <c r="AU483" s="259"/>
      <c r="AV483" s="259"/>
      <c r="AW483" s="259"/>
    </row>
    <row r="484" spans="2:49" ht="15" customHeight="1" x14ac:dyDescent="0.25">
      <c r="B484" s="260"/>
      <c r="D484" s="262"/>
      <c r="G484" s="289"/>
      <c r="H484" s="265"/>
      <c r="I484" s="266"/>
      <c r="K484" s="268"/>
      <c r="L484" s="278"/>
      <c r="M484" s="274"/>
      <c r="N484" s="258"/>
      <c r="O484" s="258"/>
      <c r="P484" s="258"/>
      <c r="Q484" s="276"/>
      <c r="R484" s="272"/>
      <c r="S484" s="272"/>
      <c r="T484" s="272"/>
      <c r="U484" s="272"/>
      <c r="V484" s="272"/>
      <c r="W484" s="272"/>
      <c r="X484" s="272"/>
      <c r="Y484" s="272"/>
      <c r="Z484" s="258"/>
      <c r="AA484" s="258"/>
      <c r="AB484" s="258"/>
      <c r="AC484" s="258"/>
      <c r="AD484" s="258"/>
      <c r="AE484" s="258"/>
      <c r="AF484" s="258"/>
      <c r="AG484" s="258"/>
      <c r="AH484" s="270"/>
      <c r="AI484" s="270"/>
      <c r="AQ484" s="259"/>
      <c r="AR484" s="259"/>
      <c r="AS484" s="259"/>
      <c r="AT484" s="259"/>
      <c r="AU484" s="259"/>
      <c r="AV484" s="259"/>
      <c r="AW484" s="259"/>
    </row>
    <row r="485" spans="2:49" ht="15" customHeight="1" x14ac:dyDescent="0.25">
      <c r="B485" s="260"/>
      <c r="D485" s="262"/>
      <c r="G485" s="289"/>
      <c r="H485" s="265"/>
      <c r="I485" s="266"/>
      <c r="K485" s="268"/>
      <c r="L485" s="278"/>
      <c r="M485" s="274"/>
      <c r="N485" s="258"/>
      <c r="O485" s="258"/>
      <c r="P485" s="258"/>
      <c r="Q485" s="276"/>
      <c r="R485" s="272"/>
      <c r="S485" s="272"/>
      <c r="T485" s="272"/>
      <c r="U485" s="272"/>
      <c r="V485" s="272"/>
      <c r="W485" s="272"/>
      <c r="X485" s="272"/>
      <c r="Y485" s="272"/>
      <c r="Z485" s="258"/>
      <c r="AA485" s="258"/>
      <c r="AB485" s="258"/>
      <c r="AC485" s="258"/>
      <c r="AD485" s="258"/>
      <c r="AE485" s="258"/>
      <c r="AF485" s="258"/>
      <c r="AG485" s="258"/>
      <c r="AH485" s="258"/>
      <c r="AQ485" s="259"/>
      <c r="AR485" s="259"/>
      <c r="AS485" s="259"/>
      <c r="AT485" s="259"/>
      <c r="AU485" s="259"/>
      <c r="AV485" s="259"/>
      <c r="AW485" s="259"/>
    </row>
    <row r="486" spans="2:49" ht="15" customHeight="1" x14ac:dyDescent="0.25">
      <c r="B486" s="260"/>
      <c r="D486" s="262"/>
      <c r="G486" s="289"/>
      <c r="H486" s="265"/>
      <c r="I486" s="266"/>
      <c r="K486" s="268"/>
      <c r="L486" s="278"/>
      <c r="M486" s="274"/>
      <c r="N486" s="258"/>
      <c r="O486" s="258"/>
      <c r="P486" s="258"/>
      <c r="Q486" s="276"/>
      <c r="R486" s="272"/>
      <c r="S486" s="272"/>
      <c r="T486" s="272"/>
      <c r="U486" s="272"/>
      <c r="V486" s="272"/>
      <c r="W486" s="272"/>
      <c r="X486" s="272"/>
      <c r="Y486" s="272"/>
      <c r="Z486" s="258"/>
      <c r="AA486" s="258"/>
      <c r="AB486" s="258"/>
      <c r="AC486" s="258"/>
      <c r="AD486" s="258"/>
      <c r="AE486" s="258"/>
      <c r="AF486" s="258"/>
      <c r="AG486" s="258"/>
      <c r="AH486" s="258"/>
      <c r="AQ486" s="259"/>
      <c r="AR486" s="259"/>
      <c r="AS486" s="259"/>
      <c r="AT486" s="259"/>
      <c r="AU486" s="259"/>
      <c r="AV486" s="259"/>
      <c r="AW486" s="259"/>
    </row>
    <row r="487" spans="2:49" ht="15" customHeight="1" x14ac:dyDescent="0.25">
      <c r="B487" s="260"/>
      <c r="D487" s="262"/>
      <c r="E487" s="291"/>
      <c r="F487" s="293"/>
      <c r="G487" s="288"/>
      <c r="H487" s="265"/>
      <c r="I487" s="266"/>
      <c r="K487" s="268"/>
      <c r="L487" s="278"/>
      <c r="M487" s="274"/>
      <c r="N487" s="258"/>
      <c r="O487" s="258"/>
      <c r="P487" s="258"/>
      <c r="Q487" s="276"/>
      <c r="R487" s="272"/>
      <c r="S487" s="272"/>
      <c r="T487" s="272"/>
      <c r="U487" s="272"/>
      <c r="V487" s="272"/>
      <c r="W487" s="272"/>
      <c r="X487" s="272"/>
      <c r="Y487" s="272"/>
      <c r="Z487" s="258"/>
      <c r="AA487" s="258"/>
      <c r="AB487" s="258"/>
      <c r="AC487" s="258"/>
      <c r="AD487" s="258"/>
      <c r="AE487" s="258"/>
      <c r="AF487" s="258"/>
      <c r="AG487" s="258"/>
      <c r="AH487" s="258"/>
      <c r="AQ487" s="259"/>
      <c r="AR487" s="259"/>
      <c r="AS487" s="259"/>
      <c r="AT487" s="259"/>
      <c r="AU487" s="259"/>
      <c r="AV487" s="259"/>
      <c r="AW487" s="259"/>
    </row>
    <row r="488" spans="2:49" ht="15" customHeight="1" x14ac:dyDescent="0.25">
      <c r="B488" s="260"/>
      <c r="C488" s="290"/>
      <c r="D488" s="262"/>
      <c r="E488" s="291"/>
      <c r="F488" s="262"/>
      <c r="G488" s="289"/>
      <c r="H488" s="243"/>
      <c r="I488" s="266"/>
      <c r="K488" s="268"/>
      <c r="L488" s="278"/>
      <c r="M488" s="274"/>
      <c r="N488" s="258"/>
      <c r="O488" s="258"/>
      <c r="P488" s="258"/>
      <c r="Q488" s="276"/>
      <c r="R488" s="272"/>
      <c r="S488" s="272"/>
      <c r="T488" s="272"/>
      <c r="U488" s="272"/>
      <c r="V488" s="272"/>
      <c r="W488" s="272"/>
      <c r="X488" s="272"/>
      <c r="Y488" s="272"/>
      <c r="Z488" s="258"/>
      <c r="AA488" s="258"/>
      <c r="AB488" s="258"/>
      <c r="AC488" s="258"/>
      <c r="AD488" s="258"/>
      <c r="AE488" s="258"/>
      <c r="AF488" s="258"/>
      <c r="AG488" s="258"/>
      <c r="AH488" s="258"/>
      <c r="AQ488" s="259"/>
      <c r="AR488" s="259"/>
      <c r="AS488" s="259"/>
      <c r="AT488" s="259"/>
      <c r="AU488" s="259"/>
      <c r="AV488" s="259"/>
      <c r="AW488" s="259"/>
    </row>
    <row r="489" spans="2:49" ht="15" customHeight="1" x14ac:dyDescent="0.25">
      <c r="B489" s="260"/>
      <c r="D489" s="262"/>
      <c r="G489" s="289"/>
      <c r="H489" s="265"/>
      <c r="I489" s="266"/>
      <c r="K489" s="268"/>
      <c r="L489" s="278"/>
      <c r="M489" s="274"/>
      <c r="N489" s="258"/>
      <c r="O489" s="258"/>
      <c r="P489" s="258"/>
      <c r="Q489" s="276"/>
      <c r="W489" s="272"/>
      <c r="X489" s="272"/>
      <c r="Y489" s="272"/>
      <c r="Z489" s="258"/>
      <c r="AA489" s="258"/>
      <c r="AB489" s="258"/>
      <c r="AC489" s="258"/>
      <c r="AD489" s="258"/>
      <c r="AE489" s="258"/>
      <c r="AF489" s="258"/>
      <c r="AG489" s="258"/>
      <c r="AH489" s="258"/>
      <c r="AQ489" s="259"/>
      <c r="AR489" s="259"/>
      <c r="AS489" s="259"/>
      <c r="AT489" s="259"/>
      <c r="AU489" s="259"/>
      <c r="AV489" s="259"/>
      <c r="AW489" s="259"/>
    </row>
    <row r="490" spans="2:49" ht="15" customHeight="1" x14ac:dyDescent="0.25">
      <c r="B490" s="260"/>
      <c r="D490" s="262"/>
      <c r="G490" s="289"/>
      <c r="H490" s="265"/>
      <c r="I490" s="266"/>
      <c r="K490" s="268"/>
      <c r="L490" s="278"/>
      <c r="M490" s="274"/>
      <c r="N490" s="258"/>
      <c r="O490" s="258"/>
      <c r="P490" s="258"/>
      <c r="Q490" s="276"/>
      <c r="W490" s="272"/>
      <c r="X490" s="272"/>
      <c r="Y490" s="272"/>
      <c r="Z490" s="258"/>
      <c r="AA490" s="258"/>
      <c r="AB490" s="258"/>
      <c r="AC490" s="258"/>
      <c r="AD490" s="258"/>
      <c r="AE490" s="258"/>
      <c r="AF490" s="258"/>
      <c r="AG490" s="258"/>
      <c r="AH490" s="258"/>
      <c r="AQ490" s="259"/>
      <c r="AR490" s="259"/>
      <c r="AS490" s="259"/>
      <c r="AT490" s="259"/>
      <c r="AU490" s="259"/>
      <c r="AV490" s="259"/>
      <c r="AW490" s="259"/>
    </row>
    <row r="491" spans="2:49" ht="15" customHeight="1" x14ac:dyDescent="0.25">
      <c r="B491" s="260"/>
      <c r="D491" s="262"/>
      <c r="G491" s="289"/>
      <c r="H491" s="265"/>
      <c r="I491" s="266"/>
      <c r="K491" s="268"/>
      <c r="L491" s="278"/>
      <c r="M491" s="274"/>
      <c r="N491" s="258"/>
      <c r="O491" s="258"/>
      <c r="P491" s="258"/>
      <c r="Q491" s="276"/>
      <c r="W491" s="272"/>
      <c r="X491" s="272"/>
      <c r="Y491" s="272"/>
      <c r="Z491" s="258"/>
      <c r="AA491" s="258"/>
      <c r="AB491" s="258"/>
      <c r="AC491" s="258"/>
      <c r="AD491" s="258"/>
      <c r="AE491" s="258"/>
      <c r="AF491" s="258"/>
      <c r="AG491" s="258"/>
      <c r="AH491" s="258"/>
      <c r="AQ491" s="259"/>
      <c r="AR491" s="259"/>
      <c r="AS491" s="259"/>
      <c r="AT491" s="259"/>
      <c r="AU491" s="259"/>
      <c r="AV491" s="259"/>
      <c r="AW491" s="259"/>
    </row>
    <row r="492" spans="2:49" ht="15" customHeight="1" x14ac:dyDescent="0.25">
      <c r="B492" s="260"/>
      <c r="D492" s="262"/>
      <c r="G492" s="288"/>
      <c r="H492" s="265"/>
      <c r="I492" s="266"/>
      <c r="K492" s="268"/>
      <c r="L492" s="273"/>
      <c r="M492" s="274"/>
      <c r="N492" s="270"/>
      <c r="O492" s="270"/>
      <c r="P492" s="270"/>
      <c r="Q492" s="275"/>
      <c r="R492" s="272"/>
      <c r="S492" s="272"/>
      <c r="T492" s="272"/>
      <c r="U492" s="272"/>
      <c r="V492" s="272"/>
      <c r="W492" s="272"/>
      <c r="X492" s="272"/>
      <c r="Y492" s="272"/>
      <c r="Z492" s="258"/>
      <c r="AA492" s="258"/>
      <c r="AB492" s="258"/>
      <c r="AC492" s="258"/>
      <c r="AD492" s="258"/>
      <c r="AE492" s="258"/>
      <c r="AF492" s="258"/>
      <c r="AG492" s="258"/>
      <c r="AH492" s="258"/>
      <c r="AI492" s="258"/>
      <c r="AQ492" s="259"/>
      <c r="AR492" s="259"/>
      <c r="AS492" s="259"/>
      <c r="AT492" s="259"/>
      <c r="AU492" s="259"/>
      <c r="AV492" s="259"/>
      <c r="AW492" s="259"/>
    </row>
    <row r="493" spans="2:49" ht="15" customHeight="1" x14ac:dyDescent="0.25">
      <c r="B493" s="260"/>
      <c r="D493" s="262"/>
      <c r="G493" s="289"/>
      <c r="H493" s="265"/>
      <c r="I493" s="266"/>
      <c r="K493" s="268"/>
      <c r="L493" s="273"/>
      <c r="M493" s="274"/>
      <c r="N493" s="258"/>
      <c r="O493" s="258"/>
      <c r="P493" s="258"/>
      <c r="Q493" s="276"/>
      <c r="R493" s="272"/>
      <c r="S493" s="272"/>
      <c r="T493" s="272"/>
      <c r="U493" s="272"/>
      <c r="V493" s="272"/>
      <c r="W493" s="272"/>
      <c r="X493" s="272"/>
      <c r="Y493" s="272"/>
      <c r="Z493" s="258"/>
      <c r="AA493" s="258"/>
      <c r="AB493" s="258"/>
      <c r="AC493" s="258"/>
      <c r="AD493" s="258"/>
      <c r="AE493" s="258"/>
      <c r="AF493" s="258"/>
      <c r="AG493" s="258"/>
      <c r="AH493" s="258"/>
      <c r="AI493" s="258"/>
      <c r="AQ493" s="259"/>
      <c r="AR493" s="259"/>
      <c r="AS493" s="259"/>
      <c r="AT493" s="259"/>
      <c r="AU493" s="259"/>
      <c r="AV493" s="259"/>
      <c r="AW493" s="259"/>
    </row>
    <row r="494" spans="2:49" ht="15" customHeight="1" x14ac:dyDescent="0.25">
      <c r="B494" s="260"/>
      <c r="D494" s="262"/>
      <c r="G494" s="288"/>
      <c r="H494" s="265"/>
      <c r="I494" s="266"/>
      <c r="K494" s="268"/>
      <c r="L494" s="273"/>
      <c r="M494" s="274"/>
      <c r="N494" s="258"/>
      <c r="O494" s="258"/>
      <c r="P494" s="258"/>
      <c r="Q494" s="276"/>
      <c r="R494" s="272"/>
      <c r="S494" s="272"/>
      <c r="T494" s="272"/>
      <c r="U494" s="272"/>
      <c r="V494" s="272"/>
      <c r="W494" s="272"/>
      <c r="X494" s="272"/>
      <c r="Y494" s="272"/>
      <c r="Z494" s="258"/>
      <c r="AA494" s="258"/>
      <c r="AB494" s="258"/>
      <c r="AC494" s="258"/>
      <c r="AD494" s="258"/>
      <c r="AE494" s="258"/>
      <c r="AF494" s="258"/>
      <c r="AG494" s="258"/>
      <c r="AH494" s="270"/>
      <c r="AI494" s="270"/>
      <c r="AQ494" s="259"/>
      <c r="AR494" s="259"/>
      <c r="AS494" s="259"/>
      <c r="AT494" s="259"/>
      <c r="AU494" s="259"/>
      <c r="AV494" s="259"/>
      <c r="AW494" s="259"/>
    </row>
    <row r="495" spans="2:49" ht="15" customHeight="1" x14ac:dyDescent="0.25">
      <c r="B495" s="260"/>
      <c r="D495" s="262"/>
      <c r="G495" s="288"/>
      <c r="H495" s="265"/>
      <c r="I495" s="266"/>
      <c r="K495" s="268"/>
      <c r="L495" s="273"/>
      <c r="M495" s="277"/>
      <c r="N495" s="258"/>
      <c r="O495" s="258"/>
      <c r="P495" s="258"/>
      <c r="Q495" s="276"/>
      <c r="R495" s="272"/>
      <c r="S495" s="272"/>
      <c r="T495" s="272"/>
      <c r="U495" s="272"/>
      <c r="V495" s="272"/>
      <c r="W495" s="272"/>
      <c r="X495" s="272"/>
      <c r="Y495" s="272"/>
      <c r="Z495" s="258"/>
      <c r="AA495" s="258"/>
      <c r="AB495" s="258"/>
      <c r="AC495" s="258"/>
      <c r="AD495" s="258"/>
      <c r="AE495" s="258"/>
      <c r="AF495" s="258"/>
      <c r="AG495" s="258"/>
      <c r="AH495" s="270"/>
      <c r="AI495" s="270"/>
      <c r="AQ495" s="259"/>
      <c r="AR495" s="259"/>
      <c r="AS495" s="259"/>
      <c r="AT495" s="259"/>
      <c r="AU495" s="259"/>
      <c r="AV495" s="259"/>
      <c r="AW495" s="259"/>
    </row>
    <row r="496" spans="2:49" ht="15" customHeight="1" x14ac:dyDescent="0.25">
      <c r="B496" s="260"/>
      <c r="D496" s="262"/>
      <c r="G496" s="264"/>
      <c r="H496" s="265"/>
      <c r="I496" s="266"/>
      <c r="K496" s="268"/>
      <c r="L496" s="278"/>
      <c r="M496" s="274"/>
      <c r="N496" s="258"/>
      <c r="O496" s="258"/>
      <c r="P496" s="258"/>
      <c r="Q496" s="276"/>
      <c r="R496" s="272"/>
      <c r="S496" s="272"/>
      <c r="T496" s="272"/>
      <c r="U496" s="272"/>
      <c r="V496" s="272"/>
      <c r="W496" s="272"/>
      <c r="X496" s="272"/>
      <c r="Y496" s="272"/>
      <c r="Z496" s="258"/>
      <c r="AA496" s="258"/>
      <c r="AB496" s="258"/>
      <c r="AC496" s="258"/>
      <c r="AD496" s="258"/>
      <c r="AE496" s="258"/>
      <c r="AF496" s="258"/>
      <c r="AG496" s="258"/>
      <c r="AH496" s="270"/>
      <c r="AI496" s="270"/>
      <c r="AQ496" s="259"/>
      <c r="AR496" s="259"/>
      <c r="AS496" s="259"/>
      <c r="AT496" s="259"/>
      <c r="AU496" s="259"/>
      <c r="AV496" s="259"/>
      <c r="AW496" s="259"/>
    </row>
    <row r="497" spans="2:49" ht="15" customHeight="1" x14ac:dyDescent="0.25">
      <c r="B497" s="260"/>
      <c r="D497" s="262"/>
      <c r="G497" s="288"/>
      <c r="H497" s="265"/>
      <c r="I497" s="266"/>
      <c r="K497" s="268"/>
      <c r="L497" s="278"/>
      <c r="M497" s="274"/>
      <c r="N497" s="258"/>
      <c r="O497" s="258"/>
      <c r="P497" s="258"/>
      <c r="Q497" s="276"/>
      <c r="R497" s="272"/>
      <c r="S497" s="272"/>
      <c r="T497" s="272"/>
      <c r="U497" s="272"/>
      <c r="V497" s="272"/>
      <c r="W497" s="272"/>
      <c r="X497" s="272"/>
      <c r="Y497" s="272"/>
      <c r="Z497" s="258"/>
      <c r="AA497" s="258"/>
      <c r="AB497" s="258"/>
      <c r="AC497" s="258"/>
      <c r="AD497" s="258"/>
      <c r="AE497" s="258"/>
      <c r="AF497" s="258"/>
      <c r="AG497" s="258"/>
      <c r="AH497" s="258"/>
      <c r="AQ497" s="259"/>
      <c r="AR497" s="259"/>
      <c r="AS497" s="259"/>
      <c r="AT497" s="259"/>
      <c r="AU497" s="259"/>
      <c r="AV497" s="259"/>
      <c r="AW497" s="259"/>
    </row>
    <row r="498" spans="2:49" ht="15" customHeight="1" x14ac:dyDescent="0.25">
      <c r="B498" s="260"/>
      <c r="D498" s="262"/>
      <c r="G498" s="288"/>
      <c r="H498" s="265"/>
      <c r="I498" s="266"/>
      <c r="K498" s="268"/>
      <c r="L498" s="278"/>
      <c r="M498" s="274"/>
      <c r="N498" s="258"/>
      <c r="O498" s="258"/>
      <c r="P498" s="258"/>
      <c r="Q498" s="276"/>
      <c r="R498" s="272"/>
      <c r="S498" s="272"/>
      <c r="T498" s="272"/>
      <c r="U498" s="272"/>
      <c r="V498" s="272"/>
      <c r="W498" s="272"/>
      <c r="X498" s="272"/>
      <c r="Y498" s="272"/>
      <c r="Z498" s="258"/>
      <c r="AA498" s="258"/>
      <c r="AB498" s="258"/>
      <c r="AC498" s="258"/>
      <c r="AD498" s="258"/>
      <c r="AE498" s="258"/>
      <c r="AF498" s="258"/>
      <c r="AG498" s="258"/>
      <c r="AH498" s="258"/>
      <c r="AQ498" s="259"/>
      <c r="AR498" s="259"/>
      <c r="AS498" s="259"/>
      <c r="AT498" s="259"/>
      <c r="AU498" s="259"/>
      <c r="AV498" s="259"/>
      <c r="AW498" s="259"/>
    </row>
    <row r="499" spans="2:49" ht="15" customHeight="1" x14ac:dyDescent="0.25">
      <c r="B499" s="260"/>
      <c r="D499" s="262"/>
      <c r="G499" s="264"/>
      <c r="H499" s="265"/>
      <c r="I499" s="266"/>
      <c r="K499" s="268"/>
      <c r="L499" s="278"/>
      <c r="M499" s="274"/>
      <c r="N499" s="258"/>
      <c r="O499" s="258"/>
      <c r="P499" s="258"/>
      <c r="Q499" s="276"/>
      <c r="R499" s="272"/>
      <c r="S499" s="272"/>
      <c r="T499" s="272"/>
      <c r="U499" s="272"/>
      <c r="V499" s="272"/>
      <c r="W499" s="272"/>
      <c r="X499" s="272"/>
      <c r="Y499" s="272"/>
      <c r="Z499" s="258"/>
      <c r="AA499" s="258"/>
      <c r="AB499" s="258"/>
      <c r="AC499" s="258"/>
      <c r="AD499" s="258"/>
      <c r="AE499" s="258"/>
      <c r="AF499" s="258"/>
      <c r="AG499" s="258"/>
      <c r="AH499" s="258"/>
      <c r="AQ499" s="259"/>
      <c r="AR499" s="259"/>
      <c r="AS499" s="259"/>
      <c r="AT499" s="259"/>
      <c r="AU499" s="259"/>
      <c r="AV499" s="259"/>
      <c r="AW499" s="259"/>
    </row>
    <row r="500" spans="2:49" ht="15" customHeight="1" x14ac:dyDescent="0.25">
      <c r="B500" s="260"/>
      <c r="D500" s="262"/>
      <c r="E500" s="291"/>
      <c r="F500" s="293"/>
      <c r="G500" s="288"/>
      <c r="H500" s="265"/>
      <c r="I500" s="266"/>
      <c r="K500" s="268"/>
      <c r="L500" s="278"/>
      <c r="M500" s="274"/>
      <c r="N500" s="258"/>
      <c r="O500" s="258"/>
      <c r="P500" s="258"/>
      <c r="Q500" s="276"/>
      <c r="R500" s="272"/>
      <c r="S500" s="272"/>
      <c r="T500" s="272"/>
      <c r="U500" s="272"/>
      <c r="V500" s="272"/>
      <c r="W500" s="272"/>
      <c r="X500" s="272"/>
      <c r="Y500" s="272"/>
      <c r="Z500" s="258"/>
      <c r="AA500" s="258"/>
      <c r="AB500" s="258"/>
      <c r="AC500" s="258"/>
      <c r="AD500" s="258"/>
      <c r="AE500" s="258"/>
      <c r="AF500" s="258"/>
      <c r="AG500" s="258"/>
      <c r="AH500" s="258"/>
      <c r="AQ500" s="259"/>
      <c r="AR500" s="259"/>
      <c r="AS500" s="259"/>
      <c r="AT500" s="259"/>
      <c r="AU500" s="259"/>
      <c r="AV500" s="259"/>
      <c r="AW500" s="259"/>
    </row>
    <row r="501" spans="2:49" ht="15" customHeight="1" x14ac:dyDescent="0.25">
      <c r="B501" s="260"/>
      <c r="D501" s="262"/>
      <c r="G501" s="264"/>
      <c r="H501" s="265"/>
      <c r="I501" s="266"/>
      <c r="K501" s="268"/>
      <c r="L501" s="278"/>
      <c r="M501" s="274"/>
      <c r="N501" s="258"/>
      <c r="O501" s="258"/>
      <c r="P501" s="258"/>
      <c r="Q501" s="276"/>
      <c r="W501" s="272"/>
      <c r="X501" s="272"/>
      <c r="Y501" s="272"/>
      <c r="Z501" s="258"/>
      <c r="AA501" s="258"/>
      <c r="AB501" s="258"/>
      <c r="AC501" s="258"/>
      <c r="AD501" s="258"/>
      <c r="AE501" s="258"/>
      <c r="AF501" s="258"/>
      <c r="AG501" s="258"/>
      <c r="AH501" s="258"/>
      <c r="AQ501" s="259"/>
      <c r="AR501" s="259"/>
      <c r="AS501" s="259"/>
      <c r="AT501" s="259"/>
      <c r="AU501" s="259"/>
      <c r="AV501" s="259"/>
      <c r="AW501" s="259"/>
    </row>
    <row r="502" spans="2:49" ht="15" customHeight="1" x14ac:dyDescent="0.25">
      <c r="B502" s="260"/>
      <c r="D502" s="262"/>
      <c r="G502" s="289"/>
      <c r="H502" s="265"/>
      <c r="I502" s="266"/>
      <c r="K502" s="268"/>
      <c r="L502" s="278"/>
      <c r="M502" s="274"/>
      <c r="N502" s="258"/>
      <c r="O502" s="258"/>
      <c r="P502" s="258"/>
      <c r="Q502" s="276"/>
      <c r="W502" s="272"/>
      <c r="X502" s="272"/>
      <c r="Y502" s="272"/>
      <c r="Z502" s="258"/>
      <c r="AA502" s="258"/>
      <c r="AB502" s="258"/>
      <c r="AC502" s="258"/>
      <c r="AD502" s="258"/>
      <c r="AE502" s="258"/>
      <c r="AF502" s="258"/>
      <c r="AG502" s="258"/>
      <c r="AH502" s="258"/>
      <c r="AQ502" s="259"/>
      <c r="AR502" s="259"/>
      <c r="AS502" s="259"/>
      <c r="AT502" s="259"/>
      <c r="AU502" s="259"/>
      <c r="AV502" s="259"/>
      <c r="AW502" s="259"/>
    </row>
    <row r="503" spans="2:49" ht="15" customHeight="1" x14ac:dyDescent="0.25">
      <c r="B503" s="260"/>
      <c r="D503" s="262"/>
      <c r="G503" s="288"/>
      <c r="H503" s="265"/>
      <c r="I503" s="266"/>
      <c r="K503" s="268"/>
      <c r="L503" s="278"/>
      <c r="M503" s="274"/>
      <c r="N503" s="258"/>
      <c r="O503" s="258"/>
      <c r="P503" s="258"/>
      <c r="Q503" s="276"/>
      <c r="W503" s="272"/>
      <c r="X503" s="272"/>
      <c r="Y503" s="272"/>
      <c r="Z503" s="258"/>
      <c r="AA503" s="258"/>
      <c r="AB503" s="258"/>
      <c r="AC503" s="258"/>
      <c r="AD503" s="258"/>
      <c r="AE503" s="258"/>
      <c r="AF503" s="258"/>
      <c r="AG503" s="258"/>
      <c r="AH503" s="258"/>
      <c r="AQ503" s="259"/>
      <c r="AR503" s="259"/>
      <c r="AS503" s="259"/>
      <c r="AT503" s="259"/>
      <c r="AU503" s="259"/>
      <c r="AV503" s="259"/>
      <c r="AW503" s="259"/>
    </row>
    <row r="504" spans="2:49" ht="15" customHeight="1" x14ac:dyDescent="0.25">
      <c r="B504" s="260"/>
      <c r="C504" s="290"/>
      <c r="D504" s="262"/>
      <c r="E504" s="291"/>
      <c r="F504" s="262"/>
      <c r="G504" s="289"/>
      <c r="H504" s="243"/>
      <c r="I504" s="266"/>
      <c r="K504" s="268"/>
      <c r="L504" s="273"/>
      <c r="M504" s="274"/>
      <c r="N504" s="270"/>
      <c r="O504" s="270"/>
      <c r="P504" s="270"/>
      <c r="Q504" s="275"/>
      <c r="R504" s="272"/>
      <c r="S504" s="272"/>
      <c r="T504" s="272"/>
      <c r="U504" s="272"/>
      <c r="V504" s="272"/>
      <c r="W504" s="272"/>
      <c r="X504" s="272"/>
      <c r="Y504" s="272"/>
      <c r="Z504" s="258"/>
      <c r="AA504" s="258"/>
      <c r="AB504" s="258"/>
      <c r="AC504" s="258"/>
      <c r="AD504" s="258"/>
      <c r="AE504" s="258"/>
      <c r="AF504" s="258"/>
      <c r="AG504" s="258"/>
      <c r="AH504" s="258"/>
      <c r="AI504" s="258"/>
      <c r="AQ504" s="259"/>
      <c r="AR504" s="259"/>
      <c r="AS504" s="259"/>
      <c r="AT504" s="259"/>
      <c r="AU504" s="259"/>
      <c r="AV504" s="259"/>
      <c r="AW504" s="259"/>
    </row>
    <row r="505" spans="2:49" ht="15" customHeight="1" x14ac:dyDescent="0.25">
      <c r="B505" s="260"/>
      <c r="D505" s="262"/>
      <c r="E505" s="291"/>
      <c r="F505" s="293"/>
      <c r="G505" s="288"/>
      <c r="H505" s="265"/>
      <c r="I505" s="266"/>
      <c r="K505" s="268"/>
      <c r="L505" s="273"/>
      <c r="M505" s="274"/>
      <c r="N505" s="258"/>
      <c r="O505" s="258"/>
      <c r="P505" s="258"/>
      <c r="Q505" s="276"/>
      <c r="R505" s="272"/>
      <c r="S505" s="272"/>
      <c r="T505" s="272"/>
      <c r="U505" s="272"/>
      <c r="V505" s="272"/>
      <c r="W505" s="272"/>
      <c r="X505" s="272"/>
      <c r="Y505" s="272"/>
      <c r="Z505" s="258"/>
      <c r="AA505" s="258"/>
      <c r="AB505" s="258"/>
      <c r="AC505" s="258"/>
      <c r="AD505" s="258"/>
      <c r="AE505" s="258"/>
      <c r="AF505" s="258"/>
      <c r="AG505" s="258"/>
      <c r="AH505" s="258"/>
      <c r="AI505" s="258"/>
      <c r="AQ505" s="259"/>
      <c r="AR505" s="259"/>
      <c r="AS505" s="259"/>
      <c r="AT505" s="259"/>
      <c r="AU505" s="259"/>
      <c r="AV505" s="259"/>
      <c r="AW505" s="259"/>
    </row>
    <row r="506" spans="2:49" ht="15" customHeight="1" x14ac:dyDescent="0.25">
      <c r="B506" s="260"/>
      <c r="C506" s="290"/>
      <c r="D506" s="262"/>
      <c r="E506" s="291"/>
      <c r="F506" s="262"/>
      <c r="G506" s="289"/>
      <c r="H506" s="243"/>
      <c r="I506" s="266"/>
      <c r="K506" s="268"/>
      <c r="L506" s="273"/>
      <c r="M506" s="274"/>
      <c r="N506" s="258"/>
      <c r="O506" s="258"/>
      <c r="P506" s="258"/>
      <c r="Q506" s="276"/>
      <c r="R506" s="272"/>
      <c r="S506" s="272"/>
      <c r="T506" s="272"/>
      <c r="U506" s="272"/>
      <c r="V506" s="272"/>
      <c r="W506" s="272"/>
      <c r="X506" s="272"/>
      <c r="Y506" s="272"/>
      <c r="Z506" s="258"/>
      <c r="AA506" s="258"/>
      <c r="AB506" s="258"/>
      <c r="AC506" s="258"/>
      <c r="AD506" s="258"/>
      <c r="AE506" s="258"/>
      <c r="AF506" s="258"/>
      <c r="AG506" s="258"/>
      <c r="AH506" s="270"/>
      <c r="AI506" s="270"/>
      <c r="AQ506" s="259"/>
      <c r="AR506" s="259"/>
      <c r="AS506" s="259"/>
      <c r="AT506" s="259"/>
      <c r="AU506" s="259"/>
      <c r="AV506" s="259"/>
      <c r="AW506" s="259"/>
    </row>
    <row r="507" spans="2:49" ht="15" customHeight="1" x14ac:dyDescent="0.25">
      <c r="B507" s="260"/>
      <c r="D507" s="262"/>
      <c r="G507" s="289"/>
      <c r="H507" s="265"/>
      <c r="I507" s="266"/>
      <c r="K507" s="268"/>
      <c r="L507" s="273"/>
      <c r="M507" s="277"/>
      <c r="N507" s="258"/>
      <c r="O507" s="258"/>
      <c r="P507" s="258"/>
      <c r="Q507" s="276"/>
      <c r="R507" s="272"/>
      <c r="S507" s="272"/>
      <c r="T507" s="272"/>
      <c r="U507" s="272"/>
      <c r="V507" s="272"/>
      <c r="W507" s="272"/>
      <c r="X507" s="272"/>
      <c r="Y507" s="272"/>
      <c r="Z507" s="258"/>
      <c r="AA507" s="258"/>
      <c r="AB507" s="258"/>
      <c r="AC507" s="258"/>
      <c r="AD507" s="258"/>
      <c r="AE507" s="258"/>
      <c r="AF507" s="258"/>
      <c r="AG507" s="258"/>
      <c r="AH507" s="270"/>
      <c r="AI507" s="270"/>
      <c r="AQ507" s="259"/>
      <c r="AR507" s="259"/>
      <c r="AS507" s="259"/>
      <c r="AT507" s="259"/>
      <c r="AU507" s="259"/>
      <c r="AV507" s="259"/>
      <c r="AW507" s="259"/>
    </row>
    <row r="508" spans="2:49" ht="15" customHeight="1" x14ac:dyDescent="0.25">
      <c r="B508" s="260"/>
      <c r="D508" s="262"/>
      <c r="G508" s="289"/>
      <c r="H508" s="265"/>
      <c r="I508" s="266"/>
      <c r="K508" s="268"/>
      <c r="L508" s="278"/>
      <c r="M508" s="274"/>
      <c r="N508" s="258"/>
      <c r="O508" s="258"/>
      <c r="P508" s="258"/>
      <c r="Q508" s="276"/>
      <c r="R508" s="272"/>
      <c r="S508" s="272"/>
      <c r="T508" s="272"/>
      <c r="U508" s="272"/>
      <c r="V508" s="272"/>
      <c r="W508" s="272"/>
      <c r="X508" s="272"/>
      <c r="Y508" s="272"/>
      <c r="Z508" s="258"/>
      <c r="AA508" s="258"/>
      <c r="AB508" s="258"/>
      <c r="AC508" s="258"/>
      <c r="AD508" s="258"/>
      <c r="AE508" s="258"/>
      <c r="AF508" s="258"/>
      <c r="AG508" s="258"/>
      <c r="AH508" s="270"/>
      <c r="AI508" s="270"/>
      <c r="AQ508" s="259"/>
      <c r="AR508" s="259"/>
      <c r="AS508" s="259"/>
      <c r="AT508" s="259"/>
      <c r="AU508" s="259"/>
      <c r="AV508" s="259"/>
      <c r="AW508" s="259"/>
    </row>
    <row r="509" spans="2:49" ht="15" customHeight="1" x14ac:dyDescent="0.25">
      <c r="B509" s="260"/>
      <c r="D509" s="262"/>
      <c r="G509" s="289"/>
      <c r="H509" s="265"/>
      <c r="I509" s="266"/>
      <c r="K509" s="268"/>
      <c r="L509" s="278"/>
      <c r="M509" s="274"/>
      <c r="N509" s="258"/>
      <c r="O509" s="258"/>
      <c r="P509" s="258"/>
      <c r="Q509" s="276"/>
      <c r="R509" s="272"/>
      <c r="S509" s="272"/>
      <c r="T509" s="272"/>
      <c r="U509" s="272"/>
      <c r="V509" s="272"/>
      <c r="W509" s="272"/>
      <c r="X509" s="272"/>
      <c r="Y509" s="272"/>
      <c r="Z509" s="258"/>
      <c r="AA509" s="258"/>
      <c r="AB509" s="258"/>
      <c r="AC509" s="258"/>
      <c r="AD509" s="258"/>
      <c r="AE509" s="258"/>
      <c r="AF509" s="258"/>
      <c r="AG509" s="258"/>
      <c r="AH509" s="258"/>
      <c r="AQ509" s="259"/>
      <c r="AR509" s="259"/>
      <c r="AS509" s="259"/>
      <c r="AT509" s="259"/>
      <c r="AU509" s="259"/>
      <c r="AV509" s="259"/>
      <c r="AW509" s="259"/>
    </row>
    <row r="510" spans="2:49" ht="15" customHeight="1" x14ac:dyDescent="0.25">
      <c r="B510" s="260"/>
      <c r="D510" s="262"/>
      <c r="G510" s="289"/>
      <c r="H510" s="265"/>
      <c r="I510" s="266"/>
      <c r="K510" s="268"/>
      <c r="L510" s="278"/>
      <c r="M510" s="274"/>
      <c r="N510" s="258"/>
      <c r="O510" s="258"/>
      <c r="P510" s="258"/>
      <c r="Q510" s="276"/>
      <c r="R510" s="272"/>
      <c r="S510" s="272"/>
      <c r="T510" s="272"/>
      <c r="U510" s="272"/>
      <c r="V510" s="272"/>
      <c r="W510" s="272"/>
      <c r="X510" s="272"/>
      <c r="Y510" s="272"/>
      <c r="Z510" s="258"/>
      <c r="AA510" s="258"/>
      <c r="AB510" s="258"/>
      <c r="AC510" s="258"/>
      <c r="AD510" s="258"/>
      <c r="AE510" s="258"/>
      <c r="AF510" s="258"/>
      <c r="AG510" s="258"/>
      <c r="AH510" s="258"/>
      <c r="AQ510" s="259"/>
      <c r="AR510" s="259"/>
      <c r="AS510" s="259"/>
      <c r="AT510" s="259"/>
      <c r="AU510" s="259"/>
      <c r="AV510" s="259"/>
      <c r="AW510" s="259"/>
    </row>
    <row r="511" spans="2:49" ht="15" customHeight="1" x14ac:dyDescent="0.25">
      <c r="B511" s="260"/>
      <c r="D511" s="262"/>
      <c r="G511" s="289"/>
      <c r="H511" s="265"/>
      <c r="I511" s="266"/>
      <c r="K511" s="268"/>
      <c r="L511" s="278"/>
      <c r="M511" s="274"/>
      <c r="N511" s="258"/>
      <c r="O511" s="258"/>
      <c r="P511" s="258"/>
      <c r="Q511" s="276"/>
      <c r="R511" s="272"/>
      <c r="S511" s="272"/>
      <c r="T511" s="272"/>
      <c r="U511" s="272"/>
      <c r="V511" s="272"/>
      <c r="W511" s="272"/>
      <c r="X511" s="272"/>
      <c r="Y511" s="272"/>
      <c r="Z511" s="258"/>
      <c r="AA511" s="258"/>
      <c r="AB511" s="258"/>
      <c r="AC511" s="258"/>
      <c r="AD511" s="258"/>
      <c r="AE511" s="258"/>
      <c r="AF511" s="258"/>
      <c r="AG511" s="258"/>
      <c r="AH511" s="258"/>
      <c r="AQ511" s="259"/>
      <c r="AR511" s="259"/>
      <c r="AS511" s="259"/>
      <c r="AT511" s="259"/>
      <c r="AU511" s="259"/>
      <c r="AV511" s="259"/>
      <c r="AW511" s="259"/>
    </row>
    <row r="512" spans="2:49" ht="15" customHeight="1" x14ac:dyDescent="0.25">
      <c r="B512" s="260"/>
      <c r="D512" s="262"/>
      <c r="G512" s="264"/>
      <c r="H512" s="265"/>
      <c r="I512" s="266"/>
      <c r="K512" s="268"/>
      <c r="L512" s="278"/>
      <c r="M512" s="274"/>
      <c r="N512" s="258"/>
      <c r="O512" s="258"/>
      <c r="P512" s="258"/>
      <c r="Q512" s="276"/>
      <c r="R512" s="272"/>
      <c r="S512" s="272"/>
      <c r="T512" s="272"/>
      <c r="U512" s="272"/>
      <c r="V512" s="272"/>
      <c r="W512" s="272"/>
      <c r="X512" s="272"/>
      <c r="Y512" s="272"/>
      <c r="Z512" s="258"/>
      <c r="AA512" s="258"/>
      <c r="AB512" s="258"/>
      <c r="AC512" s="258"/>
      <c r="AD512" s="258"/>
      <c r="AE512" s="258"/>
      <c r="AF512" s="258"/>
      <c r="AG512" s="258"/>
      <c r="AH512" s="258"/>
      <c r="AQ512" s="259"/>
      <c r="AR512" s="259"/>
      <c r="AS512" s="259"/>
      <c r="AT512" s="259"/>
      <c r="AU512" s="259"/>
      <c r="AV512" s="259"/>
      <c r="AW512" s="259"/>
    </row>
    <row r="513" spans="2:49" ht="15" customHeight="1" x14ac:dyDescent="0.25">
      <c r="B513" s="260"/>
      <c r="D513" s="262"/>
      <c r="G513" s="264"/>
      <c r="H513" s="265"/>
      <c r="I513" s="266"/>
      <c r="K513" s="268"/>
      <c r="L513" s="278"/>
      <c r="M513" s="274"/>
      <c r="N513" s="258"/>
      <c r="O513" s="258"/>
      <c r="P513" s="258"/>
      <c r="Q513" s="276"/>
      <c r="W513" s="272"/>
      <c r="X513" s="272"/>
      <c r="Y513" s="272"/>
      <c r="Z513" s="258"/>
      <c r="AA513" s="258"/>
      <c r="AB513" s="258"/>
      <c r="AC513" s="258"/>
      <c r="AD513" s="258"/>
      <c r="AE513" s="258"/>
      <c r="AF513" s="258"/>
      <c r="AG513" s="258"/>
      <c r="AH513" s="258"/>
      <c r="AQ513" s="259"/>
      <c r="AR513" s="259"/>
      <c r="AS513" s="259"/>
      <c r="AT513" s="259"/>
      <c r="AU513" s="259"/>
      <c r="AV513" s="259"/>
      <c r="AW513" s="259"/>
    </row>
    <row r="514" spans="2:49" ht="15" customHeight="1" x14ac:dyDescent="0.25">
      <c r="B514" s="260"/>
      <c r="D514" s="262"/>
      <c r="G514" s="289"/>
      <c r="H514" s="265"/>
      <c r="I514" s="266"/>
      <c r="K514" s="268"/>
      <c r="L514" s="278"/>
      <c r="M514" s="274"/>
      <c r="N514" s="258"/>
      <c r="O514" s="258"/>
      <c r="P514" s="258"/>
      <c r="Q514" s="276"/>
      <c r="W514" s="272"/>
      <c r="X514" s="272"/>
      <c r="Y514" s="272"/>
      <c r="Z514" s="258"/>
      <c r="AA514" s="258"/>
      <c r="AB514" s="258"/>
      <c r="AC514" s="258"/>
      <c r="AD514" s="258"/>
      <c r="AE514" s="258"/>
      <c r="AF514" s="258"/>
      <c r="AG514" s="258"/>
      <c r="AH514" s="258"/>
      <c r="AQ514" s="259"/>
      <c r="AR514" s="259"/>
      <c r="AS514" s="259"/>
      <c r="AT514" s="259"/>
      <c r="AU514" s="259"/>
      <c r="AV514" s="259"/>
      <c r="AW514" s="259"/>
    </row>
    <row r="515" spans="2:49" ht="15" customHeight="1" x14ac:dyDescent="0.25">
      <c r="B515" s="260"/>
      <c r="D515" s="262"/>
      <c r="G515" s="288"/>
      <c r="H515" s="265"/>
      <c r="I515" s="266"/>
      <c r="K515" s="268"/>
      <c r="L515" s="278"/>
      <c r="M515" s="274"/>
      <c r="N515" s="258"/>
      <c r="O515" s="258"/>
      <c r="P515" s="258"/>
      <c r="Q515" s="276"/>
      <c r="W515" s="272"/>
      <c r="X515" s="272"/>
      <c r="Y515" s="272"/>
      <c r="Z515" s="258"/>
      <c r="AA515" s="258"/>
      <c r="AB515" s="258"/>
      <c r="AC515" s="258"/>
      <c r="AD515" s="258"/>
      <c r="AE515" s="258"/>
      <c r="AF515" s="258"/>
      <c r="AG515" s="258"/>
      <c r="AH515" s="258"/>
      <c r="AQ515" s="259"/>
      <c r="AR515" s="259"/>
      <c r="AS515" s="259"/>
      <c r="AT515" s="259"/>
      <c r="AU515" s="259"/>
      <c r="AV515" s="259"/>
      <c r="AW515" s="259"/>
    </row>
    <row r="516" spans="2:49" ht="15" customHeight="1" x14ac:dyDescent="0.25">
      <c r="B516" s="260"/>
      <c r="D516" s="262"/>
      <c r="G516" s="288"/>
      <c r="H516" s="265"/>
      <c r="I516" s="266"/>
      <c r="K516" s="268"/>
      <c r="L516" s="273"/>
      <c r="M516" s="274"/>
      <c r="N516" s="270"/>
      <c r="O516" s="270"/>
      <c r="P516" s="270"/>
      <c r="Q516" s="275"/>
      <c r="R516" s="272"/>
      <c r="S516" s="272"/>
      <c r="T516" s="272"/>
      <c r="U516" s="272"/>
      <c r="V516" s="272"/>
      <c r="W516" s="272"/>
      <c r="X516" s="272"/>
      <c r="Y516" s="272"/>
      <c r="Z516" s="258"/>
      <c r="AA516" s="258"/>
      <c r="AB516" s="258"/>
      <c r="AC516" s="258"/>
      <c r="AD516" s="258"/>
      <c r="AE516" s="258"/>
      <c r="AF516" s="258"/>
      <c r="AG516" s="258"/>
      <c r="AH516" s="258"/>
      <c r="AI516" s="258"/>
      <c r="AQ516" s="259"/>
      <c r="AR516" s="259"/>
      <c r="AS516" s="259"/>
      <c r="AT516" s="259"/>
      <c r="AU516" s="259"/>
      <c r="AV516" s="259"/>
      <c r="AW516" s="259"/>
    </row>
    <row r="517" spans="2:49" ht="15" customHeight="1" x14ac:dyDescent="0.25">
      <c r="B517" s="260"/>
      <c r="D517" s="262"/>
      <c r="G517" s="289"/>
      <c r="H517" s="265"/>
      <c r="I517" s="266"/>
      <c r="K517" s="268"/>
      <c r="L517" s="273"/>
      <c r="M517" s="274"/>
      <c r="N517" s="258"/>
      <c r="O517" s="258"/>
      <c r="P517" s="258"/>
      <c r="Q517" s="276"/>
      <c r="R517" s="272"/>
      <c r="S517" s="272"/>
      <c r="T517" s="272"/>
      <c r="U517" s="272"/>
      <c r="V517" s="272"/>
      <c r="W517" s="272"/>
      <c r="X517" s="272"/>
      <c r="Y517" s="272"/>
      <c r="Z517" s="258"/>
      <c r="AA517" s="258"/>
      <c r="AB517" s="258"/>
      <c r="AC517" s="258"/>
      <c r="AD517" s="258"/>
      <c r="AE517" s="258"/>
      <c r="AF517" s="258"/>
      <c r="AG517" s="258"/>
      <c r="AH517" s="258"/>
      <c r="AI517" s="258"/>
      <c r="AQ517" s="259"/>
      <c r="AR517" s="259"/>
      <c r="AS517" s="259"/>
      <c r="AT517" s="259"/>
      <c r="AU517" s="259"/>
      <c r="AV517" s="259"/>
      <c r="AW517" s="259"/>
    </row>
    <row r="518" spans="2:49" ht="15" customHeight="1" x14ac:dyDescent="0.25">
      <c r="B518" s="260"/>
      <c r="D518" s="262"/>
      <c r="E518" s="291"/>
      <c r="F518" s="293"/>
      <c r="G518" s="288"/>
      <c r="H518" s="265"/>
      <c r="I518" s="266"/>
      <c r="K518" s="268"/>
      <c r="L518" s="273"/>
      <c r="M518" s="274"/>
      <c r="N518" s="258"/>
      <c r="O518" s="258"/>
      <c r="P518" s="258"/>
      <c r="Q518" s="276"/>
      <c r="R518" s="272"/>
      <c r="S518" s="272"/>
      <c r="T518" s="272"/>
      <c r="U518" s="272"/>
      <c r="V518" s="272"/>
      <c r="W518" s="272"/>
      <c r="X518" s="272"/>
      <c r="Y518" s="272"/>
      <c r="Z518" s="258"/>
      <c r="AA518" s="258"/>
      <c r="AB518" s="258"/>
      <c r="AC518" s="258"/>
      <c r="AD518" s="258"/>
      <c r="AE518" s="258"/>
      <c r="AF518" s="258"/>
      <c r="AG518" s="258"/>
      <c r="AH518" s="270"/>
      <c r="AI518" s="270"/>
      <c r="AQ518" s="259"/>
      <c r="AR518" s="259"/>
      <c r="AS518" s="259"/>
      <c r="AT518" s="259"/>
      <c r="AU518" s="259"/>
      <c r="AV518" s="259"/>
      <c r="AW518" s="259"/>
    </row>
    <row r="519" spans="2:49" ht="15" customHeight="1" x14ac:dyDescent="0.25">
      <c r="B519" s="260"/>
      <c r="D519" s="262"/>
      <c r="G519" s="289"/>
      <c r="H519" s="265"/>
      <c r="I519" s="266"/>
      <c r="K519" s="268"/>
      <c r="L519" s="273"/>
      <c r="M519" s="277"/>
      <c r="N519" s="258"/>
      <c r="O519" s="258"/>
      <c r="P519" s="258"/>
      <c r="Q519" s="276"/>
      <c r="R519" s="272"/>
      <c r="S519" s="272"/>
      <c r="T519" s="272"/>
      <c r="U519" s="272"/>
      <c r="V519" s="272"/>
      <c r="W519" s="272"/>
      <c r="X519" s="272"/>
      <c r="Y519" s="272"/>
      <c r="Z519" s="258"/>
      <c r="AA519" s="258"/>
      <c r="AB519" s="258"/>
      <c r="AC519" s="258"/>
      <c r="AD519" s="258"/>
      <c r="AE519" s="258"/>
      <c r="AF519" s="258"/>
      <c r="AG519" s="258"/>
      <c r="AH519" s="270"/>
      <c r="AI519" s="270"/>
      <c r="AQ519" s="259"/>
      <c r="AR519" s="259"/>
      <c r="AS519" s="259"/>
      <c r="AT519" s="259"/>
      <c r="AU519" s="259"/>
      <c r="AV519" s="259"/>
      <c r="AW519" s="259"/>
    </row>
    <row r="520" spans="2:49" ht="15" customHeight="1" x14ac:dyDescent="0.25">
      <c r="B520" s="260"/>
      <c r="D520" s="262"/>
      <c r="G520" s="289"/>
      <c r="H520" s="265"/>
      <c r="I520" s="266"/>
      <c r="K520" s="268"/>
      <c r="L520" s="278"/>
      <c r="M520" s="274"/>
      <c r="N520" s="258"/>
      <c r="O520" s="258"/>
      <c r="P520" s="258"/>
      <c r="Q520" s="276"/>
      <c r="R520" s="272"/>
      <c r="S520" s="272"/>
      <c r="T520" s="272"/>
      <c r="U520" s="272"/>
      <c r="V520" s="272"/>
      <c r="W520" s="272"/>
      <c r="X520" s="272"/>
      <c r="Y520" s="272"/>
      <c r="Z520" s="258"/>
      <c r="AA520" s="258"/>
      <c r="AB520" s="258"/>
      <c r="AC520" s="258"/>
      <c r="AD520" s="258"/>
      <c r="AE520" s="258"/>
      <c r="AF520" s="258"/>
      <c r="AG520" s="258"/>
      <c r="AH520" s="270"/>
      <c r="AI520" s="270"/>
      <c r="AQ520" s="259"/>
      <c r="AR520" s="259"/>
      <c r="AS520" s="259"/>
      <c r="AT520" s="259"/>
      <c r="AU520" s="259"/>
      <c r="AV520" s="259"/>
      <c r="AW520" s="259"/>
    </row>
    <row r="521" spans="2:49" ht="15" customHeight="1" x14ac:dyDescent="0.25">
      <c r="B521" s="260"/>
      <c r="D521" s="262"/>
      <c r="G521" s="289"/>
      <c r="H521" s="265"/>
      <c r="I521" s="266"/>
      <c r="K521" s="268"/>
      <c r="L521" s="278"/>
      <c r="M521" s="274"/>
      <c r="N521" s="258"/>
      <c r="O521" s="258"/>
      <c r="P521" s="258"/>
      <c r="Q521" s="276"/>
      <c r="R521" s="272"/>
      <c r="S521" s="272"/>
      <c r="T521" s="272"/>
      <c r="U521" s="272"/>
      <c r="V521" s="272"/>
      <c r="W521" s="272"/>
      <c r="X521" s="272"/>
      <c r="Y521" s="272"/>
      <c r="Z521" s="258"/>
      <c r="AA521" s="258"/>
      <c r="AB521" s="258"/>
      <c r="AC521" s="258"/>
      <c r="AD521" s="258"/>
      <c r="AE521" s="258"/>
      <c r="AF521" s="258"/>
      <c r="AG521" s="258"/>
      <c r="AH521" s="258"/>
      <c r="AQ521" s="259"/>
      <c r="AR521" s="259"/>
      <c r="AS521" s="259"/>
      <c r="AT521" s="259"/>
      <c r="AU521" s="259"/>
      <c r="AV521" s="259"/>
      <c r="AW521" s="259"/>
    </row>
    <row r="522" spans="2:49" ht="15" customHeight="1" x14ac:dyDescent="0.25">
      <c r="B522" s="260"/>
      <c r="D522" s="262"/>
      <c r="G522" s="289"/>
      <c r="H522" s="265"/>
      <c r="I522" s="266"/>
      <c r="K522" s="268"/>
      <c r="L522" s="278"/>
      <c r="M522" s="274"/>
      <c r="N522" s="258"/>
      <c r="O522" s="258"/>
      <c r="P522" s="258"/>
      <c r="Q522" s="276"/>
      <c r="R522" s="272"/>
      <c r="S522" s="272"/>
      <c r="T522" s="272"/>
      <c r="U522" s="272"/>
      <c r="V522" s="272"/>
      <c r="W522" s="272"/>
      <c r="X522" s="272"/>
      <c r="Y522" s="272"/>
      <c r="Z522" s="258"/>
      <c r="AA522" s="258"/>
      <c r="AB522" s="258"/>
      <c r="AC522" s="258"/>
      <c r="AD522" s="258"/>
      <c r="AE522" s="258"/>
      <c r="AF522" s="258"/>
      <c r="AG522" s="258"/>
      <c r="AH522" s="258"/>
      <c r="AQ522" s="259"/>
      <c r="AR522" s="259"/>
      <c r="AS522" s="259"/>
      <c r="AT522" s="259"/>
      <c r="AU522" s="259"/>
      <c r="AV522" s="259"/>
      <c r="AW522" s="259"/>
    </row>
    <row r="523" spans="2:49" ht="15" customHeight="1" x14ac:dyDescent="0.25">
      <c r="B523" s="260"/>
      <c r="D523" s="262"/>
      <c r="E523" s="291"/>
      <c r="F523" s="293"/>
      <c r="G523" s="288"/>
      <c r="H523" s="265"/>
      <c r="I523" s="266"/>
      <c r="K523" s="268"/>
      <c r="L523" s="278"/>
      <c r="M523" s="274"/>
      <c r="N523" s="258"/>
      <c r="O523" s="258"/>
      <c r="P523" s="258"/>
      <c r="Q523" s="276"/>
      <c r="R523" s="272"/>
      <c r="S523" s="272"/>
      <c r="T523" s="272"/>
      <c r="U523" s="272"/>
      <c r="V523" s="272"/>
      <c r="W523" s="272"/>
      <c r="X523" s="272"/>
      <c r="Y523" s="272"/>
      <c r="Z523" s="258"/>
      <c r="AA523" s="258"/>
      <c r="AB523" s="258"/>
      <c r="AC523" s="258"/>
      <c r="AD523" s="258"/>
      <c r="AE523" s="258"/>
      <c r="AF523" s="258"/>
      <c r="AG523" s="258"/>
      <c r="AH523" s="258"/>
      <c r="AQ523" s="259"/>
      <c r="AR523" s="259"/>
      <c r="AS523" s="259"/>
      <c r="AT523" s="259"/>
      <c r="AU523" s="259"/>
      <c r="AV523" s="259"/>
      <c r="AW523" s="259"/>
    </row>
    <row r="524" spans="2:49" ht="15" customHeight="1" x14ac:dyDescent="0.25">
      <c r="B524" s="260"/>
      <c r="D524" s="262"/>
      <c r="G524" s="288"/>
      <c r="H524" s="265"/>
      <c r="I524" s="266"/>
      <c r="K524" s="268"/>
      <c r="L524" s="278"/>
      <c r="M524" s="274"/>
      <c r="N524" s="258"/>
      <c r="O524" s="258"/>
      <c r="P524" s="258"/>
      <c r="Q524" s="276"/>
      <c r="R524" s="272"/>
      <c r="S524" s="272"/>
      <c r="T524" s="272"/>
      <c r="U524" s="272"/>
      <c r="V524" s="272"/>
      <c r="W524" s="272"/>
      <c r="X524" s="272"/>
      <c r="Y524" s="272"/>
      <c r="Z524" s="258"/>
      <c r="AA524" s="258"/>
      <c r="AB524" s="258"/>
      <c r="AC524" s="258"/>
      <c r="AD524" s="258"/>
      <c r="AE524" s="258"/>
      <c r="AF524" s="258"/>
      <c r="AG524" s="258"/>
      <c r="AH524" s="258"/>
      <c r="AQ524" s="259"/>
      <c r="AR524" s="259"/>
      <c r="AS524" s="259"/>
      <c r="AT524" s="259"/>
      <c r="AU524" s="259"/>
      <c r="AV524" s="259"/>
      <c r="AW524" s="259"/>
    </row>
    <row r="525" spans="2:49" ht="15" customHeight="1" x14ac:dyDescent="0.25">
      <c r="B525" s="260"/>
      <c r="D525" s="262"/>
      <c r="G525" s="289"/>
      <c r="H525" s="265"/>
      <c r="I525" s="266"/>
      <c r="K525" s="268"/>
      <c r="L525" s="278"/>
      <c r="M525" s="274"/>
      <c r="N525" s="258"/>
      <c r="O525" s="258"/>
      <c r="P525" s="258"/>
      <c r="Q525" s="276"/>
      <c r="W525" s="272"/>
      <c r="X525" s="272"/>
      <c r="Y525" s="272"/>
      <c r="Z525" s="258"/>
      <c r="AA525" s="258"/>
      <c r="AB525" s="258"/>
      <c r="AC525" s="258"/>
      <c r="AD525" s="258"/>
      <c r="AE525" s="258"/>
      <c r="AF525" s="258"/>
      <c r="AG525" s="258"/>
      <c r="AH525" s="258"/>
      <c r="AQ525" s="259"/>
      <c r="AR525" s="259"/>
      <c r="AS525" s="259"/>
      <c r="AT525" s="259"/>
      <c r="AU525" s="259"/>
      <c r="AV525" s="259"/>
      <c r="AW525" s="259"/>
    </row>
    <row r="526" spans="2:49" ht="15" customHeight="1" x14ac:dyDescent="0.25">
      <c r="B526" s="260"/>
      <c r="D526" s="262"/>
      <c r="G526" s="288"/>
      <c r="H526" s="265"/>
      <c r="I526" s="266"/>
      <c r="K526" s="268"/>
      <c r="L526" s="278"/>
      <c r="M526" s="274"/>
      <c r="N526" s="258"/>
      <c r="O526" s="258"/>
      <c r="P526" s="258"/>
      <c r="Q526" s="276"/>
      <c r="W526" s="272"/>
      <c r="X526" s="272"/>
      <c r="Y526" s="272"/>
      <c r="Z526" s="258"/>
      <c r="AA526" s="258"/>
      <c r="AB526" s="258"/>
      <c r="AC526" s="258"/>
      <c r="AD526" s="258"/>
      <c r="AE526" s="258"/>
      <c r="AF526" s="258"/>
      <c r="AG526" s="258"/>
      <c r="AH526" s="258"/>
      <c r="AQ526" s="259"/>
      <c r="AR526" s="259"/>
      <c r="AS526" s="259"/>
      <c r="AT526" s="259"/>
      <c r="AU526" s="259"/>
      <c r="AV526" s="259"/>
      <c r="AW526" s="259"/>
    </row>
    <row r="527" spans="2:49" ht="15" customHeight="1" x14ac:dyDescent="0.25">
      <c r="B527" s="260"/>
      <c r="D527" s="262"/>
      <c r="G527" s="288"/>
      <c r="H527" s="265"/>
      <c r="I527" s="266"/>
      <c r="K527" s="268"/>
      <c r="L527" s="278"/>
      <c r="M527" s="274"/>
      <c r="N527" s="258"/>
      <c r="O527" s="258"/>
      <c r="P527" s="258"/>
      <c r="Q527" s="276"/>
      <c r="W527" s="272"/>
      <c r="X527" s="272"/>
      <c r="Y527" s="272"/>
      <c r="Z527" s="258"/>
      <c r="AA527" s="258"/>
      <c r="AB527" s="258"/>
      <c r="AC527" s="258"/>
      <c r="AD527" s="258"/>
      <c r="AE527" s="258"/>
      <c r="AF527" s="258"/>
      <c r="AG527" s="258"/>
      <c r="AH527" s="258"/>
      <c r="AQ527" s="259"/>
      <c r="AR527" s="259"/>
      <c r="AS527" s="259"/>
      <c r="AT527" s="259"/>
      <c r="AU527" s="259"/>
      <c r="AV527" s="259"/>
      <c r="AW527" s="259"/>
    </row>
    <row r="528" spans="2:49" ht="15" customHeight="1" x14ac:dyDescent="0.25">
      <c r="B528" s="260"/>
      <c r="D528" s="262"/>
      <c r="G528" s="288"/>
      <c r="H528" s="265"/>
      <c r="I528" s="266"/>
      <c r="K528" s="268"/>
      <c r="L528" s="273"/>
      <c r="M528" s="274"/>
      <c r="N528" s="270"/>
      <c r="O528" s="270"/>
      <c r="P528" s="270"/>
      <c r="Q528" s="275"/>
      <c r="R528" s="272"/>
      <c r="S528" s="272"/>
      <c r="T528" s="272"/>
      <c r="U528" s="272"/>
      <c r="V528" s="272"/>
      <c r="W528" s="272"/>
      <c r="X528" s="272"/>
      <c r="Y528" s="272"/>
      <c r="Z528" s="258"/>
      <c r="AA528" s="258"/>
      <c r="AB528" s="258"/>
      <c r="AC528" s="258"/>
      <c r="AD528" s="258"/>
      <c r="AE528" s="258"/>
      <c r="AF528" s="258"/>
      <c r="AG528" s="258"/>
      <c r="AH528" s="258"/>
      <c r="AI528" s="258"/>
      <c r="AQ528" s="259"/>
      <c r="AR528" s="259"/>
      <c r="AS528" s="259"/>
      <c r="AT528" s="259"/>
      <c r="AU528" s="259"/>
      <c r="AV528" s="259"/>
      <c r="AW528" s="259"/>
    </row>
    <row r="529" spans="2:49" ht="15" customHeight="1" x14ac:dyDescent="0.25">
      <c r="B529" s="260"/>
      <c r="D529" s="262"/>
      <c r="E529" s="291"/>
      <c r="F529" s="293"/>
      <c r="G529" s="288"/>
      <c r="H529" s="265"/>
      <c r="I529" s="266"/>
      <c r="K529" s="268"/>
      <c r="L529" s="273"/>
      <c r="M529" s="274"/>
      <c r="N529" s="258"/>
      <c r="O529" s="258"/>
      <c r="P529" s="258"/>
      <c r="Q529" s="276"/>
      <c r="R529" s="272"/>
      <c r="S529" s="272"/>
      <c r="T529" s="272"/>
      <c r="U529" s="272"/>
      <c r="V529" s="272"/>
      <c r="W529" s="272"/>
      <c r="X529" s="272"/>
      <c r="Y529" s="272"/>
      <c r="Z529" s="258"/>
      <c r="AA529" s="258"/>
      <c r="AB529" s="258"/>
      <c r="AC529" s="258"/>
      <c r="AD529" s="258"/>
      <c r="AE529" s="258"/>
      <c r="AF529" s="258"/>
      <c r="AG529" s="258"/>
      <c r="AH529" s="258"/>
      <c r="AI529" s="258"/>
      <c r="AQ529" s="259"/>
      <c r="AR529" s="259"/>
      <c r="AS529" s="259"/>
      <c r="AT529" s="259"/>
      <c r="AU529" s="259"/>
      <c r="AV529" s="259"/>
      <c r="AW529" s="259"/>
    </row>
    <row r="530" spans="2:49" ht="15" customHeight="1" x14ac:dyDescent="0.25">
      <c r="B530" s="260"/>
      <c r="D530" s="262"/>
      <c r="G530" s="288"/>
      <c r="H530" s="265"/>
      <c r="I530" s="266"/>
      <c r="K530" s="268"/>
      <c r="L530" s="273"/>
      <c r="M530" s="274"/>
      <c r="N530" s="258"/>
      <c r="O530" s="258"/>
      <c r="P530" s="258"/>
      <c r="Q530" s="276"/>
      <c r="R530" s="272"/>
      <c r="S530" s="272"/>
      <c r="T530" s="272"/>
      <c r="U530" s="272"/>
      <c r="V530" s="272"/>
      <c r="W530" s="272"/>
      <c r="X530" s="272"/>
      <c r="Y530" s="272"/>
      <c r="Z530" s="258"/>
      <c r="AA530" s="258"/>
      <c r="AB530" s="258"/>
      <c r="AC530" s="258"/>
      <c r="AD530" s="258"/>
      <c r="AE530" s="258"/>
      <c r="AF530" s="258"/>
      <c r="AG530" s="258"/>
      <c r="AH530" s="270"/>
      <c r="AI530" s="270"/>
      <c r="AQ530" s="259"/>
      <c r="AR530" s="259"/>
      <c r="AS530" s="259"/>
      <c r="AT530" s="259"/>
      <c r="AU530" s="259"/>
      <c r="AV530" s="259"/>
      <c r="AW530" s="259"/>
    </row>
    <row r="531" spans="2:49" ht="15" customHeight="1" x14ac:dyDescent="0.25">
      <c r="B531" s="260"/>
      <c r="D531" s="262"/>
      <c r="G531" s="289"/>
      <c r="H531" s="265"/>
      <c r="I531" s="266"/>
      <c r="K531" s="268"/>
      <c r="L531" s="273"/>
      <c r="M531" s="277"/>
      <c r="N531" s="258"/>
      <c r="O531" s="258"/>
      <c r="P531" s="258"/>
      <c r="Q531" s="276"/>
      <c r="R531" s="272"/>
      <c r="S531" s="272"/>
      <c r="T531" s="272"/>
      <c r="U531" s="272"/>
      <c r="V531" s="272"/>
      <c r="W531" s="272"/>
      <c r="X531" s="272"/>
      <c r="Y531" s="272"/>
      <c r="Z531" s="258"/>
      <c r="AA531" s="258"/>
      <c r="AB531" s="258"/>
      <c r="AC531" s="258"/>
      <c r="AD531" s="258"/>
      <c r="AE531" s="258"/>
      <c r="AF531" s="258"/>
      <c r="AG531" s="258"/>
      <c r="AH531" s="270"/>
      <c r="AI531" s="270"/>
      <c r="AQ531" s="259"/>
      <c r="AR531" s="259"/>
      <c r="AS531" s="259"/>
      <c r="AT531" s="259"/>
      <c r="AU531" s="259"/>
      <c r="AV531" s="259"/>
      <c r="AW531" s="259"/>
    </row>
    <row r="532" spans="2:49" ht="15" customHeight="1" x14ac:dyDescent="0.25">
      <c r="B532" s="260"/>
      <c r="D532" s="262"/>
      <c r="E532" s="291"/>
      <c r="F532" s="293"/>
      <c r="G532" s="288"/>
      <c r="H532" s="265"/>
      <c r="I532" s="266"/>
      <c r="K532" s="268"/>
      <c r="L532" s="278"/>
      <c r="M532" s="274"/>
      <c r="N532" s="258"/>
      <c r="O532" s="258"/>
      <c r="P532" s="258"/>
      <c r="Q532" s="276"/>
      <c r="R532" s="272"/>
      <c r="S532" s="272"/>
      <c r="T532" s="272"/>
      <c r="U532" s="272"/>
      <c r="V532" s="272"/>
      <c r="W532" s="272"/>
      <c r="X532" s="272"/>
      <c r="Y532" s="272"/>
      <c r="Z532" s="258"/>
      <c r="AA532" s="258"/>
      <c r="AB532" s="258"/>
      <c r="AC532" s="258"/>
      <c r="AD532" s="258"/>
      <c r="AE532" s="258"/>
      <c r="AF532" s="258"/>
      <c r="AG532" s="258"/>
      <c r="AH532" s="270"/>
      <c r="AI532" s="270"/>
      <c r="AQ532" s="259"/>
      <c r="AR532" s="259"/>
      <c r="AS532" s="259"/>
      <c r="AT532" s="259"/>
      <c r="AU532" s="259"/>
      <c r="AV532" s="259"/>
      <c r="AW532" s="259"/>
    </row>
    <row r="533" spans="2:49" ht="15" customHeight="1" x14ac:dyDescent="0.25">
      <c r="B533" s="260"/>
      <c r="D533" s="262"/>
      <c r="G533" s="289"/>
      <c r="H533" s="265"/>
      <c r="I533" s="266"/>
      <c r="K533" s="268"/>
      <c r="L533" s="278"/>
      <c r="M533" s="274"/>
      <c r="N533" s="258"/>
      <c r="O533" s="258"/>
      <c r="P533" s="258"/>
      <c r="Q533" s="276"/>
      <c r="R533" s="272"/>
      <c r="S533" s="272"/>
      <c r="T533" s="272"/>
      <c r="U533" s="272"/>
      <c r="V533" s="272"/>
      <c r="W533" s="272"/>
      <c r="X533" s="272"/>
      <c r="Y533" s="272"/>
      <c r="Z533" s="258"/>
      <c r="AA533" s="258"/>
      <c r="AB533" s="258"/>
      <c r="AC533" s="258"/>
      <c r="AD533" s="258"/>
      <c r="AE533" s="258"/>
      <c r="AF533" s="258"/>
      <c r="AG533" s="258"/>
      <c r="AH533" s="258"/>
      <c r="AQ533" s="259"/>
      <c r="AR533" s="259"/>
      <c r="AS533" s="259"/>
      <c r="AT533" s="259"/>
      <c r="AU533" s="259"/>
      <c r="AV533" s="259"/>
      <c r="AW533" s="259"/>
    </row>
    <row r="534" spans="2:49" ht="15" customHeight="1" x14ac:dyDescent="0.25">
      <c r="B534" s="260"/>
      <c r="D534" s="262"/>
      <c r="G534" s="289"/>
      <c r="H534" s="265"/>
      <c r="I534" s="266"/>
      <c r="K534" s="268"/>
      <c r="L534" s="278"/>
      <c r="M534" s="274"/>
      <c r="N534" s="258"/>
      <c r="O534" s="258"/>
      <c r="P534" s="258"/>
      <c r="Q534" s="276"/>
      <c r="R534" s="272"/>
      <c r="S534" s="272"/>
      <c r="T534" s="272"/>
      <c r="U534" s="272"/>
      <c r="V534" s="272"/>
      <c r="W534" s="272"/>
      <c r="X534" s="272"/>
      <c r="Y534" s="272"/>
      <c r="Z534" s="258"/>
      <c r="AA534" s="258"/>
      <c r="AB534" s="258"/>
      <c r="AC534" s="258"/>
      <c r="AD534" s="258"/>
      <c r="AE534" s="258"/>
      <c r="AF534" s="258"/>
      <c r="AG534" s="258"/>
      <c r="AH534" s="258"/>
      <c r="AQ534" s="259"/>
      <c r="AR534" s="259"/>
      <c r="AS534" s="259"/>
      <c r="AT534" s="259"/>
      <c r="AU534" s="259"/>
      <c r="AV534" s="259"/>
      <c r="AW534" s="259"/>
    </row>
    <row r="535" spans="2:49" ht="15" customHeight="1" x14ac:dyDescent="0.25">
      <c r="B535" s="260"/>
      <c r="D535" s="262"/>
      <c r="G535" s="289"/>
      <c r="H535" s="265"/>
      <c r="I535" s="266"/>
      <c r="K535" s="268"/>
      <c r="L535" s="278"/>
      <c r="M535" s="274"/>
      <c r="N535" s="258"/>
      <c r="O535" s="258"/>
      <c r="P535" s="258"/>
      <c r="Q535" s="276"/>
      <c r="R535" s="272"/>
      <c r="S535" s="272"/>
      <c r="T535" s="272"/>
      <c r="U535" s="272"/>
      <c r="V535" s="272"/>
      <c r="W535" s="272"/>
      <c r="X535" s="272"/>
      <c r="Y535" s="272"/>
      <c r="Z535" s="258"/>
      <c r="AA535" s="258"/>
      <c r="AB535" s="258"/>
      <c r="AC535" s="258"/>
      <c r="AD535" s="258"/>
      <c r="AE535" s="258"/>
      <c r="AF535" s="258"/>
      <c r="AG535" s="258"/>
      <c r="AH535" s="258"/>
      <c r="AQ535" s="259"/>
      <c r="AR535" s="259"/>
      <c r="AS535" s="259"/>
      <c r="AT535" s="259"/>
      <c r="AU535" s="259"/>
      <c r="AV535" s="259"/>
      <c r="AW535" s="259"/>
    </row>
    <row r="536" spans="2:49" ht="15" customHeight="1" x14ac:dyDescent="0.25">
      <c r="B536" s="260"/>
      <c r="D536" s="262"/>
      <c r="G536" s="289"/>
      <c r="H536" s="265"/>
      <c r="I536" s="266"/>
      <c r="K536" s="268"/>
      <c r="L536" s="278"/>
      <c r="M536" s="274"/>
      <c r="N536" s="258"/>
      <c r="O536" s="258"/>
      <c r="P536" s="258"/>
      <c r="Q536" s="276"/>
      <c r="R536" s="272"/>
      <c r="S536" s="272"/>
      <c r="T536" s="272"/>
      <c r="U536" s="272"/>
      <c r="V536" s="272"/>
      <c r="W536" s="272"/>
      <c r="X536" s="272"/>
      <c r="Y536" s="272"/>
      <c r="Z536" s="258"/>
      <c r="AA536" s="258"/>
      <c r="AB536" s="258"/>
      <c r="AC536" s="258"/>
      <c r="AD536" s="258"/>
      <c r="AE536" s="258"/>
      <c r="AF536" s="258"/>
      <c r="AG536" s="258"/>
      <c r="AH536" s="258"/>
      <c r="AQ536" s="259"/>
      <c r="AR536" s="259"/>
      <c r="AS536" s="259"/>
      <c r="AT536" s="259"/>
      <c r="AU536" s="259"/>
      <c r="AV536" s="259"/>
      <c r="AW536" s="259"/>
    </row>
    <row r="537" spans="2:49" ht="15" customHeight="1" x14ac:dyDescent="0.25">
      <c r="B537" s="260"/>
      <c r="D537" s="262"/>
      <c r="G537" s="289"/>
      <c r="H537" s="265"/>
      <c r="I537" s="266"/>
      <c r="K537" s="268"/>
      <c r="L537" s="278"/>
      <c r="M537" s="274"/>
      <c r="N537" s="258"/>
      <c r="O537" s="258"/>
      <c r="P537" s="258"/>
      <c r="Q537" s="276"/>
      <c r="W537" s="272"/>
      <c r="X537" s="272"/>
      <c r="Y537" s="272"/>
      <c r="Z537" s="258"/>
      <c r="AA537" s="258"/>
      <c r="AB537" s="258"/>
      <c r="AC537" s="258"/>
      <c r="AD537" s="258"/>
      <c r="AE537" s="258"/>
      <c r="AF537" s="258"/>
      <c r="AG537" s="258"/>
      <c r="AH537" s="258"/>
      <c r="AQ537" s="259"/>
      <c r="AR537" s="259"/>
      <c r="AS537" s="259"/>
      <c r="AT537" s="259"/>
      <c r="AU537" s="259"/>
      <c r="AV537" s="259"/>
      <c r="AW537" s="259"/>
    </row>
    <row r="538" spans="2:49" ht="15" customHeight="1" x14ac:dyDescent="0.25">
      <c r="B538" s="260"/>
      <c r="D538" s="262"/>
      <c r="G538" s="288"/>
      <c r="H538" s="265"/>
      <c r="I538" s="266"/>
      <c r="K538" s="268"/>
      <c r="L538" s="278"/>
      <c r="M538" s="274"/>
      <c r="N538" s="258"/>
      <c r="O538" s="258"/>
      <c r="P538" s="258"/>
      <c r="Q538" s="276"/>
      <c r="W538" s="272"/>
      <c r="X538" s="272"/>
      <c r="Y538" s="272"/>
      <c r="Z538" s="258"/>
      <c r="AA538" s="258"/>
      <c r="AB538" s="258"/>
      <c r="AC538" s="258"/>
      <c r="AD538" s="258"/>
      <c r="AE538" s="258"/>
      <c r="AF538" s="258"/>
      <c r="AG538" s="258"/>
      <c r="AH538" s="258"/>
      <c r="AQ538" s="259"/>
      <c r="AR538" s="259"/>
      <c r="AS538" s="259"/>
      <c r="AT538" s="259"/>
      <c r="AU538" s="259"/>
      <c r="AV538" s="259"/>
      <c r="AW538" s="259"/>
    </row>
    <row r="539" spans="2:49" ht="15" customHeight="1" x14ac:dyDescent="0.25">
      <c r="B539" s="260"/>
      <c r="D539" s="262"/>
      <c r="E539" s="291"/>
      <c r="F539" s="293"/>
      <c r="G539" s="288"/>
      <c r="H539" s="265"/>
      <c r="I539" s="266"/>
      <c r="K539" s="268"/>
      <c r="L539" s="278"/>
      <c r="M539" s="274"/>
      <c r="N539" s="258"/>
      <c r="O539" s="258"/>
      <c r="P539" s="258"/>
      <c r="Q539" s="276"/>
      <c r="W539" s="272"/>
      <c r="X539" s="272"/>
      <c r="Y539" s="272"/>
      <c r="Z539" s="258"/>
      <c r="AA539" s="258"/>
      <c r="AB539" s="258"/>
      <c r="AC539" s="258"/>
      <c r="AD539" s="258"/>
      <c r="AE539" s="258"/>
      <c r="AF539" s="258"/>
      <c r="AG539" s="258"/>
      <c r="AH539" s="258"/>
      <c r="AQ539" s="259"/>
      <c r="AR539" s="259"/>
      <c r="AS539" s="259"/>
      <c r="AT539" s="259"/>
      <c r="AU539" s="259"/>
      <c r="AV539" s="259"/>
      <c r="AW539" s="259"/>
    </row>
    <row r="540" spans="2:49" ht="15" customHeight="1" x14ac:dyDescent="0.25">
      <c r="B540" s="260"/>
      <c r="D540" s="262"/>
      <c r="G540" s="288"/>
      <c r="H540" s="265"/>
      <c r="I540" s="266"/>
      <c r="K540" s="268"/>
      <c r="L540" s="273"/>
      <c r="M540" s="274"/>
      <c r="N540" s="270"/>
      <c r="O540" s="270"/>
      <c r="P540" s="270"/>
      <c r="Q540" s="275"/>
      <c r="R540" s="272"/>
      <c r="S540" s="272"/>
      <c r="T540" s="272"/>
      <c r="U540" s="272"/>
      <c r="V540" s="272"/>
      <c r="W540" s="272"/>
      <c r="X540" s="272"/>
      <c r="Y540" s="272"/>
      <c r="Z540" s="258"/>
      <c r="AA540" s="258"/>
      <c r="AB540" s="258"/>
      <c r="AC540" s="258"/>
      <c r="AD540" s="258"/>
      <c r="AE540" s="258"/>
      <c r="AF540" s="258"/>
      <c r="AG540" s="258"/>
      <c r="AH540" s="258"/>
      <c r="AI540" s="258"/>
      <c r="AQ540" s="259"/>
      <c r="AR540" s="259"/>
      <c r="AS540" s="259"/>
      <c r="AT540" s="259"/>
      <c r="AU540" s="259"/>
      <c r="AV540" s="259"/>
      <c r="AW540" s="259"/>
    </row>
    <row r="541" spans="2:49" ht="15" customHeight="1" x14ac:dyDescent="0.25">
      <c r="B541" s="260"/>
      <c r="D541" s="262"/>
      <c r="G541" s="288"/>
      <c r="H541" s="265"/>
      <c r="I541" s="266"/>
      <c r="K541" s="268"/>
      <c r="L541" s="273"/>
      <c r="M541" s="274"/>
      <c r="N541" s="258"/>
      <c r="O541" s="258"/>
      <c r="P541" s="258"/>
      <c r="Q541" s="276"/>
      <c r="R541" s="272"/>
      <c r="S541" s="272"/>
      <c r="T541" s="272"/>
      <c r="U541" s="272"/>
      <c r="V541" s="272"/>
      <c r="W541" s="272"/>
      <c r="X541" s="272"/>
      <c r="Y541" s="272"/>
      <c r="Z541" s="258"/>
      <c r="AA541" s="258"/>
      <c r="AB541" s="258"/>
      <c r="AC541" s="258"/>
      <c r="AD541" s="258"/>
      <c r="AE541" s="258"/>
      <c r="AF541" s="258"/>
      <c r="AG541" s="258"/>
      <c r="AH541" s="258"/>
      <c r="AI541" s="258"/>
      <c r="AQ541" s="259"/>
      <c r="AR541" s="259"/>
      <c r="AS541" s="259"/>
      <c r="AT541" s="259"/>
      <c r="AU541" s="259"/>
      <c r="AV541" s="259"/>
      <c r="AW541" s="259"/>
    </row>
    <row r="542" spans="2:49" ht="15" customHeight="1" x14ac:dyDescent="0.25">
      <c r="B542" s="260"/>
      <c r="C542" s="290"/>
      <c r="D542" s="262"/>
      <c r="E542" s="291"/>
      <c r="F542" s="262"/>
      <c r="G542" s="289"/>
      <c r="H542" s="243"/>
      <c r="I542" s="266"/>
      <c r="K542" s="268"/>
      <c r="L542" s="273"/>
      <c r="M542" s="274"/>
      <c r="N542" s="258"/>
      <c r="O542" s="258"/>
      <c r="P542" s="258"/>
      <c r="Q542" s="276"/>
      <c r="R542" s="272"/>
      <c r="S542" s="272"/>
      <c r="T542" s="272"/>
      <c r="U542" s="272"/>
      <c r="V542" s="272"/>
      <c r="W542" s="272"/>
      <c r="X542" s="272"/>
      <c r="Y542" s="272"/>
      <c r="Z542" s="258"/>
      <c r="AA542" s="258"/>
      <c r="AB542" s="258"/>
      <c r="AC542" s="258"/>
      <c r="AD542" s="258"/>
      <c r="AE542" s="258"/>
      <c r="AF542" s="258"/>
      <c r="AG542" s="258"/>
      <c r="AH542" s="270"/>
      <c r="AI542" s="270"/>
      <c r="AQ542" s="259"/>
      <c r="AR542" s="259"/>
      <c r="AS542" s="259"/>
      <c r="AT542" s="259"/>
      <c r="AU542" s="259"/>
      <c r="AV542" s="259"/>
      <c r="AW542" s="259"/>
    </row>
    <row r="543" spans="2:49" ht="15" customHeight="1" x14ac:dyDescent="0.25">
      <c r="B543" s="260"/>
      <c r="D543" s="262"/>
      <c r="G543" s="289"/>
      <c r="H543" s="265"/>
      <c r="I543" s="266"/>
      <c r="K543" s="268"/>
      <c r="L543" s="273"/>
      <c r="M543" s="277"/>
      <c r="N543" s="258"/>
      <c r="O543" s="258"/>
      <c r="P543" s="258"/>
      <c r="Q543" s="276"/>
      <c r="R543" s="272"/>
      <c r="S543" s="272"/>
      <c r="T543" s="272"/>
      <c r="U543" s="272"/>
      <c r="V543" s="272"/>
      <c r="W543" s="272"/>
      <c r="X543" s="272"/>
      <c r="Y543" s="272"/>
      <c r="Z543" s="258"/>
      <c r="AA543" s="258"/>
      <c r="AB543" s="258"/>
      <c r="AC543" s="258"/>
      <c r="AD543" s="258"/>
      <c r="AE543" s="258"/>
      <c r="AF543" s="258"/>
      <c r="AG543" s="258"/>
      <c r="AH543" s="270"/>
      <c r="AI543" s="270"/>
      <c r="AQ543" s="259"/>
      <c r="AR543" s="259"/>
      <c r="AS543" s="259"/>
      <c r="AT543" s="259"/>
      <c r="AU543" s="259"/>
      <c r="AV543" s="259"/>
      <c r="AW543" s="259"/>
    </row>
    <row r="544" spans="2:49" ht="15" customHeight="1" x14ac:dyDescent="0.25">
      <c r="B544" s="260"/>
      <c r="D544" s="262"/>
      <c r="G544" s="288"/>
      <c r="H544" s="265"/>
      <c r="I544" s="266"/>
      <c r="K544" s="268"/>
      <c r="L544" s="278"/>
      <c r="M544" s="274"/>
      <c r="N544" s="258"/>
      <c r="O544" s="258"/>
      <c r="P544" s="258"/>
      <c r="Q544" s="276"/>
      <c r="R544" s="272"/>
      <c r="S544" s="272"/>
      <c r="T544" s="272"/>
      <c r="U544" s="272"/>
      <c r="V544" s="272"/>
      <c r="W544" s="272"/>
      <c r="X544" s="272"/>
      <c r="Y544" s="272"/>
      <c r="Z544" s="258"/>
      <c r="AA544" s="258"/>
      <c r="AB544" s="258"/>
      <c r="AC544" s="258"/>
      <c r="AD544" s="258"/>
      <c r="AE544" s="258"/>
      <c r="AF544" s="258"/>
      <c r="AG544" s="258"/>
      <c r="AH544" s="270"/>
      <c r="AI544" s="270"/>
      <c r="AQ544" s="259"/>
      <c r="AR544" s="259"/>
      <c r="AS544" s="259"/>
      <c r="AT544" s="259"/>
      <c r="AU544" s="259"/>
      <c r="AV544" s="259"/>
      <c r="AW544" s="259"/>
    </row>
    <row r="545" spans="2:49" ht="15" customHeight="1" x14ac:dyDescent="0.25">
      <c r="B545" s="260"/>
      <c r="D545" s="262"/>
      <c r="G545" s="289"/>
      <c r="H545" s="265"/>
      <c r="I545" s="266"/>
      <c r="K545" s="268"/>
      <c r="L545" s="278"/>
      <c r="M545" s="274"/>
      <c r="N545" s="258"/>
      <c r="O545" s="258"/>
      <c r="P545" s="258"/>
      <c r="Q545" s="276"/>
      <c r="R545" s="272"/>
      <c r="S545" s="272"/>
      <c r="T545" s="272"/>
      <c r="U545" s="272"/>
      <c r="V545" s="272"/>
      <c r="W545" s="272"/>
      <c r="X545" s="272"/>
      <c r="Y545" s="272"/>
      <c r="Z545" s="258"/>
      <c r="AA545" s="258"/>
      <c r="AB545" s="258"/>
      <c r="AC545" s="258"/>
      <c r="AD545" s="258"/>
      <c r="AE545" s="258"/>
      <c r="AF545" s="258"/>
      <c r="AG545" s="258"/>
      <c r="AH545" s="258"/>
      <c r="AQ545" s="259"/>
      <c r="AR545" s="259"/>
      <c r="AS545" s="259"/>
      <c r="AT545" s="259"/>
      <c r="AU545" s="259"/>
      <c r="AV545" s="259"/>
      <c r="AW545" s="259"/>
    </row>
    <row r="546" spans="2:49" ht="15" customHeight="1" x14ac:dyDescent="0.25">
      <c r="B546" s="260"/>
      <c r="D546" s="262"/>
      <c r="G546" s="289"/>
      <c r="H546" s="265"/>
      <c r="I546" s="266"/>
      <c r="K546" s="268"/>
      <c r="L546" s="278"/>
      <c r="M546" s="274"/>
      <c r="N546" s="258"/>
      <c r="O546" s="258"/>
      <c r="P546" s="258"/>
      <c r="Q546" s="276"/>
      <c r="R546" s="272"/>
      <c r="S546" s="272"/>
      <c r="T546" s="272"/>
      <c r="U546" s="272"/>
      <c r="V546" s="272"/>
      <c r="W546" s="272"/>
      <c r="X546" s="272"/>
      <c r="Y546" s="272"/>
      <c r="Z546" s="258"/>
      <c r="AA546" s="258"/>
      <c r="AB546" s="258"/>
      <c r="AC546" s="258"/>
      <c r="AD546" s="258"/>
      <c r="AE546" s="258"/>
      <c r="AF546" s="258"/>
      <c r="AG546" s="258"/>
      <c r="AH546" s="258"/>
      <c r="AQ546" s="259"/>
      <c r="AR546" s="259"/>
      <c r="AS546" s="259"/>
      <c r="AT546" s="259"/>
      <c r="AU546" s="259"/>
      <c r="AV546" s="259"/>
      <c r="AW546" s="259"/>
    </row>
    <row r="547" spans="2:49" ht="15" customHeight="1" x14ac:dyDescent="0.25">
      <c r="B547" s="260"/>
      <c r="D547" s="262"/>
      <c r="G547" s="289"/>
      <c r="H547" s="265"/>
      <c r="I547" s="266"/>
      <c r="K547" s="268"/>
      <c r="L547" s="278"/>
      <c r="M547" s="274"/>
      <c r="N547" s="258"/>
      <c r="O547" s="258"/>
      <c r="P547" s="258"/>
      <c r="Q547" s="276"/>
      <c r="R547" s="272"/>
      <c r="S547" s="272"/>
      <c r="T547" s="272"/>
      <c r="U547" s="272"/>
      <c r="V547" s="272"/>
      <c r="W547" s="272"/>
      <c r="X547" s="272"/>
      <c r="Y547" s="272"/>
      <c r="Z547" s="258"/>
      <c r="AA547" s="258"/>
      <c r="AB547" s="258"/>
      <c r="AC547" s="258"/>
      <c r="AD547" s="258"/>
      <c r="AE547" s="258"/>
      <c r="AF547" s="258"/>
      <c r="AG547" s="258"/>
      <c r="AH547" s="258"/>
      <c r="AQ547" s="259"/>
      <c r="AR547" s="259"/>
      <c r="AS547" s="259"/>
      <c r="AT547" s="259"/>
      <c r="AU547" s="259"/>
      <c r="AV547" s="259"/>
      <c r="AW547" s="259"/>
    </row>
    <row r="548" spans="2:49" ht="15" customHeight="1" x14ac:dyDescent="0.25">
      <c r="B548" s="260"/>
      <c r="D548" s="262"/>
      <c r="G548" s="289"/>
      <c r="H548" s="265"/>
      <c r="I548" s="266"/>
      <c r="K548" s="268"/>
      <c r="L548" s="278"/>
      <c r="M548" s="274"/>
      <c r="N548" s="258"/>
      <c r="O548" s="258"/>
      <c r="P548" s="258"/>
      <c r="Q548" s="276"/>
      <c r="R548" s="272"/>
      <c r="S548" s="272"/>
      <c r="T548" s="272"/>
      <c r="U548" s="272"/>
      <c r="V548" s="272"/>
      <c r="W548" s="272"/>
      <c r="X548" s="272"/>
      <c r="Y548" s="272"/>
      <c r="Z548" s="258"/>
      <c r="AA548" s="258"/>
      <c r="AB548" s="258"/>
      <c r="AC548" s="258"/>
      <c r="AD548" s="258"/>
      <c r="AE548" s="258"/>
      <c r="AF548" s="258"/>
      <c r="AG548" s="258"/>
      <c r="AH548" s="258"/>
      <c r="AQ548" s="259"/>
      <c r="AR548" s="259"/>
      <c r="AS548" s="259"/>
      <c r="AT548" s="259"/>
      <c r="AU548" s="259"/>
      <c r="AV548" s="259"/>
      <c r="AW548" s="259"/>
    </row>
    <row r="549" spans="2:49" ht="15" customHeight="1" x14ac:dyDescent="0.25">
      <c r="B549" s="260"/>
      <c r="D549" s="262"/>
      <c r="G549" s="288"/>
      <c r="H549" s="265"/>
      <c r="I549" s="266"/>
      <c r="K549" s="268"/>
      <c r="L549" s="278"/>
      <c r="M549" s="274"/>
      <c r="N549" s="258"/>
      <c r="O549" s="258"/>
      <c r="P549" s="258"/>
      <c r="Q549" s="276"/>
      <c r="W549" s="272"/>
      <c r="X549" s="272"/>
      <c r="Y549" s="272"/>
      <c r="Z549" s="258"/>
      <c r="AA549" s="258"/>
      <c r="AB549" s="258"/>
      <c r="AC549" s="258"/>
      <c r="AD549" s="258"/>
      <c r="AE549" s="258"/>
      <c r="AF549" s="258"/>
      <c r="AG549" s="258"/>
      <c r="AH549" s="258"/>
      <c r="AQ549" s="259"/>
      <c r="AR549" s="259"/>
      <c r="AS549" s="259"/>
      <c r="AT549" s="259"/>
      <c r="AU549" s="259"/>
      <c r="AV549" s="259"/>
      <c r="AW549" s="259"/>
    </row>
    <row r="550" spans="2:49" ht="15" customHeight="1" x14ac:dyDescent="0.25">
      <c r="B550" s="260"/>
      <c r="D550" s="262"/>
      <c r="G550" s="288"/>
      <c r="H550" s="265"/>
      <c r="I550" s="266"/>
      <c r="K550" s="268"/>
      <c r="L550" s="278"/>
      <c r="M550" s="274"/>
      <c r="N550" s="258"/>
      <c r="O550" s="258"/>
      <c r="P550" s="258"/>
      <c r="Q550" s="276"/>
      <c r="W550" s="272"/>
      <c r="X550" s="272"/>
      <c r="Y550" s="272"/>
      <c r="Z550" s="258"/>
      <c r="AA550" s="258"/>
      <c r="AB550" s="258"/>
      <c r="AC550" s="258"/>
      <c r="AD550" s="258"/>
      <c r="AE550" s="258"/>
      <c r="AF550" s="258"/>
      <c r="AG550" s="258"/>
      <c r="AH550" s="258"/>
      <c r="AQ550" s="259"/>
      <c r="AR550" s="259"/>
      <c r="AS550" s="259"/>
      <c r="AT550" s="259"/>
      <c r="AU550" s="259"/>
      <c r="AV550" s="259"/>
      <c r="AW550" s="259"/>
    </row>
    <row r="551" spans="2:49" ht="15" customHeight="1" x14ac:dyDescent="0.25">
      <c r="B551" s="260"/>
      <c r="D551" s="262"/>
      <c r="G551" s="289"/>
      <c r="H551" s="265"/>
      <c r="I551" s="266"/>
      <c r="K551" s="268"/>
      <c r="L551" s="278"/>
      <c r="M551" s="274"/>
      <c r="N551" s="258"/>
      <c r="O551" s="258"/>
      <c r="P551" s="258"/>
      <c r="Q551" s="276"/>
      <c r="W551" s="272"/>
      <c r="X551" s="272"/>
      <c r="Y551" s="272"/>
      <c r="Z551" s="258"/>
      <c r="AA551" s="258"/>
      <c r="AB551" s="258"/>
      <c r="AC551" s="258"/>
      <c r="AD551" s="258"/>
      <c r="AE551" s="258"/>
      <c r="AF551" s="258"/>
      <c r="AG551" s="258"/>
      <c r="AH551" s="258"/>
      <c r="AQ551" s="259"/>
      <c r="AR551" s="259"/>
      <c r="AS551" s="259"/>
      <c r="AT551" s="259"/>
      <c r="AU551" s="259"/>
      <c r="AV551" s="259"/>
      <c r="AW551" s="259"/>
    </row>
    <row r="552" spans="2:49" ht="15" customHeight="1" x14ac:dyDescent="0.25">
      <c r="B552" s="260"/>
      <c r="D552" s="262"/>
      <c r="G552" s="289"/>
      <c r="H552" s="265"/>
      <c r="I552" s="266"/>
      <c r="K552" s="268"/>
      <c r="L552" s="273"/>
      <c r="M552" s="274"/>
      <c r="N552" s="270"/>
      <c r="O552" s="270"/>
      <c r="P552" s="270"/>
      <c r="Q552" s="275"/>
      <c r="R552" s="272"/>
      <c r="S552" s="272"/>
      <c r="T552" s="272"/>
      <c r="U552" s="272"/>
      <c r="V552" s="272"/>
      <c r="W552" s="272"/>
      <c r="X552" s="272"/>
      <c r="Y552" s="272"/>
      <c r="Z552" s="258"/>
      <c r="AA552" s="258"/>
      <c r="AB552" s="258"/>
      <c r="AC552" s="258"/>
      <c r="AD552" s="258"/>
      <c r="AE552" s="258"/>
      <c r="AF552" s="258"/>
      <c r="AG552" s="258"/>
      <c r="AH552" s="258"/>
      <c r="AI552" s="258"/>
      <c r="AQ552" s="259"/>
      <c r="AR552" s="259"/>
      <c r="AS552" s="259"/>
      <c r="AT552" s="259"/>
      <c r="AU552" s="259"/>
      <c r="AV552" s="259"/>
      <c r="AW552" s="259"/>
    </row>
    <row r="553" spans="2:49" ht="15" customHeight="1" x14ac:dyDescent="0.25">
      <c r="B553" s="260"/>
      <c r="D553" s="262"/>
      <c r="G553" s="289"/>
      <c r="H553" s="265"/>
      <c r="I553" s="266"/>
      <c r="K553" s="268"/>
      <c r="L553" s="273"/>
      <c r="M553" s="274"/>
      <c r="N553" s="258"/>
      <c r="O553" s="258"/>
      <c r="P553" s="258"/>
      <c r="Q553" s="276"/>
      <c r="R553" s="272"/>
      <c r="S553" s="272"/>
      <c r="T553" s="272"/>
      <c r="U553" s="272"/>
      <c r="V553" s="272"/>
      <c r="W553" s="272"/>
      <c r="X553" s="272"/>
      <c r="Y553" s="272"/>
      <c r="Z553" s="258"/>
      <c r="AA553" s="258"/>
      <c r="AB553" s="258"/>
      <c r="AC553" s="258"/>
      <c r="AD553" s="258"/>
      <c r="AE553" s="258"/>
      <c r="AF553" s="258"/>
      <c r="AG553" s="258"/>
      <c r="AH553" s="258"/>
      <c r="AI553" s="258"/>
      <c r="AQ553" s="259"/>
      <c r="AR553" s="259"/>
      <c r="AS553" s="259"/>
      <c r="AT553" s="259"/>
      <c r="AU553" s="259"/>
      <c r="AV553" s="259"/>
      <c r="AW553" s="259"/>
    </row>
    <row r="554" spans="2:49" ht="15" customHeight="1" x14ac:dyDescent="0.25">
      <c r="B554" s="260"/>
      <c r="D554" s="262"/>
      <c r="G554" s="289"/>
      <c r="H554" s="265"/>
      <c r="I554" s="266"/>
      <c r="K554" s="268"/>
      <c r="L554" s="273"/>
      <c r="M554" s="274"/>
      <c r="N554" s="258"/>
      <c r="O554" s="258"/>
      <c r="P554" s="258"/>
      <c r="Q554" s="276"/>
      <c r="R554" s="272"/>
      <c r="S554" s="272"/>
      <c r="T554" s="272"/>
      <c r="U554" s="272"/>
      <c r="V554" s="272"/>
      <c r="W554" s="272"/>
      <c r="X554" s="272"/>
      <c r="Y554" s="272"/>
      <c r="Z554" s="258"/>
      <c r="AA554" s="258"/>
      <c r="AB554" s="258"/>
      <c r="AC554" s="258"/>
      <c r="AD554" s="258"/>
      <c r="AE554" s="258"/>
      <c r="AF554" s="258"/>
      <c r="AG554" s="258"/>
      <c r="AH554" s="270"/>
      <c r="AI554" s="270"/>
      <c r="AQ554" s="259"/>
      <c r="AR554" s="259"/>
      <c r="AS554" s="259"/>
      <c r="AT554" s="259"/>
      <c r="AU554" s="259"/>
      <c r="AV554" s="259"/>
      <c r="AW554" s="259"/>
    </row>
    <row r="555" spans="2:49" ht="15" customHeight="1" x14ac:dyDescent="0.25">
      <c r="B555" s="260"/>
      <c r="D555" s="262"/>
      <c r="G555" s="288"/>
      <c r="H555" s="265"/>
      <c r="I555" s="266"/>
      <c r="K555" s="268"/>
      <c r="L555" s="273"/>
      <c r="M555" s="277"/>
      <c r="N555" s="258"/>
      <c r="O555" s="258"/>
      <c r="P555" s="258"/>
      <c r="Q555" s="276"/>
      <c r="R555" s="272"/>
      <c r="S555" s="272"/>
      <c r="T555" s="272"/>
      <c r="U555" s="272"/>
      <c r="V555" s="272"/>
      <c r="W555" s="272"/>
      <c r="X555" s="272"/>
      <c r="Y555" s="272"/>
      <c r="Z555" s="258"/>
      <c r="AA555" s="258"/>
      <c r="AB555" s="258"/>
      <c r="AC555" s="258"/>
      <c r="AD555" s="258"/>
      <c r="AE555" s="258"/>
      <c r="AF555" s="258"/>
      <c r="AG555" s="258"/>
      <c r="AH555" s="270"/>
      <c r="AI555" s="270"/>
      <c r="AQ555" s="259"/>
      <c r="AR555" s="259"/>
      <c r="AS555" s="259"/>
      <c r="AT555" s="259"/>
      <c r="AU555" s="259"/>
      <c r="AV555" s="259"/>
      <c r="AW555" s="259"/>
    </row>
    <row r="556" spans="2:49" ht="15" customHeight="1" x14ac:dyDescent="0.25">
      <c r="B556" s="260"/>
      <c r="D556" s="262"/>
      <c r="G556" s="289"/>
      <c r="H556" s="265"/>
      <c r="I556" s="266"/>
      <c r="K556" s="268"/>
      <c r="L556" s="278"/>
      <c r="M556" s="274"/>
      <c r="N556" s="258"/>
      <c r="O556" s="258"/>
      <c r="P556" s="258"/>
      <c r="Q556" s="276"/>
      <c r="R556" s="272"/>
      <c r="S556" s="272"/>
      <c r="T556" s="272"/>
      <c r="U556" s="272"/>
      <c r="V556" s="272"/>
      <c r="W556" s="272"/>
      <c r="X556" s="272"/>
      <c r="Y556" s="272"/>
      <c r="Z556" s="258"/>
      <c r="AA556" s="258"/>
      <c r="AB556" s="258"/>
      <c r="AC556" s="258"/>
      <c r="AD556" s="258"/>
      <c r="AE556" s="258"/>
      <c r="AF556" s="258"/>
      <c r="AG556" s="258"/>
      <c r="AH556" s="270"/>
      <c r="AI556" s="270"/>
      <c r="AQ556" s="259"/>
      <c r="AR556" s="259"/>
      <c r="AS556" s="259"/>
      <c r="AT556" s="259"/>
      <c r="AU556" s="259"/>
      <c r="AV556" s="259"/>
      <c r="AW556" s="259"/>
    </row>
    <row r="557" spans="2:49" ht="15" customHeight="1" x14ac:dyDescent="0.25">
      <c r="B557" s="260"/>
      <c r="D557" s="262"/>
      <c r="G557" s="288"/>
      <c r="H557" s="265"/>
      <c r="I557" s="266"/>
      <c r="K557" s="268"/>
      <c r="L557" s="278"/>
      <c r="M557" s="274"/>
      <c r="N557" s="258"/>
      <c r="O557" s="258"/>
      <c r="P557" s="258"/>
      <c r="Q557" s="276"/>
      <c r="R557" s="272"/>
      <c r="S557" s="272"/>
      <c r="T557" s="272"/>
      <c r="U557" s="272"/>
      <c r="V557" s="272"/>
      <c r="W557" s="272"/>
      <c r="X557" s="272"/>
      <c r="Y557" s="272"/>
      <c r="Z557" s="258"/>
      <c r="AA557" s="258"/>
      <c r="AB557" s="258"/>
      <c r="AC557" s="258"/>
      <c r="AD557" s="258"/>
      <c r="AE557" s="258"/>
      <c r="AF557" s="258"/>
      <c r="AG557" s="258"/>
      <c r="AH557" s="258"/>
      <c r="AQ557" s="259"/>
      <c r="AR557" s="259"/>
      <c r="AS557" s="259"/>
      <c r="AT557" s="259"/>
      <c r="AU557" s="259"/>
      <c r="AV557" s="259"/>
      <c r="AW557" s="259"/>
    </row>
    <row r="558" spans="2:49" ht="15" customHeight="1" x14ac:dyDescent="0.25">
      <c r="B558" s="260"/>
      <c r="D558" s="262"/>
      <c r="G558" s="288"/>
      <c r="H558" s="265"/>
      <c r="I558" s="266"/>
      <c r="K558" s="268"/>
      <c r="L558" s="278"/>
      <c r="M558" s="274"/>
      <c r="N558" s="258"/>
      <c r="O558" s="258"/>
      <c r="P558" s="258"/>
      <c r="Q558" s="276"/>
      <c r="R558" s="272"/>
      <c r="S558" s="272"/>
      <c r="T558" s="272"/>
      <c r="U558" s="272"/>
      <c r="V558" s="272"/>
      <c r="W558" s="272"/>
      <c r="X558" s="272"/>
      <c r="Y558" s="272"/>
      <c r="Z558" s="258"/>
      <c r="AA558" s="258"/>
      <c r="AB558" s="258"/>
      <c r="AC558" s="258"/>
      <c r="AD558" s="258"/>
      <c r="AE558" s="258"/>
      <c r="AF558" s="258"/>
      <c r="AG558" s="258"/>
      <c r="AH558" s="258"/>
      <c r="AQ558" s="259"/>
      <c r="AR558" s="259"/>
      <c r="AS558" s="259"/>
      <c r="AT558" s="259"/>
      <c r="AU558" s="259"/>
      <c r="AV558" s="259"/>
      <c r="AW558" s="259"/>
    </row>
    <row r="559" spans="2:49" ht="15" customHeight="1" x14ac:dyDescent="0.25">
      <c r="B559" s="260"/>
      <c r="C559" s="290"/>
      <c r="D559" s="262"/>
      <c r="E559" s="291"/>
      <c r="F559" s="262"/>
      <c r="G559" s="289"/>
      <c r="H559" s="243"/>
      <c r="I559" s="266"/>
      <c r="K559" s="268"/>
      <c r="L559" s="278"/>
      <c r="M559" s="274"/>
      <c r="N559" s="258"/>
      <c r="O559" s="258"/>
      <c r="P559" s="258"/>
      <c r="Q559" s="276"/>
      <c r="R559" s="272"/>
      <c r="S559" s="272"/>
      <c r="T559" s="272"/>
      <c r="U559" s="272"/>
      <c r="V559" s="272"/>
      <c r="W559" s="272"/>
      <c r="X559" s="272"/>
      <c r="Y559" s="272"/>
      <c r="Z559" s="258"/>
      <c r="AA559" s="258"/>
      <c r="AB559" s="258"/>
      <c r="AC559" s="258"/>
      <c r="AD559" s="258"/>
      <c r="AE559" s="258"/>
      <c r="AF559" s="258"/>
      <c r="AG559" s="258"/>
      <c r="AH559" s="258"/>
      <c r="AQ559" s="259"/>
      <c r="AR559" s="259"/>
      <c r="AS559" s="259"/>
      <c r="AT559" s="259"/>
      <c r="AU559" s="259"/>
      <c r="AV559" s="259"/>
      <c r="AW559" s="259"/>
    </row>
    <row r="560" spans="2:49" ht="15" customHeight="1" x14ac:dyDescent="0.25">
      <c r="B560" s="260"/>
      <c r="D560" s="262"/>
      <c r="G560" s="288"/>
      <c r="H560" s="265"/>
      <c r="I560" s="266"/>
      <c r="K560" s="268"/>
      <c r="L560" s="278"/>
      <c r="M560" s="274"/>
      <c r="N560" s="258"/>
      <c r="O560" s="258"/>
      <c r="P560" s="258"/>
      <c r="Q560" s="276"/>
      <c r="R560" s="272"/>
      <c r="S560" s="272"/>
      <c r="T560" s="272"/>
      <c r="U560" s="272"/>
      <c r="V560" s="272"/>
      <c r="W560" s="272"/>
      <c r="X560" s="272"/>
      <c r="Y560" s="272"/>
      <c r="Z560" s="258"/>
      <c r="AA560" s="258"/>
      <c r="AB560" s="258"/>
      <c r="AC560" s="258"/>
      <c r="AD560" s="258"/>
      <c r="AE560" s="258"/>
      <c r="AF560" s="258"/>
      <c r="AG560" s="258"/>
      <c r="AH560" s="258"/>
      <c r="AQ560" s="259"/>
      <c r="AR560" s="259"/>
      <c r="AS560" s="259"/>
      <c r="AT560" s="259"/>
      <c r="AU560" s="259"/>
      <c r="AV560" s="259"/>
      <c r="AW560" s="259"/>
    </row>
    <row r="561" spans="2:49" ht="15" customHeight="1" x14ac:dyDescent="0.25">
      <c r="B561" s="260"/>
      <c r="D561" s="262"/>
      <c r="G561" s="288"/>
      <c r="H561" s="265"/>
      <c r="I561" s="266"/>
      <c r="K561" s="268"/>
      <c r="L561" s="278"/>
      <c r="M561" s="274"/>
      <c r="N561" s="258"/>
      <c r="O561" s="258"/>
      <c r="P561" s="258"/>
      <c r="Q561" s="276"/>
      <c r="W561" s="272"/>
      <c r="X561" s="272"/>
      <c r="Y561" s="272"/>
      <c r="Z561" s="258"/>
      <c r="AA561" s="258"/>
      <c r="AB561" s="258"/>
      <c r="AC561" s="258"/>
      <c r="AD561" s="258"/>
      <c r="AE561" s="258"/>
      <c r="AF561" s="258"/>
      <c r="AG561" s="258"/>
      <c r="AH561" s="258"/>
      <c r="AQ561" s="259"/>
      <c r="AR561" s="259"/>
      <c r="AS561" s="259"/>
      <c r="AT561" s="259"/>
      <c r="AU561" s="259"/>
      <c r="AV561" s="259"/>
      <c r="AW561" s="259"/>
    </row>
    <row r="562" spans="2:49" ht="15" customHeight="1" x14ac:dyDescent="0.25">
      <c r="B562" s="260"/>
      <c r="D562" s="262"/>
      <c r="G562" s="289"/>
      <c r="H562" s="265"/>
      <c r="I562" s="266"/>
      <c r="K562" s="268"/>
      <c r="L562" s="278"/>
      <c r="M562" s="274"/>
      <c r="N562" s="258"/>
      <c r="O562" s="258"/>
      <c r="P562" s="258"/>
      <c r="Q562" s="276"/>
      <c r="W562" s="272"/>
      <c r="X562" s="272"/>
      <c r="Y562" s="272"/>
      <c r="Z562" s="258"/>
      <c r="AA562" s="258"/>
      <c r="AB562" s="258"/>
      <c r="AC562" s="258"/>
      <c r="AD562" s="258"/>
      <c r="AE562" s="258"/>
      <c r="AF562" s="258"/>
      <c r="AG562" s="258"/>
      <c r="AH562" s="258"/>
      <c r="AQ562" s="259"/>
      <c r="AR562" s="259"/>
      <c r="AS562" s="259"/>
      <c r="AT562" s="259"/>
      <c r="AU562" s="259"/>
      <c r="AV562" s="259"/>
      <c r="AW562" s="259"/>
    </row>
    <row r="563" spans="2:49" ht="15" customHeight="1" x14ac:dyDescent="0.25">
      <c r="B563" s="260"/>
      <c r="D563" s="262"/>
      <c r="E563" s="291"/>
      <c r="F563" s="293"/>
      <c r="G563" s="288"/>
      <c r="H563" s="265"/>
      <c r="I563" s="266"/>
      <c r="K563" s="268"/>
      <c r="L563" s="278"/>
      <c r="M563" s="274"/>
      <c r="N563" s="258"/>
      <c r="O563" s="258"/>
      <c r="P563" s="258"/>
      <c r="Q563" s="276"/>
      <c r="W563" s="272"/>
      <c r="X563" s="272"/>
      <c r="Y563" s="272"/>
      <c r="Z563" s="258"/>
      <c r="AA563" s="258"/>
      <c r="AB563" s="258"/>
      <c r="AC563" s="258"/>
      <c r="AD563" s="258"/>
      <c r="AE563" s="258"/>
      <c r="AF563" s="258"/>
      <c r="AG563" s="258"/>
      <c r="AH563" s="258"/>
      <c r="AQ563" s="259"/>
      <c r="AR563" s="259"/>
      <c r="AS563" s="259"/>
      <c r="AT563" s="259"/>
      <c r="AU563" s="259"/>
      <c r="AV563" s="259"/>
      <c r="AW563" s="259"/>
    </row>
    <row r="564" spans="2:49" ht="15" customHeight="1" x14ac:dyDescent="0.25">
      <c r="B564" s="260"/>
      <c r="D564" s="262"/>
      <c r="G564" s="289"/>
      <c r="H564" s="265"/>
      <c r="I564" s="266"/>
      <c r="K564" s="268"/>
      <c r="L564" s="273"/>
      <c r="M564" s="274"/>
      <c r="N564" s="270"/>
      <c r="O564" s="270"/>
      <c r="P564" s="270"/>
      <c r="Q564" s="275"/>
      <c r="R564" s="272"/>
      <c r="S564" s="272"/>
      <c r="T564" s="272"/>
      <c r="U564" s="272"/>
      <c r="V564" s="272"/>
      <c r="W564" s="272"/>
      <c r="X564" s="272"/>
      <c r="Y564" s="272"/>
      <c r="Z564" s="258"/>
      <c r="AA564" s="258"/>
      <c r="AB564" s="258"/>
      <c r="AC564" s="258"/>
      <c r="AD564" s="258"/>
      <c r="AE564" s="258"/>
      <c r="AF564" s="258"/>
      <c r="AG564" s="258"/>
      <c r="AH564" s="258"/>
      <c r="AI564" s="258"/>
      <c r="AQ564" s="259"/>
      <c r="AR564" s="259"/>
      <c r="AS564" s="259"/>
      <c r="AT564" s="259"/>
      <c r="AU564" s="259"/>
      <c r="AV564" s="259"/>
      <c r="AW564" s="259"/>
    </row>
    <row r="565" spans="2:49" ht="15" customHeight="1" x14ac:dyDescent="0.25">
      <c r="B565" s="260"/>
      <c r="D565" s="262"/>
      <c r="G565" s="289"/>
      <c r="H565" s="265"/>
      <c r="I565" s="266"/>
      <c r="K565" s="268"/>
      <c r="L565" s="273"/>
      <c r="M565" s="274"/>
      <c r="N565" s="258"/>
      <c r="O565" s="258"/>
      <c r="P565" s="258"/>
      <c r="Q565" s="276"/>
      <c r="R565" s="272"/>
      <c r="S565" s="272"/>
      <c r="T565" s="272"/>
      <c r="U565" s="272"/>
      <c r="V565" s="272"/>
      <c r="W565" s="272"/>
      <c r="X565" s="272"/>
      <c r="Y565" s="272"/>
      <c r="Z565" s="258"/>
      <c r="AA565" s="258"/>
      <c r="AB565" s="258"/>
      <c r="AC565" s="258"/>
      <c r="AD565" s="258"/>
      <c r="AE565" s="258"/>
      <c r="AF565" s="258"/>
      <c r="AG565" s="258"/>
      <c r="AH565" s="258"/>
      <c r="AI565" s="258"/>
      <c r="AQ565" s="259"/>
      <c r="AR565" s="259"/>
      <c r="AS565" s="259"/>
      <c r="AT565" s="259"/>
      <c r="AU565" s="259"/>
      <c r="AV565" s="259"/>
      <c r="AW565" s="259"/>
    </row>
    <row r="566" spans="2:49" ht="15" customHeight="1" x14ac:dyDescent="0.25">
      <c r="B566" s="260"/>
      <c r="D566" s="262"/>
      <c r="G566" s="289"/>
      <c r="H566" s="265"/>
      <c r="I566" s="266"/>
      <c r="K566" s="268"/>
      <c r="L566" s="273"/>
      <c r="M566" s="274"/>
      <c r="N566" s="258"/>
      <c r="O566" s="258"/>
      <c r="P566" s="258"/>
      <c r="Q566" s="276"/>
      <c r="R566" s="272"/>
      <c r="S566" s="272"/>
      <c r="T566" s="272"/>
      <c r="U566" s="272"/>
      <c r="V566" s="272"/>
      <c r="W566" s="272"/>
      <c r="X566" s="272"/>
      <c r="Y566" s="272"/>
      <c r="Z566" s="258"/>
      <c r="AA566" s="258"/>
      <c r="AB566" s="258"/>
      <c r="AC566" s="258"/>
      <c r="AD566" s="258"/>
      <c r="AE566" s="258"/>
      <c r="AF566" s="258"/>
      <c r="AG566" s="258"/>
      <c r="AH566" s="270"/>
      <c r="AI566" s="270"/>
      <c r="AQ566" s="259"/>
      <c r="AR566" s="259"/>
      <c r="AS566" s="259"/>
      <c r="AT566" s="259"/>
      <c r="AU566" s="259"/>
      <c r="AV566" s="259"/>
      <c r="AW566" s="259"/>
    </row>
    <row r="567" spans="2:49" ht="15" customHeight="1" x14ac:dyDescent="0.25">
      <c r="B567" s="260"/>
      <c r="C567" s="290"/>
      <c r="D567" s="262"/>
      <c r="E567" s="291"/>
      <c r="F567" s="262"/>
      <c r="G567" s="289"/>
      <c r="H567" s="243"/>
      <c r="I567" s="266"/>
      <c r="K567" s="268"/>
      <c r="L567" s="273"/>
      <c r="M567" s="277"/>
      <c r="N567" s="258"/>
      <c r="O567" s="258"/>
      <c r="P567" s="258"/>
      <c r="Q567" s="276"/>
      <c r="R567" s="272"/>
      <c r="S567" s="272"/>
      <c r="T567" s="272"/>
      <c r="U567" s="272"/>
      <c r="V567" s="272"/>
      <c r="W567" s="272"/>
      <c r="X567" s="272"/>
      <c r="Y567" s="272"/>
      <c r="Z567" s="258"/>
      <c r="AA567" s="258"/>
      <c r="AB567" s="258"/>
      <c r="AC567" s="258"/>
      <c r="AD567" s="258"/>
      <c r="AE567" s="258"/>
      <c r="AF567" s="258"/>
      <c r="AG567" s="258"/>
      <c r="AH567" s="270"/>
      <c r="AI567" s="270"/>
      <c r="AQ567" s="259"/>
      <c r="AR567" s="259"/>
      <c r="AS567" s="259"/>
      <c r="AT567" s="259"/>
      <c r="AU567" s="259"/>
      <c r="AV567" s="259"/>
      <c r="AW567" s="259"/>
    </row>
    <row r="568" spans="2:49" ht="15" customHeight="1" x14ac:dyDescent="0.25">
      <c r="B568" s="260"/>
      <c r="D568" s="262"/>
      <c r="G568" s="289"/>
      <c r="H568" s="265"/>
      <c r="I568" s="266"/>
      <c r="K568" s="268"/>
      <c r="L568" s="278"/>
      <c r="M568" s="274"/>
      <c r="N568" s="258"/>
      <c r="O568" s="258"/>
      <c r="P568" s="258"/>
      <c r="Q568" s="276"/>
      <c r="R568" s="272"/>
      <c r="S568" s="272"/>
      <c r="T568" s="272"/>
      <c r="U568" s="272"/>
      <c r="V568" s="272"/>
      <c r="W568" s="272"/>
      <c r="X568" s="272"/>
      <c r="Y568" s="272"/>
      <c r="Z568" s="258"/>
      <c r="AA568" s="258"/>
      <c r="AB568" s="258"/>
      <c r="AC568" s="258"/>
      <c r="AD568" s="258"/>
      <c r="AE568" s="258"/>
      <c r="AF568" s="258"/>
      <c r="AG568" s="258"/>
      <c r="AH568" s="270"/>
      <c r="AI568" s="270"/>
      <c r="AQ568" s="259"/>
      <c r="AR568" s="259"/>
      <c r="AS568" s="259"/>
      <c r="AT568" s="259"/>
      <c r="AU568" s="259"/>
      <c r="AV568" s="259"/>
      <c r="AW568" s="259"/>
    </row>
    <row r="569" spans="2:49" ht="15" customHeight="1" x14ac:dyDescent="0.25">
      <c r="B569" s="260"/>
      <c r="D569" s="262"/>
      <c r="G569" s="289"/>
      <c r="H569" s="265"/>
      <c r="I569" s="266"/>
      <c r="K569" s="268"/>
      <c r="L569" s="278"/>
      <c r="M569" s="274"/>
      <c r="N569" s="258"/>
      <c r="O569" s="258"/>
      <c r="P569" s="258"/>
      <c r="Q569" s="276"/>
      <c r="R569" s="272"/>
      <c r="S569" s="272"/>
      <c r="T569" s="272"/>
      <c r="U569" s="272"/>
      <c r="V569" s="272"/>
      <c r="W569" s="272"/>
      <c r="X569" s="272"/>
      <c r="Y569" s="272"/>
      <c r="Z569" s="258"/>
      <c r="AA569" s="258"/>
      <c r="AB569" s="258"/>
      <c r="AC569" s="258"/>
      <c r="AD569" s="258"/>
      <c r="AE569" s="258"/>
      <c r="AF569" s="258"/>
      <c r="AG569" s="258"/>
      <c r="AH569" s="258"/>
      <c r="AQ569" s="259"/>
      <c r="AR569" s="259"/>
      <c r="AS569" s="259"/>
      <c r="AT569" s="259"/>
      <c r="AU569" s="259"/>
      <c r="AV569" s="259"/>
      <c r="AW569" s="259"/>
    </row>
    <row r="570" spans="2:49" ht="15" customHeight="1" x14ac:dyDescent="0.25">
      <c r="B570" s="260"/>
      <c r="D570" s="262"/>
      <c r="G570" s="289"/>
      <c r="H570" s="265"/>
      <c r="I570" s="266"/>
      <c r="K570" s="268"/>
      <c r="L570" s="278"/>
      <c r="M570" s="274"/>
      <c r="N570" s="258"/>
      <c r="O570" s="258"/>
      <c r="P570" s="258"/>
      <c r="Q570" s="276"/>
      <c r="R570" s="272"/>
      <c r="S570" s="272"/>
      <c r="T570" s="272"/>
      <c r="U570" s="272"/>
      <c r="V570" s="272"/>
      <c r="W570" s="272"/>
      <c r="X570" s="272"/>
      <c r="Y570" s="272"/>
      <c r="Z570" s="258"/>
      <c r="AA570" s="258"/>
      <c r="AB570" s="258"/>
      <c r="AC570" s="258"/>
      <c r="AD570" s="258"/>
      <c r="AE570" s="258"/>
      <c r="AF570" s="258"/>
      <c r="AG570" s="258"/>
      <c r="AH570" s="258"/>
      <c r="AQ570" s="259"/>
      <c r="AR570" s="259"/>
      <c r="AS570" s="259"/>
      <c r="AT570" s="259"/>
      <c r="AU570" s="259"/>
      <c r="AV570" s="259"/>
      <c r="AW570" s="259"/>
    </row>
    <row r="571" spans="2:49" ht="15" customHeight="1" x14ac:dyDescent="0.25">
      <c r="B571" s="260"/>
      <c r="D571" s="262"/>
      <c r="G571" s="288"/>
      <c r="H571" s="265"/>
      <c r="I571" s="266"/>
      <c r="K571" s="268"/>
      <c r="L571" s="278"/>
      <c r="M571" s="274"/>
      <c r="N571" s="258"/>
      <c r="O571" s="258"/>
      <c r="P571" s="258"/>
      <c r="Q571" s="276"/>
      <c r="R571" s="272"/>
      <c r="S571" s="272"/>
      <c r="T571" s="272"/>
      <c r="U571" s="272"/>
      <c r="V571" s="272"/>
      <c r="W571" s="272"/>
      <c r="X571" s="272"/>
      <c r="Y571" s="272"/>
      <c r="Z571" s="258"/>
      <c r="AA571" s="258"/>
      <c r="AB571" s="258"/>
      <c r="AC571" s="258"/>
      <c r="AD571" s="258"/>
      <c r="AE571" s="258"/>
      <c r="AF571" s="258"/>
      <c r="AG571" s="258"/>
      <c r="AH571" s="258"/>
      <c r="AQ571" s="259"/>
      <c r="AR571" s="259"/>
      <c r="AS571" s="259"/>
      <c r="AT571" s="259"/>
      <c r="AU571" s="259"/>
      <c r="AV571" s="259"/>
      <c r="AW571" s="259"/>
    </row>
    <row r="572" spans="2:49" ht="15" customHeight="1" x14ac:dyDescent="0.25">
      <c r="B572" s="260"/>
      <c r="D572" s="262"/>
      <c r="G572" s="289"/>
      <c r="H572" s="265"/>
      <c r="I572" s="266"/>
      <c r="K572" s="268"/>
      <c r="L572" s="278"/>
      <c r="M572" s="274"/>
      <c r="N572" s="258"/>
      <c r="O572" s="258"/>
      <c r="P572" s="258"/>
      <c r="Q572" s="276"/>
      <c r="R572" s="272"/>
      <c r="S572" s="272"/>
      <c r="T572" s="272"/>
      <c r="U572" s="272"/>
      <c r="V572" s="272"/>
      <c r="W572" s="272"/>
      <c r="X572" s="272"/>
      <c r="Y572" s="272"/>
      <c r="Z572" s="258"/>
      <c r="AA572" s="258"/>
      <c r="AB572" s="258"/>
      <c r="AC572" s="258"/>
      <c r="AD572" s="258"/>
      <c r="AE572" s="258"/>
      <c r="AF572" s="258"/>
      <c r="AG572" s="258"/>
      <c r="AH572" s="258"/>
      <c r="AQ572" s="259"/>
      <c r="AR572" s="259"/>
      <c r="AS572" s="259"/>
      <c r="AT572" s="259"/>
      <c r="AU572" s="259"/>
      <c r="AV572" s="259"/>
      <c r="AW572" s="259"/>
    </row>
    <row r="573" spans="2:49" ht="15" customHeight="1" x14ac:dyDescent="0.25">
      <c r="B573" s="260"/>
      <c r="D573" s="262"/>
      <c r="G573" s="289"/>
      <c r="H573" s="265"/>
      <c r="I573" s="266"/>
      <c r="K573" s="268"/>
      <c r="L573" s="278"/>
      <c r="M573" s="274"/>
      <c r="N573" s="258"/>
      <c r="O573" s="258"/>
      <c r="P573" s="258"/>
      <c r="Q573" s="276"/>
      <c r="W573" s="272"/>
      <c r="X573" s="272"/>
      <c r="Y573" s="272"/>
      <c r="Z573" s="258"/>
      <c r="AA573" s="258"/>
      <c r="AB573" s="258"/>
      <c r="AC573" s="258"/>
      <c r="AD573" s="258"/>
      <c r="AE573" s="258"/>
      <c r="AF573" s="258"/>
      <c r="AG573" s="258"/>
      <c r="AH573" s="258"/>
      <c r="AQ573" s="259"/>
      <c r="AR573" s="259"/>
      <c r="AS573" s="259"/>
      <c r="AT573" s="259"/>
      <c r="AU573" s="259"/>
      <c r="AV573" s="259"/>
      <c r="AW573" s="259"/>
    </row>
    <row r="574" spans="2:49" ht="15" customHeight="1" x14ac:dyDescent="0.25">
      <c r="B574" s="260"/>
      <c r="D574" s="262"/>
      <c r="G574" s="289"/>
      <c r="H574" s="265"/>
      <c r="I574" s="266"/>
      <c r="K574" s="268"/>
      <c r="L574" s="278"/>
      <c r="M574" s="274"/>
      <c r="N574" s="258"/>
      <c r="O574" s="258"/>
      <c r="P574" s="258"/>
      <c r="Q574" s="276"/>
      <c r="W574" s="272"/>
      <c r="X574" s="272"/>
      <c r="Y574" s="272"/>
      <c r="Z574" s="258"/>
      <c r="AA574" s="258"/>
      <c r="AB574" s="258"/>
      <c r="AC574" s="258"/>
      <c r="AD574" s="258"/>
      <c r="AE574" s="258"/>
      <c r="AF574" s="258"/>
      <c r="AG574" s="258"/>
      <c r="AH574" s="258"/>
      <c r="AQ574" s="259"/>
      <c r="AR574" s="259"/>
      <c r="AS574" s="259"/>
      <c r="AT574" s="259"/>
      <c r="AU574" s="259"/>
      <c r="AV574" s="259"/>
      <c r="AW574" s="259"/>
    </row>
    <row r="575" spans="2:49" ht="15" customHeight="1" x14ac:dyDescent="0.25">
      <c r="B575" s="260"/>
      <c r="D575" s="262"/>
      <c r="G575" s="289"/>
      <c r="H575" s="265"/>
      <c r="I575" s="266"/>
      <c r="K575" s="268"/>
      <c r="L575" s="278"/>
      <c r="M575" s="274"/>
      <c r="N575" s="258"/>
      <c r="O575" s="258"/>
      <c r="P575" s="258"/>
      <c r="Q575" s="276"/>
      <c r="W575" s="272"/>
      <c r="X575" s="272"/>
      <c r="Y575" s="272"/>
      <c r="Z575" s="258"/>
      <c r="AA575" s="258"/>
      <c r="AB575" s="258"/>
      <c r="AC575" s="258"/>
      <c r="AD575" s="258"/>
      <c r="AE575" s="258"/>
      <c r="AF575" s="258"/>
      <c r="AG575" s="258"/>
      <c r="AH575" s="258"/>
      <c r="AQ575" s="259"/>
      <c r="AR575" s="259"/>
      <c r="AS575" s="259"/>
      <c r="AT575" s="259"/>
      <c r="AU575" s="259"/>
      <c r="AV575" s="259"/>
      <c r="AW575" s="259"/>
    </row>
    <row r="576" spans="2:49" ht="15" customHeight="1" x14ac:dyDescent="0.25">
      <c r="B576" s="260"/>
      <c r="D576" s="262"/>
      <c r="G576" s="288"/>
      <c r="H576" s="265"/>
      <c r="I576" s="266"/>
      <c r="K576" s="268"/>
      <c r="L576" s="273"/>
      <c r="M576" s="274"/>
      <c r="N576" s="270"/>
      <c r="O576" s="270"/>
      <c r="P576" s="270"/>
      <c r="Q576" s="275"/>
      <c r="R576" s="272"/>
      <c r="S576" s="272"/>
      <c r="T576" s="272"/>
      <c r="U576" s="272"/>
      <c r="V576" s="272"/>
      <c r="W576" s="272"/>
      <c r="X576" s="272"/>
      <c r="Y576" s="272"/>
      <c r="Z576" s="258"/>
      <c r="AA576" s="258"/>
      <c r="AB576" s="258"/>
      <c r="AC576" s="258"/>
      <c r="AD576" s="258"/>
      <c r="AE576" s="258"/>
      <c r="AF576" s="258"/>
      <c r="AG576" s="258"/>
      <c r="AH576" s="258"/>
      <c r="AI576" s="258"/>
      <c r="AQ576" s="259"/>
      <c r="AR576" s="259"/>
      <c r="AS576" s="259"/>
      <c r="AT576" s="259"/>
      <c r="AU576" s="259"/>
      <c r="AV576" s="259"/>
      <c r="AW576" s="259"/>
    </row>
    <row r="577" spans="2:49" ht="15" customHeight="1" x14ac:dyDescent="0.25">
      <c r="B577" s="260"/>
      <c r="D577" s="262"/>
      <c r="G577" s="288"/>
      <c r="H577" s="265"/>
      <c r="I577" s="266"/>
      <c r="K577" s="268"/>
      <c r="L577" s="273"/>
      <c r="M577" s="274"/>
      <c r="N577" s="258"/>
      <c r="O577" s="258"/>
      <c r="P577" s="258"/>
      <c r="Q577" s="276"/>
      <c r="R577" s="272"/>
      <c r="S577" s="272"/>
      <c r="T577" s="272"/>
      <c r="U577" s="272"/>
      <c r="V577" s="272"/>
      <c r="W577" s="272"/>
      <c r="X577" s="272"/>
      <c r="Y577" s="272"/>
      <c r="Z577" s="258"/>
      <c r="AA577" s="258"/>
      <c r="AB577" s="258"/>
      <c r="AC577" s="258"/>
      <c r="AD577" s="258"/>
      <c r="AE577" s="258"/>
      <c r="AF577" s="258"/>
      <c r="AG577" s="258"/>
      <c r="AH577" s="258"/>
      <c r="AI577" s="258"/>
      <c r="AQ577" s="259"/>
      <c r="AR577" s="259"/>
      <c r="AS577" s="259"/>
      <c r="AT577" s="259"/>
      <c r="AU577" s="259"/>
      <c r="AV577" s="259"/>
      <c r="AW577" s="259"/>
    </row>
    <row r="578" spans="2:49" ht="15" customHeight="1" x14ac:dyDescent="0.25">
      <c r="B578" s="260"/>
      <c r="D578" s="262"/>
      <c r="G578" s="288"/>
      <c r="H578" s="265"/>
      <c r="I578" s="266"/>
      <c r="K578" s="268"/>
      <c r="L578" s="273"/>
      <c r="M578" s="274"/>
      <c r="N578" s="258"/>
      <c r="O578" s="258"/>
      <c r="P578" s="258"/>
      <c r="Q578" s="276"/>
      <c r="R578" s="272"/>
      <c r="S578" s="272"/>
      <c r="T578" s="272"/>
      <c r="U578" s="272"/>
      <c r="V578" s="272"/>
      <c r="W578" s="272"/>
      <c r="X578" s="272"/>
      <c r="Y578" s="272"/>
      <c r="Z578" s="258"/>
      <c r="AA578" s="258"/>
      <c r="AB578" s="258"/>
      <c r="AC578" s="258"/>
      <c r="AD578" s="258"/>
      <c r="AE578" s="258"/>
      <c r="AF578" s="258"/>
      <c r="AG578" s="258"/>
      <c r="AH578" s="270"/>
      <c r="AI578" s="270"/>
      <c r="AQ578" s="259"/>
      <c r="AR578" s="259"/>
      <c r="AS578" s="259"/>
      <c r="AT578" s="259"/>
      <c r="AU578" s="259"/>
      <c r="AV578" s="259"/>
      <c r="AW578" s="259"/>
    </row>
    <row r="579" spans="2:49" ht="15" customHeight="1" x14ac:dyDescent="0.25">
      <c r="B579" s="260"/>
      <c r="D579" s="262"/>
      <c r="G579" s="288"/>
      <c r="H579" s="265"/>
      <c r="I579" s="266"/>
      <c r="K579" s="268"/>
      <c r="L579" s="273"/>
      <c r="M579" s="277"/>
      <c r="N579" s="258"/>
      <c r="O579" s="258"/>
      <c r="P579" s="258"/>
      <c r="Q579" s="276"/>
      <c r="R579" s="272"/>
      <c r="S579" s="272"/>
      <c r="T579" s="272"/>
      <c r="U579" s="272"/>
      <c r="V579" s="272"/>
      <c r="W579" s="272"/>
      <c r="X579" s="272"/>
      <c r="Y579" s="272"/>
      <c r="Z579" s="258"/>
      <c r="AA579" s="258"/>
      <c r="AB579" s="258"/>
      <c r="AC579" s="258"/>
      <c r="AD579" s="258"/>
      <c r="AE579" s="258"/>
      <c r="AF579" s="258"/>
      <c r="AG579" s="258"/>
      <c r="AH579" s="270"/>
      <c r="AI579" s="270"/>
      <c r="AQ579" s="259"/>
      <c r="AR579" s="259"/>
      <c r="AS579" s="259"/>
      <c r="AT579" s="259"/>
      <c r="AU579" s="259"/>
      <c r="AV579" s="259"/>
      <c r="AW579" s="259"/>
    </row>
    <row r="580" spans="2:49" ht="15" customHeight="1" x14ac:dyDescent="0.25">
      <c r="B580" s="260"/>
      <c r="D580" s="262"/>
      <c r="E580" s="291"/>
      <c r="F580" s="293"/>
      <c r="G580" s="288"/>
      <c r="H580" s="265"/>
      <c r="I580" s="266"/>
      <c r="K580" s="268"/>
      <c r="L580" s="278"/>
      <c r="M580" s="274"/>
      <c r="N580" s="258"/>
      <c r="O580" s="258"/>
      <c r="P580" s="258"/>
      <c r="Q580" s="276"/>
      <c r="R580" s="272"/>
      <c r="S580" s="272"/>
      <c r="T580" s="272"/>
      <c r="U580" s="272"/>
      <c r="V580" s="272"/>
      <c r="W580" s="272"/>
      <c r="X580" s="272"/>
      <c r="Y580" s="272"/>
      <c r="Z580" s="258"/>
      <c r="AA580" s="258"/>
      <c r="AB580" s="258"/>
      <c r="AC580" s="258"/>
      <c r="AD580" s="258"/>
      <c r="AE580" s="258"/>
      <c r="AF580" s="258"/>
      <c r="AG580" s="258"/>
      <c r="AH580" s="270"/>
      <c r="AI580" s="270"/>
      <c r="AQ580" s="259"/>
      <c r="AR580" s="259"/>
      <c r="AS580" s="259"/>
      <c r="AT580" s="259"/>
      <c r="AU580" s="259"/>
      <c r="AV580" s="259"/>
      <c r="AW580" s="259"/>
    </row>
    <row r="581" spans="2:49" ht="15" customHeight="1" x14ac:dyDescent="0.25">
      <c r="B581" s="260"/>
      <c r="C581" s="290"/>
      <c r="D581" s="262"/>
      <c r="E581" s="291"/>
      <c r="F581" s="262"/>
      <c r="G581" s="289"/>
      <c r="H581" s="243"/>
      <c r="I581" s="266"/>
      <c r="K581" s="268"/>
      <c r="L581" s="278"/>
      <c r="M581" s="274"/>
      <c r="N581" s="258"/>
      <c r="O581" s="258"/>
      <c r="P581" s="258"/>
      <c r="Q581" s="276"/>
      <c r="R581" s="272"/>
      <c r="S581" s="272"/>
      <c r="T581" s="272"/>
      <c r="U581" s="272"/>
      <c r="V581" s="272"/>
      <c r="W581" s="272"/>
      <c r="X581" s="272"/>
      <c r="Y581" s="272"/>
      <c r="Z581" s="258"/>
      <c r="AA581" s="258"/>
      <c r="AB581" s="258"/>
      <c r="AC581" s="258"/>
      <c r="AD581" s="258"/>
      <c r="AE581" s="258"/>
      <c r="AF581" s="258"/>
      <c r="AG581" s="258"/>
      <c r="AH581" s="258"/>
      <c r="AQ581" s="259"/>
      <c r="AR581" s="259"/>
      <c r="AS581" s="259"/>
      <c r="AT581" s="259"/>
      <c r="AU581" s="259"/>
      <c r="AV581" s="259"/>
      <c r="AW581" s="259"/>
    </row>
    <row r="582" spans="2:49" ht="15" customHeight="1" x14ac:dyDescent="0.25">
      <c r="B582" s="260"/>
      <c r="D582" s="262"/>
      <c r="G582" s="289"/>
      <c r="H582" s="265"/>
      <c r="I582" s="266"/>
      <c r="K582" s="268"/>
      <c r="L582" s="278"/>
      <c r="M582" s="274"/>
      <c r="N582" s="258"/>
      <c r="O582" s="258"/>
      <c r="P582" s="258"/>
      <c r="Q582" s="276"/>
      <c r="R582" s="272"/>
      <c r="S582" s="272"/>
      <c r="T582" s="272"/>
      <c r="U582" s="272"/>
      <c r="V582" s="272"/>
      <c r="W582" s="272"/>
      <c r="X582" s="272"/>
      <c r="Y582" s="272"/>
      <c r="Z582" s="258"/>
      <c r="AA582" s="258"/>
      <c r="AB582" s="258"/>
      <c r="AC582" s="258"/>
      <c r="AD582" s="258"/>
      <c r="AE582" s="258"/>
      <c r="AF582" s="258"/>
      <c r="AG582" s="258"/>
      <c r="AH582" s="258"/>
      <c r="AQ582" s="259"/>
      <c r="AR582" s="259"/>
      <c r="AS582" s="259"/>
      <c r="AT582" s="259"/>
      <c r="AU582" s="259"/>
      <c r="AV582" s="259"/>
      <c r="AW582" s="259"/>
    </row>
    <row r="583" spans="2:49" ht="15" customHeight="1" x14ac:dyDescent="0.25">
      <c r="B583" s="260"/>
      <c r="D583" s="262"/>
      <c r="G583" s="289"/>
      <c r="H583" s="265"/>
      <c r="I583" s="266"/>
      <c r="K583" s="268"/>
      <c r="L583" s="278"/>
      <c r="M583" s="274"/>
      <c r="N583" s="258"/>
      <c r="O583" s="258"/>
      <c r="P583" s="258"/>
      <c r="Q583" s="276"/>
      <c r="R583" s="272"/>
      <c r="S583" s="272"/>
      <c r="T583" s="272"/>
      <c r="U583" s="272"/>
      <c r="V583" s="272"/>
      <c r="W583" s="272"/>
      <c r="X583" s="272"/>
      <c r="Y583" s="272"/>
      <c r="Z583" s="258"/>
      <c r="AA583" s="258"/>
      <c r="AB583" s="258"/>
      <c r="AC583" s="258"/>
      <c r="AD583" s="258"/>
      <c r="AE583" s="258"/>
      <c r="AF583" s="258"/>
      <c r="AG583" s="258"/>
      <c r="AH583" s="258"/>
      <c r="AQ583" s="259"/>
      <c r="AR583" s="259"/>
      <c r="AS583" s="259"/>
      <c r="AT583" s="259"/>
      <c r="AU583" s="259"/>
      <c r="AV583" s="259"/>
      <c r="AW583" s="259"/>
    </row>
    <row r="584" spans="2:49" ht="15" customHeight="1" x14ac:dyDescent="0.25">
      <c r="B584" s="260"/>
      <c r="D584" s="262"/>
      <c r="G584" s="289"/>
      <c r="H584" s="265"/>
      <c r="I584" s="266"/>
      <c r="K584" s="268"/>
      <c r="L584" s="278"/>
      <c r="M584" s="274"/>
      <c r="N584" s="258"/>
      <c r="O584" s="258"/>
      <c r="P584" s="258"/>
      <c r="Q584" s="276"/>
      <c r="R584" s="272"/>
      <c r="S584" s="272"/>
      <c r="T584" s="272"/>
      <c r="U584" s="272"/>
      <c r="V584" s="272"/>
      <c r="W584" s="272"/>
      <c r="X584" s="272"/>
      <c r="Y584" s="272"/>
      <c r="Z584" s="258"/>
      <c r="AA584" s="258"/>
      <c r="AB584" s="258"/>
      <c r="AC584" s="258"/>
      <c r="AD584" s="258"/>
      <c r="AE584" s="258"/>
      <c r="AF584" s="258"/>
      <c r="AG584" s="258"/>
      <c r="AH584" s="258"/>
      <c r="AQ584" s="259"/>
      <c r="AR584" s="259"/>
      <c r="AS584" s="259"/>
      <c r="AT584" s="259"/>
      <c r="AU584" s="259"/>
      <c r="AV584" s="259"/>
      <c r="AW584" s="259"/>
    </row>
    <row r="585" spans="2:49" ht="15" customHeight="1" x14ac:dyDescent="0.25">
      <c r="B585" s="260"/>
      <c r="D585" s="262"/>
      <c r="G585" s="289"/>
      <c r="H585" s="265"/>
      <c r="I585" s="266"/>
      <c r="K585" s="268"/>
      <c r="L585" s="278"/>
      <c r="M585" s="274"/>
      <c r="N585" s="258"/>
      <c r="O585" s="258"/>
      <c r="P585" s="258"/>
      <c r="Q585" s="276"/>
      <c r="W585" s="272"/>
      <c r="X585" s="272"/>
      <c r="Y585" s="272"/>
      <c r="Z585" s="258"/>
      <c r="AA585" s="258"/>
      <c r="AB585" s="258"/>
      <c r="AC585" s="258"/>
      <c r="AD585" s="258"/>
      <c r="AE585" s="258"/>
      <c r="AF585" s="258"/>
      <c r="AG585" s="258"/>
      <c r="AH585" s="258"/>
      <c r="AQ585" s="259"/>
      <c r="AR585" s="259"/>
      <c r="AS585" s="259"/>
      <c r="AT585" s="259"/>
      <c r="AU585" s="259"/>
      <c r="AV585" s="259"/>
      <c r="AW585" s="259"/>
    </row>
    <row r="586" spans="2:49" ht="15" customHeight="1" x14ac:dyDescent="0.25">
      <c r="B586" s="260"/>
      <c r="D586" s="262"/>
      <c r="G586" s="289"/>
      <c r="H586" s="265"/>
      <c r="I586" s="266"/>
      <c r="K586" s="268"/>
      <c r="L586" s="278"/>
      <c r="M586" s="274"/>
      <c r="N586" s="258"/>
      <c r="O586" s="258"/>
      <c r="P586" s="258"/>
      <c r="Q586" s="276"/>
      <c r="W586" s="272"/>
      <c r="X586" s="272"/>
      <c r="Y586" s="272"/>
      <c r="Z586" s="258"/>
      <c r="AA586" s="258"/>
      <c r="AB586" s="258"/>
      <c r="AC586" s="258"/>
      <c r="AD586" s="258"/>
      <c r="AE586" s="258"/>
      <c r="AF586" s="258"/>
      <c r="AG586" s="258"/>
      <c r="AH586" s="258"/>
      <c r="AQ586" s="259"/>
      <c r="AR586" s="259"/>
      <c r="AS586" s="259"/>
      <c r="AT586" s="259"/>
      <c r="AU586" s="259"/>
      <c r="AV586" s="259"/>
      <c r="AW586" s="259"/>
    </row>
    <row r="587" spans="2:49" ht="15" customHeight="1" x14ac:dyDescent="0.25">
      <c r="B587" s="260"/>
      <c r="D587" s="262"/>
      <c r="G587" s="289"/>
      <c r="H587" s="265"/>
      <c r="I587" s="266"/>
      <c r="K587" s="268"/>
      <c r="L587" s="278"/>
      <c r="M587" s="274"/>
      <c r="N587" s="258"/>
      <c r="O587" s="258"/>
      <c r="P587" s="258"/>
      <c r="Q587" s="276"/>
      <c r="W587" s="272"/>
      <c r="X587" s="272"/>
      <c r="Y587" s="272"/>
      <c r="Z587" s="258"/>
      <c r="AA587" s="258"/>
      <c r="AB587" s="258"/>
      <c r="AC587" s="258"/>
      <c r="AD587" s="258"/>
      <c r="AE587" s="258"/>
      <c r="AF587" s="258"/>
      <c r="AG587" s="258"/>
      <c r="AH587" s="258"/>
      <c r="AQ587" s="259"/>
      <c r="AR587" s="259"/>
      <c r="AS587" s="259"/>
      <c r="AT587" s="259"/>
      <c r="AU587" s="259"/>
      <c r="AV587" s="259"/>
      <c r="AW587" s="259"/>
    </row>
    <row r="588" spans="2:49" ht="15" customHeight="1" x14ac:dyDescent="0.25">
      <c r="B588" s="260"/>
      <c r="D588" s="262"/>
      <c r="G588" s="288"/>
      <c r="H588" s="265"/>
      <c r="I588" s="266"/>
      <c r="K588" s="268"/>
      <c r="L588" s="273"/>
      <c r="M588" s="274"/>
      <c r="N588" s="270"/>
      <c r="O588" s="270"/>
      <c r="P588" s="270"/>
      <c r="Q588" s="275"/>
      <c r="R588" s="272"/>
      <c r="S588" s="272"/>
      <c r="T588" s="272"/>
      <c r="U588" s="272"/>
      <c r="V588" s="272"/>
      <c r="W588" s="272"/>
      <c r="X588" s="272"/>
      <c r="Y588" s="272"/>
      <c r="Z588" s="258"/>
      <c r="AA588" s="258"/>
      <c r="AB588" s="258"/>
      <c r="AC588" s="258"/>
      <c r="AD588" s="258"/>
      <c r="AE588" s="258"/>
      <c r="AF588" s="258"/>
      <c r="AG588" s="258"/>
      <c r="AH588" s="258"/>
      <c r="AI588" s="258"/>
      <c r="AQ588" s="259"/>
      <c r="AR588" s="259"/>
      <c r="AS588" s="259"/>
      <c r="AT588" s="259"/>
      <c r="AU588" s="259"/>
      <c r="AV588" s="259"/>
      <c r="AW588" s="259"/>
    </row>
    <row r="589" spans="2:49" ht="15" customHeight="1" x14ac:dyDescent="0.25">
      <c r="B589" s="260"/>
      <c r="D589" s="262"/>
      <c r="G589" s="288"/>
      <c r="H589" s="265"/>
      <c r="I589" s="266"/>
      <c r="K589" s="268"/>
      <c r="L589" s="273"/>
      <c r="M589" s="274"/>
      <c r="N589" s="258"/>
      <c r="O589" s="258"/>
      <c r="P589" s="258"/>
      <c r="Q589" s="276"/>
      <c r="R589" s="272"/>
      <c r="S589" s="272"/>
      <c r="T589" s="272"/>
      <c r="U589" s="272"/>
      <c r="V589" s="272"/>
      <c r="W589" s="272"/>
      <c r="X589" s="272"/>
      <c r="Y589" s="272"/>
      <c r="Z589" s="258"/>
      <c r="AA589" s="258"/>
      <c r="AB589" s="258"/>
      <c r="AC589" s="258"/>
      <c r="AD589" s="258"/>
      <c r="AE589" s="258"/>
      <c r="AF589" s="258"/>
      <c r="AG589" s="258"/>
      <c r="AH589" s="258"/>
      <c r="AI589" s="258"/>
      <c r="AQ589" s="259"/>
      <c r="AR589" s="259"/>
      <c r="AS589" s="259"/>
      <c r="AT589" s="259"/>
      <c r="AU589" s="259"/>
      <c r="AV589" s="259"/>
      <c r="AW589" s="259"/>
    </row>
    <row r="590" spans="2:49" ht="15" customHeight="1" x14ac:dyDescent="0.25">
      <c r="B590" s="260"/>
      <c r="D590" s="262"/>
      <c r="G590" s="288"/>
      <c r="H590" s="265"/>
      <c r="I590" s="266"/>
      <c r="K590" s="268"/>
      <c r="L590" s="273"/>
      <c r="M590" s="274"/>
      <c r="N590" s="258"/>
      <c r="O590" s="258"/>
      <c r="P590" s="258"/>
      <c r="Q590" s="276"/>
      <c r="R590" s="272"/>
      <c r="S590" s="272"/>
      <c r="T590" s="272"/>
      <c r="U590" s="272"/>
      <c r="V590" s="272"/>
      <c r="W590" s="272"/>
      <c r="X590" s="272"/>
      <c r="Y590" s="272"/>
      <c r="Z590" s="258"/>
      <c r="AA590" s="258"/>
      <c r="AB590" s="258"/>
      <c r="AC590" s="258"/>
      <c r="AD590" s="258"/>
      <c r="AE590" s="258"/>
      <c r="AF590" s="258"/>
      <c r="AG590" s="258"/>
      <c r="AH590" s="270"/>
      <c r="AI590" s="270"/>
      <c r="AQ590" s="259"/>
      <c r="AR590" s="259"/>
      <c r="AS590" s="259"/>
      <c r="AT590" s="259"/>
      <c r="AU590" s="259"/>
      <c r="AV590" s="259"/>
      <c r="AW590" s="259"/>
    </row>
    <row r="591" spans="2:49" ht="15" customHeight="1" x14ac:dyDescent="0.25">
      <c r="B591" s="260"/>
      <c r="D591" s="262"/>
      <c r="G591" s="288"/>
      <c r="H591" s="265"/>
      <c r="I591" s="266"/>
      <c r="K591" s="268"/>
      <c r="L591" s="273"/>
      <c r="M591" s="277"/>
      <c r="N591" s="258"/>
      <c r="O591" s="258"/>
      <c r="P591" s="258"/>
      <c r="Q591" s="276"/>
      <c r="R591" s="272"/>
      <c r="S591" s="272"/>
      <c r="T591" s="272"/>
      <c r="U591" s="272"/>
      <c r="V591" s="272"/>
      <c r="W591" s="272"/>
      <c r="X591" s="272"/>
      <c r="Y591" s="272"/>
      <c r="Z591" s="258"/>
      <c r="AA591" s="258"/>
      <c r="AB591" s="258"/>
      <c r="AC591" s="258"/>
      <c r="AD591" s="258"/>
      <c r="AE591" s="258"/>
      <c r="AF591" s="258"/>
      <c r="AG591" s="258"/>
      <c r="AH591" s="270"/>
      <c r="AI591" s="270"/>
      <c r="AQ591" s="259"/>
      <c r="AR591" s="259"/>
      <c r="AS591" s="259"/>
      <c r="AT591" s="259"/>
      <c r="AU591" s="259"/>
      <c r="AV591" s="259"/>
      <c r="AW591" s="259"/>
    </row>
    <row r="592" spans="2:49" ht="15" customHeight="1" x14ac:dyDescent="0.25">
      <c r="B592" s="260"/>
      <c r="D592" s="262"/>
      <c r="E592" s="291"/>
      <c r="F592" s="293"/>
      <c r="G592" s="288"/>
      <c r="H592" s="265"/>
      <c r="I592" s="266"/>
      <c r="K592" s="268"/>
      <c r="L592" s="278"/>
      <c r="M592" s="274"/>
      <c r="N592" s="258"/>
      <c r="O592" s="258"/>
      <c r="P592" s="258"/>
      <c r="Q592" s="276"/>
      <c r="R592" s="272"/>
      <c r="S592" s="272"/>
      <c r="T592" s="272"/>
      <c r="U592" s="272"/>
      <c r="V592" s="272"/>
      <c r="W592" s="272"/>
      <c r="X592" s="272"/>
      <c r="Y592" s="272"/>
      <c r="Z592" s="258"/>
      <c r="AA592" s="258"/>
      <c r="AB592" s="258"/>
      <c r="AC592" s="258"/>
      <c r="AD592" s="258"/>
      <c r="AE592" s="258"/>
      <c r="AF592" s="258"/>
      <c r="AG592" s="258"/>
      <c r="AH592" s="270"/>
      <c r="AI592" s="270"/>
      <c r="AQ592" s="259"/>
      <c r="AR592" s="259"/>
      <c r="AS592" s="259"/>
      <c r="AT592" s="259"/>
      <c r="AU592" s="259"/>
      <c r="AV592" s="259"/>
      <c r="AW592" s="259"/>
    </row>
    <row r="593" spans="2:49" ht="15" customHeight="1" x14ac:dyDescent="0.25">
      <c r="B593" s="260"/>
      <c r="C593" s="290"/>
      <c r="D593" s="262"/>
      <c r="E593" s="291"/>
      <c r="F593" s="262"/>
      <c r="G593" s="289"/>
      <c r="H593" s="243"/>
      <c r="I593" s="266"/>
      <c r="K593" s="268"/>
      <c r="L593" s="278"/>
      <c r="M593" s="274"/>
      <c r="N593" s="258"/>
      <c r="O593" s="258"/>
      <c r="P593" s="258"/>
      <c r="Q593" s="276"/>
      <c r="R593" s="272"/>
      <c r="S593" s="272"/>
      <c r="T593" s="272"/>
      <c r="U593" s="272"/>
      <c r="V593" s="272"/>
      <c r="W593" s="272"/>
      <c r="X593" s="272"/>
      <c r="Y593" s="272"/>
      <c r="Z593" s="258"/>
      <c r="AA593" s="258"/>
      <c r="AB593" s="258"/>
      <c r="AC593" s="258"/>
      <c r="AD593" s="258"/>
      <c r="AE593" s="258"/>
      <c r="AF593" s="258"/>
      <c r="AG593" s="258"/>
      <c r="AH593" s="258"/>
      <c r="AQ593" s="259"/>
      <c r="AR593" s="259"/>
      <c r="AS593" s="259"/>
      <c r="AT593" s="259"/>
      <c r="AU593" s="259"/>
      <c r="AV593" s="259"/>
      <c r="AW593" s="259"/>
    </row>
    <row r="594" spans="2:49" ht="15" customHeight="1" x14ac:dyDescent="0.25">
      <c r="B594" s="260"/>
      <c r="D594" s="262"/>
      <c r="G594" s="289"/>
      <c r="H594" s="265"/>
      <c r="I594" s="266"/>
      <c r="K594" s="268"/>
      <c r="L594" s="278"/>
      <c r="M594" s="274"/>
      <c r="N594" s="258"/>
      <c r="O594" s="258"/>
      <c r="P594" s="258"/>
      <c r="Q594" s="276"/>
      <c r="R594" s="272"/>
      <c r="S594" s="272"/>
      <c r="T594" s="272"/>
      <c r="U594" s="272"/>
      <c r="V594" s="272"/>
      <c r="W594" s="272"/>
      <c r="X594" s="272"/>
      <c r="Y594" s="272"/>
      <c r="Z594" s="258"/>
      <c r="AA594" s="258"/>
      <c r="AB594" s="258"/>
      <c r="AC594" s="258"/>
      <c r="AD594" s="258"/>
      <c r="AE594" s="258"/>
      <c r="AF594" s="258"/>
      <c r="AG594" s="258"/>
      <c r="AH594" s="258"/>
      <c r="AQ594" s="259"/>
      <c r="AR594" s="259"/>
      <c r="AS594" s="259"/>
      <c r="AT594" s="259"/>
      <c r="AU594" s="259"/>
      <c r="AV594" s="259"/>
      <c r="AW594" s="259"/>
    </row>
    <row r="595" spans="2:49" ht="15" customHeight="1" x14ac:dyDescent="0.25">
      <c r="B595" s="260"/>
      <c r="D595" s="262"/>
      <c r="G595" s="289"/>
      <c r="H595" s="265"/>
      <c r="I595" s="266"/>
      <c r="K595" s="268"/>
      <c r="L595" s="278"/>
      <c r="M595" s="274"/>
      <c r="N595" s="258"/>
      <c r="O595" s="258"/>
      <c r="P595" s="258"/>
      <c r="Q595" s="276"/>
      <c r="R595" s="272"/>
      <c r="S595" s="272"/>
      <c r="T595" s="272"/>
      <c r="U595" s="272"/>
      <c r="V595" s="272"/>
      <c r="W595" s="272"/>
      <c r="X595" s="272"/>
      <c r="Y595" s="272"/>
      <c r="Z595" s="258"/>
      <c r="AA595" s="258"/>
      <c r="AB595" s="258"/>
      <c r="AC595" s="258"/>
      <c r="AD595" s="258"/>
      <c r="AE595" s="258"/>
      <c r="AF595" s="258"/>
      <c r="AG595" s="258"/>
      <c r="AH595" s="258"/>
      <c r="AQ595" s="259"/>
      <c r="AR595" s="259"/>
      <c r="AS595" s="259"/>
      <c r="AT595" s="259"/>
      <c r="AU595" s="259"/>
      <c r="AV595" s="259"/>
      <c r="AW595" s="259"/>
    </row>
    <row r="596" spans="2:49" ht="15" customHeight="1" x14ac:dyDescent="0.25">
      <c r="B596" s="260"/>
      <c r="D596" s="262"/>
      <c r="G596" s="289"/>
      <c r="H596" s="265"/>
      <c r="I596" s="266"/>
      <c r="K596" s="268"/>
      <c r="L596" s="278"/>
      <c r="M596" s="274"/>
      <c r="N596" s="258"/>
      <c r="O596" s="258"/>
      <c r="P596" s="258"/>
      <c r="Q596" s="276"/>
      <c r="R596" s="272"/>
      <c r="S596" s="272"/>
      <c r="T596" s="272"/>
      <c r="U596" s="272"/>
      <c r="V596" s="272"/>
      <c r="W596" s="272"/>
      <c r="X596" s="272"/>
      <c r="Y596" s="272"/>
      <c r="Z596" s="258"/>
      <c r="AA596" s="258"/>
      <c r="AB596" s="258"/>
      <c r="AC596" s="258"/>
      <c r="AD596" s="258"/>
      <c r="AE596" s="258"/>
      <c r="AF596" s="258"/>
      <c r="AG596" s="258"/>
      <c r="AH596" s="258"/>
      <c r="AQ596" s="259"/>
      <c r="AR596" s="259"/>
      <c r="AS596" s="259"/>
      <c r="AT596" s="259"/>
      <c r="AU596" s="259"/>
      <c r="AV596" s="259"/>
      <c r="AW596" s="259"/>
    </row>
    <row r="597" spans="2:49" ht="15" customHeight="1" x14ac:dyDescent="0.25">
      <c r="B597" s="260"/>
      <c r="D597" s="262"/>
      <c r="G597" s="289"/>
      <c r="H597" s="265"/>
      <c r="I597" s="266"/>
      <c r="K597" s="268"/>
      <c r="L597" s="278"/>
      <c r="M597" s="274"/>
      <c r="N597" s="258"/>
      <c r="O597" s="258"/>
      <c r="P597" s="258"/>
      <c r="Q597" s="276"/>
      <c r="W597" s="272"/>
      <c r="X597" s="272"/>
      <c r="Y597" s="272"/>
      <c r="Z597" s="258"/>
      <c r="AA597" s="258"/>
      <c r="AB597" s="258"/>
      <c r="AC597" s="258"/>
      <c r="AD597" s="258"/>
      <c r="AE597" s="258"/>
      <c r="AF597" s="258"/>
      <c r="AG597" s="258"/>
      <c r="AH597" s="258"/>
      <c r="AQ597" s="259"/>
      <c r="AR597" s="259"/>
      <c r="AS597" s="259"/>
      <c r="AT597" s="259"/>
      <c r="AU597" s="259"/>
      <c r="AV597" s="259"/>
      <c r="AW597" s="259"/>
    </row>
    <row r="598" spans="2:49" ht="15" customHeight="1" x14ac:dyDescent="0.25">
      <c r="B598" s="260"/>
      <c r="D598" s="262"/>
      <c r="G598" s="289"/>
      <c r="H598" s="265"/>
      <c r="I598" s="266"/>
      <c r="K598" s="268"/>
      <c r="L598" s="278"/>
      <c r="M598" s="274"/>
      <c r="N598" s="258"/>
      <c r="O598" s="258"/>
      <c r="P598" s="258"/>
      <c r="Q598" s="276"/>
      <c r="W598" s="272"/>
      <c r="X598" s="272"/>
      <c r="Y598" s="272"/>
      <c r="Z598" s="258"/>
      <c r="AA598" s="258"/>
      <c r="AB598" s="258"/>
      <c r="AC598" s="258"/>
      <c r="AD598" s="258"/>
      <c r="AE598" s="258"/>
      <c r="AF598" s="258"/>
      <c r="AG598" s="258"/>
      <c r="AH598" s="258"/>
      <c r="AQ598" s="259"/>
      <c r="AR598" s="259"/>
      <c r="AS598" s="259"/>
      <c r="AT598" s="259"/>
      <c r="AU598" s="259"/>
      <c r="AV598" s="259"/>
      <c r="AW598" s="259"/>
    </row>
    <row r="599" spans="2:49" ht="15" customHeight="1" x14ac:dyDescent="0.25">
      <c r="B599" s="260"/>
      <c r="D599" s="262"/>
      <c r="G599" s="289"/>
      <c r="H599" s="265"/>
      <c r="I599" s="266"/>
      <c r="K599" s="268"/>
      <c r="L599" s="278"/>
      <c r="M599" s="274"/>
      <c r="N599" s="258"/>
      <c r="O599" s="258"/>
      <c r="P599" s="258"/>
      <c r="Q599" s="276"/>
      <c r="W599" s="272"/>
      <c r="X599" s="272"/>
      <c r="Y599" s="272"/>
      <c r="Z599" s="258"/>
      <c r="AA599" s="258"/>
      <c r="AB599" s="258"/>
      <c r="AC599" s="258"/>
      <c r="AD599" s="258"/>
      <c r="AE599" s="258"/>
      <c r="AF599" s="258"/>
      <c r="AG599" s="258"/>
      <c r="AH599" s="258"/>
      <c r="AQ599" s="259"/>
      <c r="AR599" s="259"/>
      <c r="AS599" s="259"/>
      <c r="AT599" s="259"/>
      <c r="AU599" s="259"/>
      <c r="AV599" s="259"/>
      <c r="AW599" s="259"/>
    </row>
    <row r="600" spans="2:49" ht="15" customHeight="1" x14ac:dyDescent="0.25">
      <c r="B600" s="260"/>
      <c r="D600" s="262"/>
      <c r="G600" s="288"/>
      <c r="H600" s="265"/>
      <c r="I600" s="266"/>
      <c r="K600" s="268"/>
      <c r="L600" s="273"/>
      <c r="M600" s="274"/>
      <c r="N600" s="270"/>
      <c r="O600" s="270"/>
      <c r="P600" s="270"/>
      <c r="Q600" s="275"/>
      <c r="R600" s="272"/>
      <c r="S600" s="272"/>
      <c r="T600" s="272"/>
      <c r="U600" s="272"/>
      <c r="V600" s="272"/>
      <c r="W600" s="272"/>
      <c r="X600" s="272"/>
      <c r="Y600" s="272"/>
      <c r="Z600" s="258"/>
      <c r="AA600" s="258"/>
      <c r="AB600" s="258"/>
      <c r="AC600" s="258"/>
      <c r="AD600" s="258"/>
      <c r="AE600" s="258"/>
      <c r="AF600" s="258"/>
      <c r="AG600" s="258"/>
      <c r="AH600" s="258"/>
      <c r="AI600" s="258"/>
      <c r="AQ600" s="259"/>
      <c r="AR600" s="259"/>
      <c r="AS600" s="259"/>
      <c r="AT600" s="259"/>
      <c r="AU600" s="259"/>
      <c r="AV600" s="259"/>
      <c r="AW600" s="259"/>
    </row>
    <row r="601" spans="2:49" ht="15" customHeight="1" x14ac:dyDescent="0.25">
      <c r="B601" s="260"/>
      <c r="D601" s="262"/>
      <c r="G601" s="288"/>
      <c r="H601" s="265"/>
      <c r="I601" s="266"/>
      <c r="K601" s="268"/>
      <c r="L601" s="273"/>
      <c r="M601" s="274"/>
      <c r="N601" s="258"/>
      <c r="O601" s="258"/>
      <c r="P601" s="258"/>
      <c r="Q601" s="276"/>
      <c r="R601" s="272"/>
      <c r="S601" s="272"/>
      <c r="T601" s="272"/>
      <c r="U601" s="272"/>
      <c r="V601" s="272"/>
      <c r="W601" s="272"/>
      <c r="X601" s="272"/>
      <c r="Y601" s="272"/>
      <c r="Z601" s="258"/>
      <c r="AA601" s="258"/>
      <c r="AB601" s="258"/>
      <c r="AC601" s="258"/>
      <c r="AD601" s="258"/>
      <c r="AE601" s="258"/>
      <c r="AF601" s="258"/>
      <c r="AG601" s="258"/>
      <c r="AH601" s="258"/>
      <c r="AI601" s="258"/>
      <c r="AQ601" s="259"/>
      <c r="AR601" s="259"/>
      <c r="AS601" s="259"/>
      <c r="AT601" s="259"/>
      <c r="AU601" s="259"/>
      <c r="AV601" s="259"/>
      <c r="AW601" s="259"/>
    </row>
    <row r="602" spans="2:49" ht="15" customHeight="1" x14ac:dyDescent="0.25">
      <c r="B602" s="260"/>
      <c r="D602" s="262"/>
      <c r="G602" s="288"/>
      <c r="H602" s="265"/>
      <c r="I602" s="266"/>
      <c r="K602" s="268"/>
      <c r="L602" s="273"/>
      <c r="M602" s="274"/>
      <c r="N602" s="258"/>
      <c r="O602" s="258"/>
      <c r="P602" s="258"/>
      <c r="Q602" s="276"/>
      <c r="R602" s="272"/>
      <c r="S602" s="272"/>
      <c r="T602" s="272"/>
      <c r="U602" s="272"/>
      <c r="V602" s="272"/>
      <c r="W602" s="272"/>
      <c r="X602" s="272"/>
      <c r="Y602" s="272"/>
      <c r="Z602" s="258"/>
      <c r="AA602" s="258"/>
      <c r="AB602" s="258"/>
      <c r="AC602" s="258"/>
      <c r="AD602" s="258"/>
      <c r="AE602" s="258"/>
      <c r="AF602" s="258"/>
      <c r="AG602" s="258"/>
      <c r="AH602" s="270"/>
      <c r="AI602" s="270"/>
      <c r="AQ602" s="259"/>
      <c r="AR602" s="259"/>
      <c r="AS602" s="259"/>
      <c r="AT602" s="259"/>
      <c r="AU602" s="259"/>
      <c r="AV602" s="259"/>
      <c r="AW602" s="259"/>
    </row>
    <row r="603" spans="2:49" ht="15" customHeight="1" x14ac:dyDescent="0.25">
      <c r="B603" s="260"/>
      <c r="D603" s="262"/>
      <c r="G603" s="288"/>
      <c r="H603" s="265"/>
      <c r="I603" s="266"/>
      <c r="K603" s="268"/>
      <c r="L603" s="273"/>
      <c r="M603" s="277"/>
      <c r="N603" s="258"/>
      <c r="O603" s="258"/>
      <c r="P603" s="258"/>
      <c r="Q603" s="276"/>
      <c r="R603" s="272"/>
      <c r="S603" s="272"/>
      <c r="T603" s="272"/>
      <c r="U603" s="272"/>
      <c r="V603" s="272"/>
      <c r="W603" s="272"/>
      <c r="X603" s="272"/>
      <c r="Y603" s="272"/>
      <c r="Z603" s="258"/>
      <c r="AA603" s="258"/>
      <c r="AB603" s="258"/>
      <c r="AC603" s="258"/>
      <c r="AD603" s="258"/>
      <c r="AE603" s="258"/>
      <c r="AF603" s="258"/>
      <c r="AG603" s="258"/>
      <c r="AH603" s="270"/>
      <c r="AI603" s="270"/>
      <c r="AQ603" s="259"/>
      <c r="AR603" s="259"/>
      <c r="AS603" s="259"/>
      <c r="AT603" s="259"/>
      <c r="AU603" s="259"/>
      <c r="AV603" s="259"/>
      <c r="AW603" s="259"/>
    </row>
    <row r="604" spans="2:49" ht="15" customHeight="1" x14ac:dyDescent="0.25">
      <c r="B604" s="260"/>
      <c r="D604" s="262"/>
      <c r="E604" s="291"/>
      <c r="F604" s="293"/>
      <c r="G604" s="288"/>
      <c r="H604" s="265"/>
      <c r="I604" s="266"/>
      <c r="K604" s="268"/>
      <c r="L604" s="278"/>
      <c r="M604" s="274"/>
      <c r="N604" s="258"/>
      <c r="O604" s="258"/>
      <c r="P604" s="258"/>
      <c r="Q604" s="276"/>
      <c r="R604" s="272"/>
      <c r="S604" s="272"/>
      <c r="T604" s="272"/>
      <c r="U604" s="272"/>
      <c r="V604" s="272"/>
      <c r="W604" s="272"/>
      <c r="X604" s="272"/>
      <c r="Y604" s="272"/>
      <c r="Z604" s="258"/>
      <c r="AA604" s="258"/>
      <c r="AB604" s="258"/>
      <c r="AC604" s="258"/>
      <c r="AD604" s="258"/>
      <c r="AE604" s="258"/>
      <c r="AF604" s="258"/>
      <c r="AG604" s="258"/>
      <c r="AH604" s="270"/>
      <c r="AI604" s="270"/>
      <c r="AQ604" s="259"/>
      <c r="AR604" s="259"/>
      <c r="AS604" s="259"/>
      <c r="AT604" s="259"/>
      <c r="AU604" s="259"/>
      <c r="AV604" s="259"/>
      <c r="AW604" s="259"/>
    </row>
    <row r="605" spans="2:49" ht="15" customHeight="1" x14ac:dyDescent="0.25">
      <c r="B605" s="260"/>
      <c r="C605" s="290"/>
      <c r="D605" s="262"/>
      <c r="E605" s="291"/>
      <c r="F605" s="262"/>
      <c r="G605" s="289"/>
      <c r="H605" s="243"/>
      <c r="I605" s="266"/>
      <c r="K605" s="268"/>
      <c r="L605" s="278"/>
      <c r="M605" s="274"/>
      <c r="N605" s="258"/>
      <c r="O605" s="258"/>
      <c r="P605" s="258"/>
      <c r="Q605" s="276"/>
      <c r="R605" s="272"/>
      <c r="S605" s="272"/>
      <c r="T605" s="272"/>
      <c r="U605" s="272"/>
      <c r="V605" s="272"/>
      <c r="W605" s="272"/>
      <c r="X605" s="272"/>
      <c r="Y605" s="272"/>
      <c r="Z605" s="258"/>
      <c r="AA605" s="258"/>
      <c r="AB605" s="258"/>
      <c r="AC605" s="258"/>
      <c r="AD605" s="258"/>
      <c r="AE605" s="258"/>
      <c r="AF605" s="258"/>
      <c r="AG605" s="258"/>
      <c r="AH605" s="258"/>
      <c r="AQ605" s="259"/>
      <c r="AR605" s="259"/>
      <c r="AS605" s="259"/>
      <c r="AT605" s="259"/>
      <c r="AU605" s="259"/>
      <c r="AV605" s="259"/>
      <c r="AW605" s="259"/>
    </row>
    <row r="606" spans="2:49" ht="15" customHeight="1" x14ac:dyDescent="0.25">
      <c r="B606" s="260"/>
      <c r="D606" s="262"/>
      <c r="G606" s="289"/>
      <c r="H606" s="265"/>
      <c r="I606" s="266"/>
      <c r="K606" s="268"/>
      <c r="L606" s="278"/>
      <c r="M606" s="274"/>
      <c r="N606" s="258"/>
      <c r="O606" s="258"/>
      <c r="P606" s="258"/>
      <c r="Q606" s="276"/>
      <c r="R606" s="272"/>
      <c r="S606" s="272"/>
      <c r="T606" s="272"/>
      <c r="U606" s="272"/>
      <c r="V606" s="272"/>
      <c r="W606" s="272"/>
      <c r="X606" s="272"/>
      <c r="Y606" s="272"/>
      <c r="Z606" s="258"/>
      <c r="AA606" s="258"/>
      <c r="AB606" s="258"/>
      <c r="AC606" s="258"/>
      <c r="AD606" s="258"/>
      <c r="AE606" s="258"/>
      <c r="AF606" s="258"/>
      <c r="AG606" s="258"/>
      <c r="AH606" s="258"/>
      <c r="AQ606" s="259"/>
      <c r="AR606" s="259"/>
      <c r="AS606" s="259"/>
      <c r="AT606" s="259"/>
      <c r="AU606" s="259"/>
      <c r="AV606" s="259"/>
      <c r="AW606" s="259"/>
    </row>
    <row r="607" spans="2:49" ht="15" customHeight="1" x14ac:dyDescent="0.25">
      <c r="B607" s="260"/>
      <c r="D607" s="262"/>
      <c r="G607" s="289"/>
      <c r="H607" s="265"/>
      <c r="I607" s="266"/>
      <c r="K607" s="268"/>
      <c r="L607" s="278"/>
      <c r="M607" s="274"/>
      <c r="N607" s="258"/>
      <c r="O607" s="258"/>
      <c r="P607" s="258"/>
      <c r="Q607" s="276"/>
      <c r="R607" s="272"/>
      <c r="S607" s="272"/>
      <c r="T607" s="272"/>
      <c r="U607" s="272"/>
      <c r="V607" s="272"/>
      <c r="W607" s="272"/>
      <c r="X607" s="272"/>
      <c r="Y607" s="272"/>
      <c r="Z607" s="258"/>
      <c r="AA607" s="258"/>
      <c r="AB607" s="258"/>
      <c r="AC607" s="258"/>
      <c r="AD607" s="258"/>
      <c r="AE607" s="258"/>
      <c r="AF607" s="258"/>
      <c r="AG607" s="258"/>
      <c r="AH607" s="258"/>
      <c r="AQ607" s="259"/>
      <c r="AR607" s="259"/>
      <c r="AS607" s="259"/>
      <c r="AT607" s="259"/>
      <c r="AU607" s="259"/>
      <c r="AV607" s="259"/>
      <c r="AW607" s="259"/>
    </row>
    <row r="608" spans="2:49" ht="15" customHeight="1" x14ac:dyDescent="0.25">
      <c r="B608" s="260"/>
      <c r="D608" s="262"/>
      <c r="G608" s="289"/>
      <c r="H608" s="265"/>
      <c r="I608" s="266"/>
      <c r="K608" s="268"/>
      <c r="L608" s="278"/>
      <c r="M608" s="274"/>
      <c r="N608" s="258"/>
      <c r="O608" s="258"/>
      <c r="P608" s="258"/>
      <c r="Q608" s="276"/>
      <c r="R608" s="272"/>
      <c r="S608" s="272"/>
      <c r="T608" s="272"/>
      <c r="U608" s="272"/>
      <c r="V608" s="272"/>
      <c r="W608" s="272"/>
      <c r="X608" s="272"/>
      <c r="Y608" s="272"/>
      <c r="Z608" s="258"/>
      <c r="AA608" s="258"/>
      <c r="AB608" s="258"/>
      <c r="AC608" s="258"/>
      <c r="AD608" s="258"/>
      <c r="AE608" s="258"/>
      <c r="AF608" s="258"/>
      <c r="AG608" s="258"/>
      <c r="AH608" s="258"/>
      <c r="AQ608" s="259"/>
      <c r="AR608" s="259"/>
      <c r="AS608" s="259"/>
      <c r="AT608" s="259"/>
      <c r="AU608" s="259"/>
      <c r="AV608" s="259"/>
      <c r="AW608" s="259"/>
    </row>
    <row r="609" spans="2:49" ht="15" customHeight="1" x14ac:dyDescent="0.25">
      <c r="B609" s="260"/>
      <c r="D609" s="262"/>
      <c r="G609" s="289"/>
      <c r="H609" s="265"/>
      <c r="I609" s="266"/>
      <c r="K609" s="268"/>
      <c r="L609" s="278"/>
      <c r="M609" s="274"/>
      <c r="N609" s="258"/>
      <c r="O609" s="258"/>
      <c r="P609" s="258"/>
      <c r="Q609" s="276"/>
      <c r="W609" s="272"/>
      <c r="X609" s="272"/>
      <c r="Y609" s="272"/>
      <c r="Z609" s="258"/>
      <c r="AA609" s="258"/>
      <c r="AB609" s="258"/>
      <c r="AC609" s="258"/>
      <c r="AD609" s="258"/>
      <c r="AE609" s="258"/>
      <c r="AF609" s="258"/>
      <c r="AG609" s="258"/>
      <c r="AH609" s="258"/>
      <c r="AQ609" s="259"/>
      <c r="AR609" s="259"/>
      <c r="AS609" s="259"/>
      <c r="AT609" s="259"/>
      <c r="AU609" s="259"/>
      <c r="AV609" s="259"/>
      <c r="AW609" s="259"/>
    </row>
    <row r="610" spans="2:49" ht="15" customHeight="1" x14ac:dyDescent="0.25">
      <c r="B610" s="260"/>
      <c r="D610" s="262"/>
      <c r="G610" s="289"/>
      <c r="H610" s="265"/>
      <c r="I610" s="266"/>
      <c r="K610" s="268"/>
      <c r="L610" s="278"/>
      <c r="M610" s="274"/>
      <c r="N610" s="258"/>
      <c r="O610" s="258"/>
      <c r="P610" s="258"/>
      <c r="Q610" s="276"/>
      <c r="W610" s="272"/>
      <c r="X610" s="272"/>
      <c r="Y610" s="272"/>
      <c r="Z610" s="258"/>
      <c r="AA610" s="258"/>
      <c r="AB610" s="258"/>
      <c r="AC610" s="258"/>
      <c r="AD610" s="258"/>
      <c r="AE610" s="258"/>
      <c r="AF610" s="258"/>
      <c r="AG610" s="258"/>
      <c r="AH610" s="258"/>
      <c r="AQ610" s="259"/>
      <c r="AR610" s="259"/>
      <c r="AS610" s="259"/>
      <c r="AT610" s="259"/>
      <c r="AU610" s="259"/>
      <c r="AV610" s="259"/>
      <c r="AW610" s="259"/>
    </row>
    <row r="611" spans="2:49" ht="15" customHeight="1" x14ac:dyDescent="0.25">
      <c r="B611" s="260"/>
      <c r="D611" s="262"/>
      <c r="G611" s="289"/>
      <c r="H611" s="265"/>
      <c r="I611" s="266"/>
      <c r="K611" s="268"/>
      <c r="L611" s="278"/>
      <c r="M611" s="274"/>
      <c r="N611" s="258"/>
      <c r="O611" s="258"/>
      <c r="P611" s="258"/>
      <c r="Q611" s="276"/>
      <c r="W611" s="272"/>
      <c r="X611" s="272"/>
      <c r="Y611" s="272"/>
      <c r="Z611" s="258"/>
      <c r="AA611" s="258"/>
      <c r="AB611" s="258"/>
      <c r="AC611" s="258"/>
      <c r="AD611" s="258"/>
      <c r="AE611" s="258"/>
      <c r="AF611" s="258"/>
      <c r="AG611" s="258"/>
      <c r="AH611" s="258"/>
      <c r="AQ611" s="259"/>
      <c r="AR611" s="259"/>
      <c r="AS611" s="259"/>
      <c r="AT611" s="259"/>
      <c r="AU611" s="259"/>
      <c r="AV611" s="259"/>
      <c r="AW611" s="259"/>
    </row>
    <row r="612" spans="2:49" ht="15" customHeight="1" x14ac:dyDescent="0.25">
      <c r="B612" s="260"/>
      <c r="D612" s="262"/>
      <c r="G612" s="288"/>
      <c r="H612" s="265"/>
      <c r="I612" s="266"/>
      <c r="K612" s="268"/>
      <c r="L612" s="273"/>
      <c r="M612" s="274"/>
      <c r="N612" s="270"/>
      <c r="O612" s="270"/>
      <c r="P612" s="270"/>
      <c r="Q612" s="275"/>
      <c r="R612" s="272"/>
      <c r="S612" s="272"/>
      <c r="T612" s="272"/>
      <c r="U612" s="272"/>
      <c r="V612" s="272"/>
      <c r="W612" s="272"/>
      <c r="X612" s="272"/>
      <c r="Y612" s="272"/>
      <c r="Z612" s="258"/>
      <c r="AA612" s="258"/>
      <c r="AB612" s="258"/>
      <c r="AC612" s="258"/>
      <c r="AD612" s="258"/>
      <c r="AE612" s="258"/>
      <c r="AF612" s="258"/>
      <c r="AG612" s="258"/>
      <c r="AH612" s="258"/>
      <c r="AI612" s="258"/>
      <c r="AQ612" s="259"/>
      <c r="AR612" s="259"/>
      <c r="AS612" s="259"/>
      <c r="AT612" s="259"/>
      <c r="AU612" s="259"/>
      <c r="AV612" s="259"/>
      <c r="AW612" s="259"/>
    </row>
    <row r="613" spans="2:49" ht="15" customHeight="1" x14ac:dyDescent="0.25">
      <c r="B613" s="260"/>
      <c r="D613" s="262"/>
      <c r="G613" s="288"/>
      <c r="H613" s="265"/>
      <c r="I613" s="266"/>
      <c r="K613" s="268"/>
      <c r="L613" s="273"/>
      <c r="M613" s="274"/>
      <c r="N613" s="258"/>
      <c r="O613" s="258"/>
      <c r="P613" s="258"/>
      <c r="Q613" s="276"/>
      <c r="R613" s="272"/>
      <c r="S613" s="272"/>
      <c r="T613" s="272"/>
      <c r="U613" s="272"/>
      <c r="V613" s="272"/>
      <c r="W613" s="272"/>
      <c r="X613" s="272"/>
      <c r="Y613" s="272"/>
      <c r="Z613" s="258"/>
      <c r="AA613" s="258"/>
      <c r="AB613" s="258"/>
      <c r="AC613" s="258"/>
      <c r="AD613" s="258"/>
      <c r="AE613" s="258"/>
      <c r="AF613" s="258"/>
      <c r="AG613" s="258"/>
      <c r="AH613" s="258"/>
      <c r="AI613" s="258"/>
      <c r="AQ613" s="259"/>
      <c r="AR613" s="259"/>
      <c r="AS613" s="259"/>
      <c r="AT613" s="259"/>
      <c r="AU613" s="259"/>
      <c r="AV613" s="259"/>
      <c r="AW613" s="259"/>
    </row>
    <row r="614" spans="2:49" ht="15" customHeight="1" x14ac:dyDescent="0.25">
      <c r="B614" s="260"/>
      <c r="D614" s="262"/>
      <c r="G614" s="288"/>
      <c r="H614" s="265"/>
      <c r="I614" s="266"/>
      <c r="K614" s="268"/>
      <c r="L614" s="273"/>
      <c r="M614" s="274"/>
      <c r="N614" s="258"/>
      <c r="O614" s="258"/>
      <c r="P614" s="258"/>
      <c r="Q614" s="276"/>
      <c r="R614" s="272"/>
      <c r="S614" s="272"/>
      <c r="T614" s="272"/>
      <c r="U614" s="272"/>
      <c r="V614" s="272"/>
      <c r="W614" s="272"/>
      <c r="X614" s="272"/>
      <c r="Y614" s="272"/>
      <c r="Z614" s="258"/>
      <c r="AA614" s="258"/>
      <c r="AB614" s="258"/>
      <c r="AC614" s="258"/>
      <c r="AD614" s="258"/>
      <c r="AE614" s="258"/>
      <c r="AF614" s="258"/>
      <c r="AG614" s="258"/>
      <c r="AH614" s="270"/>
      <c r="AI614" s="270"/>
      <c r="AQ614" s="259"/>
      <c r="AR614" s="259"/>
      <c r="AS614" s="259"/>
      <c r="AT614" s="259"/>
      <c r="AU614" s="259"/>
      <c r="AV614" s="259"/>
      <c r="AW614" s="259"/>
    </row>
    <row r="615" spans="2:49" ht="15" customHeight="1" x14ac:dyDescent="0.25">
      <c r="B615" s="260"/>
      <c r="D615" s="262"/>
      <c r="G615" s="288"/>
      <c r="H615" s="265"/>
      <c r="I615" s="266"/>
      <c r="K615" s="268"/>
      <c r="L615" s="273"/>
      <c r="M615" s="277"/>
      <c r="N615" s="258"/>
      <c r="O615" s="258"/>
      <c r="P615" s="258"/>
      <c r="Q615" s="276"/>
      <c r="R615" s="272"/>
      <c r="S615" s="272"/>
      <c r="T615" s="272"/>
      <c r="U615" s="272"/>
      <c r="V615" s="272"/>
      <c r="W615" s="272"/>
      <c r="X615" s="272"/>
      <c r="Y615" s="272"/>
      <c r="Z615" s="258"/>
      <c r="AA615" s="258"/>
      <c r="AB615" s="258"/>
      <c r="AC615" s="258"/>
      <c r="AD615" s="258"/>
      <c r="AE615" s="258"/>
      <c r="AF615" s="258"/>
      <c r="AG615" s="258"/>
      <c r="AH615" s="270"/>
      <c r="AI615" s="270"/>
      <c r="AQ615" s="259"/>
      <c r="AR615" s="259"/>
      <c r="AS615" s="259"/>
      <c r="AT615" s="259"/>
      <c r="AU615" s="259"/>
      <c r="AV615" s="259"/>
      <c r="AW615" s="259"/>
    </row>
    <row r="616" spans="2:49" ht="15" customHeight="1" x14ac:dyDescent="0.25">
      <c r="B616" s="260"/>
      <c r="D616" s="262"/>
      <c r="E616" s="291"/>
      <c r="F616" s="293"/>
      <c r="G616" s="288"/>
      <c r="H616" s="265"/>
      <c r="I616" s="266"/>
      <c r="K616" s="268"/>
      <c r="L616" s="278"/>
      <c r="M616" s="274"/>
      <c r="N616" s="258"/>
      <c r="O616" s="258"/>
      <c r="P616" s="258"/>
      <c r="Q616" s="276"/>
      <c r="R616" s="272"/>
      <c r="S616" s="272"/>
      <c r="T616" s="272"/>
      <c r="U616" s="272"/>
      <c r="V616" s="272"/>
      <c r="W616" s="272"/>
      <c r="X616" s="272"/>
      <c r="Y616" s="272"/>
      <c r="Z616" s="258"/>
      <c r="AA616" s="258"/>
      <c r="AB616" s="258"/>
      <c r="AC616" s="258"/>
      <c r="AD616" s="258"/>
      <c r="AE616" s="258"/>
      <c r="AF616" s="258"/>
      <c r="AG616" s="258"/>
      <c r="AH616" s="270"/>
      <c r="AI616" s="270"/>
      <c r="AQ616" s="259"/>
      <c r="AR616" s="259"/>
      <c r="AS616" s="259"/>
      <c r="AT616" s="259"/>
      <c r="AU616" s="259"/>
      <c r="AV616" s="259"/>
      <c r="AW616" s="259"/>
    </row>
    <row r="617" spans="2:49" ht="15" customHeight="1" x14ac:dyDescent="0.25">
      <c r="B617" s="260"/>
      <c r="C617" s="290"/>
      <c r="D617" s="262"/>
      <c r="E617" s="291"/>
      <c r="F617" s="262"/>
      <c r="G617" s="289"/>
      <c r="H617" s="243"/>
      <c r="I617" s="266"/>
      <c r="K617" s="268"/>
      <c r="L617" s="278"/>
      <c r="M617" s="274"/>
      <c r="N617" s="258"/>
      <c r="O617" s="258"/>
      <c r="P617" s="258"/>
      <c r="Q617" s="276"/>
      <c r="R617" s="272"/>
      <c r="S617" s="272"/>
      <c r="T617" s="272"/>
      <c r="U617" s="272"/>
      <c r="V617" s="272"/>
      <c r="W617" s="272"/>
      <c r="X617" s="272"/>
      <c r="Y617" s="272"/>
      <c r="Z617" s="258"/>
      <c r="AA617" s="258"/>
      <c r="AB617" s="258"/>
      <c r="AC617" s="258"/>
      <c r="AD617" s="258"/>
      <c r="AE617" s="258"/>
      <c r="AF617" s="258"/>
      <c r="AG617" s="258"/>
      <c r="AH617" s="258"/>
      <c r="AQ617" s="259"/>
      <c r="AR617" s="259"/>
      <c r="AS617" s="259"/>
      <c r="AT617" s="259"/>
      <c r="AU617" s="259"/>
      <c r="AV617" s="259"/>
      <c r="AW617" s="259"/>
    </row>
    <row r="618" spans="2:49" ht="15" customHeight="1" x14ac:dyDescent="0.25">
      <c r="B618" s="260"/>
      <c r="D618" s="262"/>
      <c r="G618" s="289"/>
      <c r="H618" s="265"/>
      <c r="I618" s="266"/>
      <c r="K618" s="268"/>
      <c r="L618" s="278"/>
      <c r="M618" s="274"/>
      <c r="N618" s="258"/>
      <c r="O618" s="258"/>
      <c r="P618" s="258"/>
      <c r="Q618" s="276"/>
      <c r="R618" s="272"/>
      <c r="S618" s="272"/>
      <c r="T618" s="272"/>
      <c r="U618" s="272"/>
      <c r="V618" s="272"/>
      <c r="W618" s="272"/>
      <c r="X618" s="272"/>
      <c r="Y618" s="272"/>
      <c r="Z618" s="258"/>
      <c r="AA618" s="258"/>
      <c r="AB618" s="258"/>
      <c r="AC618" s="258"/>
      <c r="AD618" s="258"/>
      <c r="AE618" s="258"/>
      <c r="AF618" s="258"/>
      <c r="AG618" s="258"/>
      <c r="AH618" s="258"/>
      <c r="AQ618" s="259"/>
      <c r="AR618" s="259"/>
      <c r="AS618" s="259"/>
      <c r="AT618" s="259"/>
      <c r="AU618" s="259"/>
      <c r="AV618" s="259"/>
      <c r="AW618" s="259"/>
    </row>
    <row r="619" spans="2:49" ht="15" customHeight="1" x14ac:dyDescent="0.25">
      <c r="B619" s="260"/>
      <c r="D619" s="262"/>
      <c r="G619" s="289"/>
      <c r="H619" s="265"/>
      <c r="I619" s="266"/>
      <c r="K619" s="268"/>
      <c r="L619" s="278"/>
      <c r="M619" s="274"/>
      <c r="N619" s="258"/>
      <c r="O619" s="258"/>
      <c r="P619" s="258"/>
      <c r="Q619" s="276"/>
      <c r="R619" s="272"/>
      <c r="S619" s="272"/>
      <c r="T619" s="272"/>
      <c r="U619" s="272"/>
      <c r="V619" s="272"/>
      <c r="W619" s="272"/>
      <c r="X619" s="272"/>
      <c r="Y619" s="272"/>
      <c r="Z619" s="258"/>
      <c r="AA619" s="258"/>
      <c r="AB619" s="258"/>
      <c r="AC619" s="258"/>
      <c r="AD619" s="258"/>
      <c r="AE619" s="258"/>
      <c r="AF619" s="258"/>
      <c r="AG619" s="258"/>
      <c r="AH619" s="258"/>
      <c r="AQ619" s="259"/>
      <c r="AR619" s="259"/>
      <c r="AS619" s="259"/>
      <c r="AT619" s="259"/>
      <c r="AU619" s="259"/>
      <c r="AV619" s="259"/>
      <c r="AW619" s="259"/>
    </row>
    <row r="620" spans="2:49" ht="15" customHeight="1" x14ac:dyDescent="0.25">
      <c r="B620" s="260"/>
      <c r="D620" s="262"/>
      <c r="G620" s="289"/>
      <c r="H620" s="265"/>
      <c r="I620" s="266"/>
      <c r="K620" s="268"/>
      <c r="L620" s="278"/>
      <c r="M620" s="274"/>
      <c r="N620" s="258"/>
      <c r="O620" s="258"/>
      <c r="P620" s="258"/>
      <c r="Q620" s="276"/>
      <c r="R620" s="272"/>
      <c r="S620" s="272"/>
      <c r="T620" s="272"/>
      <c r="U620" s="272"/>
      <c r="V620" s="272"/>
      <c r="W620" s="272"/>
      <c r="X620" s="272"/>
      <c r="Y620" s="272"/>
      <c r="Z620" s="258"/>
      <c r="AA620" s="258"/>
      <c r="AB620" s="258"/>
      <c r="AC620" s="258"/>
      <c r="AD620" s="258"/>
      <c r="AE620" s="258"/>
      <c r="AF620" s="258"/>
      <c r="AG620" s="258"/>
      <c r="AH620" s="258"/>
      <c r="AQ620" s="259"/>
      <c r="AR620" s="259"/>
      <c r="AS620" s="259"/>
      <c r="AT620" s="259"/>
      <c r="AU620" s="259"/>
      <c r="AV620" s="259"/>
      <c r="AW620" s="259"/>
    </row>
    <row r="621" spans="2:49" ht="15" customHeight="1" x14ac:dyDescent="0.25">
      <c r="B621" s="260"/>
      <c r="D621" s="262"/>
      <c r="G621" s="289"/>
      <c r="H621" s="265"/>
      <c r="I621" s="266"/>
      <c r="K621" s="268"/>
      <c r="L621" s="278"/>
      <c r="M621" s="274"/>
      <c r="N621" s="258"/>
      <c r="O621" s="258"/>
      <c r="P621" s="258"/>
      <c r="Q621" s="276"/>
      <c r="W621" s="272"/>
      <c r="X621" s="272"/>
      <c r="Y621" s="272"/>
      <c r="Z621" s="258"/>
      <c r="AA621" s="258"/>
      <c r="AB621" s="258"/>
      <c r="AC621" s="258"/>
      <c r="AD621" s="258"/>
      <c r="AE621" s="258"/>
      <c r="AF621" s="258"/>
      <c r="AG621" s="258"/>
      <c r="AH621" s="258"/>
      <c r="AQ621" s="259"/>
      <c r="AR621" s="259"/>
      <c r="AS621" s="259"/>
      <c r="AT621" s="259"/>
      <c r="AU621" s="259"/>
      <c r="AV621" s="259"/>
      <c r="AW621" s="259"/>
    </row>
    <row r="622" spans="2:49" ht="15" customHeight="1" x14ac:dyDescent="0.25">
      <c r="B622" s="260"/>
      <c r="D622" s="262"/>
      <c r="G622" s="289"/>
      <c r="H622" s="265"/>
      <c r="I622" s="266"/>
      <c r="K622" s="268"/>
      <c r="L622" s="278"/>
      <c r="M622" s="274"/>
      <c r="N622" s="258"/>
      <c r="O622" s="258"/>
      <c r="P622" s="258"/>
      <c r="Q622" s="276"/>
      <c r="W622" s="272"/>
      <c r="X622" s="272"/>
      <c r="Y622" s="272"/>
      <c r="Z622" s="258"/>
      <c r="AA622" s="258"/>
      <c r="AB622" s="258"/>
      <c r="AC622" s="258"/>
      <c r="AD622" s="258"/>
      <c r="AE622" s="258"/>
      <c r="AF622" s="258"/>
      <c r="AG622" s="258"/>
      <c r="AH622" s="258"/>
      <c r="AQ622" s="259"/>
      <c r="AR622" s="259"/>
      <c r="AS622" s="259"/>
      <c r="AT622" s="259"/>
      <c r="AU622" s="259"/>
      <c r="AV622" s="259"/>
      <c r="AW622" s="259"/>
    </row>
    <row r="623" spans="2:49" ht="15" customHeight="1" x14ac:dyDescent="0.25">
      <c r="B623" s="260"/>
      <c r="D623" s="262"/>
      <c r="G623" s="289"/>
      <c r="H623" s="265"/>
      <c r="I623" s="266"/>
      <c r="K623" s="268"/>
      <c r="L623" s="278"/>
      <c r="M623" s="274"/>
      <c r="N623" s="258"/>
      <c r="O623" s="258"/>
      <c r="P623" s="258"/>
      <c r="Q623" s="276"/>
      <c r="W623" s="272"/>
      <c r="X623" s="272"/>
      <c r="Y623" s="272"/>
      <c r="Z623" s="258"/>
      <c r="AA623" s="258"/>
      <c r="AB623" s="258"/>
      <c r="AC623" s="258"/>
      <c r="AD623" s="258"/>
      <c r="AE623" s="258"/>
      <c r="AF623" s="258"/>
      <c r="AG623" s="258"/>
      <c r="AH623" s="258"/>
      <c r="AQ623" s="259"/>
      <c r="AR623" s="259"/>
      <c r="AS623" s="259"/>
      <c r="AT623" s="259"/>
      <c r="AU623" s="259"/>
      <c r="AV623" s="259"/>
      <c r="AW623" s="259"/>
    </row>
    <row r="624" spans="2:49" ht="15" customHeight="1" x14ac:dyDescent="0.25">
      <c r="B624" s="260"/>
      <c r="D624" s="262"/>
      <c r="G624" s="289"/>
      <c r="H624" s="265"/>
      <c r="I624" s="266"/>
      <c r="K624" s="268"/>
      <c r="L624" s="273"/>
      <c r="M624" s="274"/>
      <c r="N624" s="270"/>
      <c r="O624" s="270"/>
      <c r="P624" s="270"/>
      <c r="Q624" s="275"/>
      <c r="R624" s="272"/>
      <c r="S624" s="272"/>
      <c r="T624" s="272"/>
      <c r="U624" s="272"/>
      <c r="V624" s="272"/>
      <c r="W624" s="272"/>
      <c r="X624" s="272"/>
      <c r="Y624" s="272"/>
      <c r="Z624" s="258"/>
      <c r="AA624" s="258"/>
      <c r="AB624" s="258"/>
      <c r="AC624" s="258"/>
      <c r="AD624" s="258"/>
      <c r="AE624" s="258"/>
      <c r="AF624" s="258"/>
      <c r="AG624" s="258"/>
      <c r="AH624" s="258"/>
      <c r="AI624" s="258"/>
      <c r="AQ624" s="259"/>
      <c r="AR624" s="259"/>
      <c r="AS624" s="259"/>
      <c r="AT624" s="259"/>
      <c r="AU624" s="259"/>
      <c r="AV624" s="259"/>
      <c r="AW624" s="259"/>
    </row>
    <row r="625" spans="2:49" ht="15" customHeight="1" x14ac:dyDescent="0.25">
      <c r="B625" s="260"/>
      <c r="D625" s="262"/>
      <c r="G625" s="289"/>
      <c r="H625" s="265"/>
      <c r="I625" s="266"/>
      <c r="K625" s="268"/>
      <c r="L625" s="273"/>
      <c r="M625" s="274"/>
      <c r="N625" s="258"/>
      <c r="O625" s="258"/>
      <c r="P625" s="258"/>
      <c r="Q625" s="276"/>
      <c r="R625" s="272"/>
      <c r="S625" s="272"/>
      <c r="T625" s="272"/>
      <c r="U625" s="272"/>
      <c r="V625" s="272"/>
      <c r="W625" s="272"/>
      <c r="X625" s="272"/>
      <c r="Y625" s="272"/>
      <c r="Z625" s="258"/>
      <c r="AA625" s="258"/>
      <c r="AB625" s="258"/>
      <c r="AC625" s="258"/>
      <c r="AD625" s="258"/>
      <c r="AE625" s="258"/>
      <c r="AF625" s="258"/>
      <c r="AG625" s="258"/>
      <c r="AH625" s="258"/>
      <c r="AI625" s="258"/>
      <c r="AQ625" s="259"/>
      <c r="AR625" s="259"/>
      <c r="AS625" s="259"/>
      <c r="AT625" s="259"/>
      <c r="AU625" s="259"/>
      <c r="AV625" s="259"/>
      <c r="AW625" s="259"/>
    </row>
    <row r="626" spans="2:49" ht="15" customHeight="1" x14ac:dyDescent="0.25">
      <c r="B626" s="260"/>
      <c r="D626" s="262"/>
      <c r="G626" s="288"/>
      <c r="H626" s="265"/>
      <c r="I626" s="266"/>
      <c r="K626" s="268"/>
      <c r="L626" s="273"/>
      <c r="M626" s="274"/>
      <c r="N626" s="258"/>
      <c r="O626" s="258"/>
      <c r="P626" s="258"/>
      <c r="Q626" s="276"/>
      <c r="R626" s="272"/>
      <c r="S626" s="272"/>
      <c r="T626" s="272"/>
      <c r="U626" s="272"/>
      <c r="V626" s="272"/>
      <c r="W626" s="272"/>
      <c r="X626" s="272"/>
      <c r="Y626" s="272"/>
      <c r="Z626" s="258"/>
      <c r="AA626" s="258"/>
      <c r="AB626" s="258"/>
      <c r="AC626" s="258"/>
      <c r="AD626" s="258"/>
      <c r="AE626" s="258"/>
      <c r="AF626" s="258"/>
      <c r="AG626" s="258"/>
      <c r="AH626" s="270"/>
      <c r="AI626" s="270"/>
      <c r="AQ626" s="259"/>
      <c r="AR626" s="259"/>
      <c r="AS626" s="259"/>
      <c r="AT626" s="259"/>
      <c r="AU626" s="259"/>
      <c r="AV626" s="259"/>
      <c r="AW626" s="259"/>
    </row>
    <row r="627" spans="2:49" ht="15" customHeight="1" x14ac:dyDescent="0.25">
      <c r="B627" s="260"/>
      <c r="D627" s="262"/>
      <c r="G627" s="288"/>
      <c r="H627" s="265"/>
      <c r="I627" s="266"/>
      <c r="K627" s="268"/>
      <c r="L627" s="273"/>
      <c r="M627" s="277"/>
      <c r="N627" s="258"/>
      <c r="O627" s="258"/>
      <c r="P627" s="258"/>
      <c r="Q627" s="276"/>
      <c r="R627" s="272"/>
      <c r="S627" s="272"/>
      <c r="T627" s="272"/>
      <c r="U627" s="272"/>
      <c r="V627" s="272"/>
      <c r="W627" s="272"/>
      <c r="X627" s="272"/>
      <c r="Y627" s="272"/>
      <c r="Z627" s="258"/>
      <c r="AA627" s="258"/>
      <c r="AB627" s="258"/>
      <c r="AC627" s="258"/>
      <c r="AD627" s="258"/>
      <c r="AE627" s="258"/>
      <c r="AF627" s="258"/>
      <c r="AG627" s="258"/>
      <c r="AH627" s="270"/>
      <c r="AI627" s="270"/>
      <c r="AQ627" s="259"/>
      <c r="AR627" s="259"/>
      <c r="AS627" s="259"/>
      <c r="AT627" s="259"/>
      <c r="AU627" s="259"/>
      <c r="AV627" s="259"/>
      <c r="AW627" s="259"/>
    </row>
    <row r="628" spans="2:49" ht="15" customHeight="1" x14ac:dyDescent="0.25">
      <c r="B628" s="260"/>
      <c r="D628" s="262"/>
      <c r="G628" s="288"/>
      <c r="H628" s="265"/>
      <c r="I628" s="266"/>
      <c r="K628" s="268"/>
      <c r="L628" s="278"/>
      <c r="M628" s="274"/>
      <c r="N628" s="258"/>
      <c r="O628" s="258"/>
      <c r="P628" s="258"/>
      <c r="Q628" s="276"/>
      <c r="R628" s="272"/>
      <c r="S628" s="272"/>
      <c r="T628" s="272"/>
      <c r="U628" s="272"/>
      <c r="V628" s="272"/>
      <c r="W628" s="272"/>
      <c r="X628" s="272"/>
      <c r="Y628" s="272"/>
      <c r="Z628" s="258"/>
      <c r="AA628" s="258"/>
      <c r="AB628" s="258"/>
      <c r="AC628" s="258"/>
      <c r="AD628" s="258"/>
      <c r="AE628" s="258"/>
      <c r="AF628" s="258"/>
      <c r="AG628" s="258"/>
      <c r="AH628" s="270"/>
      <c r="AI628" s="270"/>
      <c r="AQ628" s="259"/>
      <c r="AR628" s="259"/>
      <c r="AS628" s="259"/>
      <c r="AT628" s="259"/>
      <c r="AU628" s="259"/>
      <c r="AV628" s="259"/>
      <c r="AW628" s="259"/>
    </row>
    <row r="629" spans="2:49" ht="15" customHeight="1" x14ac:dyDescent="0.25">
      <c r="B629" s="260"/>
      <c r="D629" s="262"/>
      <c r="G629" s="288"/>
      <c r="H629" s="265"/>
      <c r="I629" s="266"/>
      <c r="K629" s="268"/>
      <c r="L629" s="278"/>
      <c r="M629" s="274"/>
      <c r="N629" s="258"/>
      <c r="O629" s="258"/>
      <c r="P629" s="258"/>
      <c r="Q629" s="276"/>
      <c r="R629" s="272"/>
      <c r="S629" s="272"/>
      <c r="T629" s="272"/>
      <c r="U629" s="272"/>
      <c r="V629" s="272"/>
      <c r="W629" s="272"/>
      <c r="X629" s="272"/>
      <c r="Y629" s="272"/>
      <c r="Z629" s="258"/>
      <c r="AA629" s="258"/>
      <c r="AB629" s="258"/>
      <c r="AC629" s="258"/>
      <c r="AD629" s="258"/>
      <c r="AE629" s="258"/>
      <c r="AF629" s="258"/>
      <c r="AG629" s="258"/>
      <c r="AH629" s="258"/>
      <c r="AQ629" s="259"/>
      <c r="AR629" s="259"/>
      <c r="AS629" s="259"/>
      <c r="AT629" s="259"/>
      <c r="AU629" s="259"/>
      <c r="AV629" s="259"/>
      <c r="AW629" s="259"/>
    </row>
    <row r="630" spans="2:49" ht="15" customHeight="1" x14ac:dyDescent="0.25">
      <c r="B630" s="260"/>
      <c r="D630" s="262"/>
      <c r="G630" s="288"/>
      <c r="H630" s="265"/>
      <c r="I630" s="266"/>
      <c r="K630" s="268"/>
      <c r="L630" s="278"/>
      <c r="M630" s="274"/>
      <c r="N630" s="258"/>
      <c r="O630" s="258"/>
      <c r="P630" s="258"/>
      <c r="Q630" s="276"/>
      <c r="R630" s="272"/>
      <c r="S630" s="272"/>
      <c r="T630" s="272"/>
      <c r="U630" s="272"/>
      <c r="V630" s="272"/>
      <c r="W630" s="272"/>
      <c r="X630" s="272"/>
      <c r="Y630" s="272"/>
      <c r="Z630" s="258"/>
      <c r="AA630" s="258"/>
      <c r="AB630" s="258"/>
      <c r="AC630" s="258"/>
      <c r="AD630" s="258"/>
      <c r="AE630" s="258"/>
      <c r="AF630" s="258"/>
      <c r="AG630" s="258"/>
      <c r="AH630" s="258"/>
      <c r="AQ630" s="259"/>
      <c r="AR630" s="259"/>
      <c r="AS630" s="259"/>
      <c r="AT630" s="259"/>
      <c r="AU630" s="259"/>
      <c r="AV630" s="259"/>
      <c r="AW630" s="259"/>
    </row>
    <row r="631" spans="2:49" ht="15" customHeight="1" x14ac:dyDescent="0.25">
      <c r="B631" s="260"/>
      <c r="D631" s="262"/>
      <c r="G631" s="288"/>
      <c r="H631" s="265"/>
      <c r="I631" s="266"/>
      <c r="K631" s="268"/>
      <c r="L631" s="278"/>
      <c r="M631" s="274"/>
      <c r="N631" s="258"/>
      <c r="O631" s="258"/>
      <c r="P631" s="258"/>
      <c r="Q631" s="276"/>
      <c r="R631" s="272"/>
      <c r="S631" s="272"/>
      <c r="T631" s="272"/>
      <c r="U631" s="272"/>
      <c r="V631" s="272"/>
      <c r="W631" s="272"/>
      <c r="X631" s="272"/>
      <c r="Y631" s="272"/>
      <c r="Z631" s="258"/>
      <c r="AA631" s="258"/>
      <c r="AB631" s="258"/>
      <c r="AC631" s="258"/>
      <c r="AD631" s="258"/>
      <c r="AE631" s="258"/>
      <c r="AF631" s="258"/>
      <c r="AG631" s="258"/>
      <c r="AH631" s="258"/>
      <c r="AQ631" s="259"/>
      <c r="AR631" s="259"/>
      <c r="AS631" s="259"/>
      <c r="AT631" s="259"/>
      <c r="AU631" s="259"/>
      <c r="AV631" s="259"/>
      <c r="AW631" s="259"/>
    </row>
    <row r="632" spans="2:49" ht="15" customHeight="1" x14ac:dyDescent="0.25">
      <c r="B632" s="260"/>
      <c r="D632" s="262"/>
      <c r="G632" s="288"/>
      <c r="H632" s="265"/>
      <c r="I632" s="266"/>
      <c r="K632" s="268"/>
      <c r="L632" s="278"/>
      <c r="M632" s="274"/>
      <c r="N632" s="258"/>
      <c r="O632" s="258"/>
      <c r="P632" s="258"/>
      <c r="Q632" s="276"/>
      <c r="R632" s="272"/>
      <c r="S632" s="272"/>
      <c r="T632" s="272"/>
      <c r="U632" s="272"/>
      <c r="V632" s="272"/>
      <c r="W632" s="272"/>
      <c r="X632" s="272"/>
      <c r="Y632" s="272"/>
      <c r="Z632" s="258"/>
      <c r="AA632" s="258"/>
      <c r="AB632" s="258"/>
      <c r="AC632" s="258"/>
      <c r="AD632" s="258"/>
      <c r="AE632" s="258"/>
      <c r="AF632" s="258"/>
      <c r="AG632" s="258"/>
      <c r="AH632" s="258"/>
      <c r="AQ632" s="259"/>
      <c r="AR632" s="259"/>
      <c r="AS632" s="259"/>
      <c r="AT632" s="259"/>
      <c r="AU632" s="259"/>
      <c r="AV632" s="259"/>
      <c r="AW632" s="259"/>
    </row>
    <row r="633" spans="2:49" ht="15" customHeight="1" x14ac:dyDescent="0.25">
      <c r="B633" s="260"/>
      <c r="D633" s="262"/>
      <c r="E633" s="291"/>
      <c r="F633" s="293"/>
      <c r="G633" s="288"/>
      <c r="H633" s="265"/>
      <c r="I633" s="266"/>
      <c r="K633" s="268"/>
      <c r="L633" s="278"/>
      <c r="M633" s="274"/>
      <c r="N633" s="258"/>
      <c r="O633" s="258"/>
      <c r="P633" s="258"/>
      <c r="Q633" s="276"/>
      <c r="W633" s="272"/>
      <c r="X633" s="272"/>
      <c r="Y633" s="272"/>
      <c r="Z633" s="258"/>
      <c r="AA633" s="258"/>
      <c r="AB633" s="258"/>
      <c r="AC633" s="258"/>
      <c r="AD633" s="258"/>
      <c r="AE633" s="258"/>
      <c r="AF633" s="258"/>
      <c r="AG633" s="258"/>
      <c r="AH633" s="258"/>
      <c r="AQ633" s="259"/>
      <c r="AR633" s="259"/>
      <c r="AS633" s="259"/>
      <c r="AT633" s="259"/>
      <c r="AU633" s="259"/>
      <c r="AV633" s="259"/>
      <c r="AW633" s="259"/>
    </row>
    <row r="634" spans="2:49" ht="15" customHeight="1" x14ac:dyDescent="0.25">
      <c r="B634" s="260"/>
      <c r="C634" s="290"/>
      <c r="D634" s="262"/>
      <c r="E634" s="291"/>
      <c r="F634" s="262"/>
      <c r="G634" s="289"/>
      <c r="H634" s="243"/>
      <c r="I634" s="266"/>
      <c r="K634" s="268"/>
      <c r="L634" s="278"/>
      <c r="M634" s="274"/>
      <c r="N634" s="258"/>
      <c r="O634" s="258"/>
      <c r="P634" s="258"/>
      <c r="Q634" s="276"/>
      <c r="W634" s="272"/>
      <c r="X634" s="272"/>
      <c r="Y634" s="272"/>
      <c r="Z634" s="258"/>
      <c r="AA634" s="258"/>
      <c r="AB634" s="258"/>
      <c r="AC634" s="258"/>
      <c r="AD634" s="258"/>
      <c r="AE634" s="258"/>
      <c r="AF634" s="258"/>
      <c r="AG634" s="258"/>
      <c r="AH634" s="258"/>
      <c r="AQ634" s="259"/>
      <c r="AR634" s="259"/>
      <c r="AS634" s="259"/>
      <c r="AT634" s="259"/>
      <c r="AU634" s="259"/>
      <c r="AV634" s="259"/>
      <c r="AW634" s="259"/>
    </row>
    <row r="635" spans="2:49" ht="15" customHeight="1" x14ac:dyDescent="0.25">
      <c r="B635" s="260"/>
      <c r="D635" s="262"/>
      <c r="G635" s="288"/>
      <c r="H635" s="265"/>
      <c r="I635" s="266"/>
      <c r="K635" s="268"/>
      <c r="L635" s="278"/>
      <c r="M635" s="274"/>
      <c r="N635" s="258"/>
      <c r="O635" s="258"/>
      <c r="P635" s="258"/>
      <c r="Q635" s="276"/>
      <c r="W635" s="272"/>
      <c r="X635" s="272"/>
      <c r="Y635" s="272"/>
      <c r="Z635" s="258"/>
      <c r="AA635" s="258"/>
      <c r="AB635" s="258"/>
      <c r="AC635" s="258"/>
      <c r="AD635" s="258"/>
      <c r="AE635" s="258"/>
      <c r="AF635" s="258"/>
      <c r="AG635" s="258"/>
      <c r="AH635" s="258"/>
      <c r="AQ635" s="259"/>
      <c r="AR635" s="259"/>
      <c r="AS635" s="259"/>
      <c r="AT635" s="259"/>
      <c r="AU635" s="259"/>
      <c r="AV635" s="259"/>
      <c r="AW635" s="259"/>
    </row>
    <row r="636" spans="2:49" ht="15" customHeight="1" x14ac:dyDescent="0.25">
      <c r="B636" s="260"/>
      <c r="D636" s="262"/>
      <c r="E636" s="291"/>
      <c r="F636" s="293"/>
      <c r="G636" s="288"/>
      <c r="H636" s="265"/>
      <c r="I636" s="266"/>
      <c r="K636" s="268"/>
      <c r="L636" s="273"/>
      <c r="M636" s="274"/>
      <c r="N636" s="270"/>
      <c r="O636" s="270"/>
      <c r="P636" s="270"/>
      <c r="Q636" s="275"/>
      <c r="R636" s="272"/>
      <c r="S636" s="272"/>
      <c r="T636" s="272"/>
      <c r="U636" s="272"/>
      <c r="V636" s="272"/>
      <c r="W636" s="272"/>
      <c r="X636" s="272"/>
      <c r="Y636" s="272"/>
      <c r="Z636" s="258"/>
      <c r="AA636" s="258"/>
      <c r="AB636" s="258"/>
      <c r="AC636" s="258"/>
      <c r="AD636" s="258"/>
      <c r="AE636" s="258"/>
      <c r="AF636" s="258"/>
      <c r="AG636" s="258"/>
      <c r="AH636" s="258"/>
      <c r="AI636" s="258"/>
      <c r="AQ636" s="259"/>
      <c r="AR636" s="259"/>
      <c r="AS636" s="259"/>
      <c r="AT636" s="259"/>
      <c r="AU636" s="259"/>
      <c r="AV636" s="259"/>
      <c r="AW636" s="259"/>
    </row>
    <row r="637" spans="2:49" ht="15" customHeight="1" x14ac:dyDescent="0.25">
      <c r="B637" s="260"/>
      <c r="C637" s="290"/>
      <c r="D637" s="262"/>
      <c r="E637" s="291"/>
      <c r="F637" s="262"/>
      <c r="G637" s="289"/>
      <c r="H637" s="243"/>
      <c r="I637" s="266"/>
      <c r="K637" s="268"/>
      <c r="L637" s="273"/>
      <c r="M637" s="274"/>
      <c r="N637" s="258"/>
      <c r="O637" s="258"/>
      <c r="P637" s="258"/>
      <c r="Q637" s="276"/>
      <c r="R637" s="272"/>
      <c r="S637" s="272"/>
      <c r="T637" s="272"/>
      <c r="U637" s="272"/>
      <c r="V637" s="272"/>
      <c r="W637" s="272"/>
      <c r="X637" s="272"/>
      <c r="Y637" s="272"/>
      <c r="Z637" s="258"/>
      <c r="AA637" s="258"/>
      <c r="AB637" s="258"/>
      <c r="AC637" s="258"/>
      <c r="AD637" s="258"/>
      <c r="AE637" s="258"/>
      <c r="AF637" s="258"/>
      <c r="AG637" s="258"/>
      <c r="AH637" s="258"/>
      <c r="AI637" s="258"/>
      <c r="AQ637" s="259"/>
      <c r="AR637" s="259"/>
      <c r="AS637" s="259"/>
      <c r="AT637" s="259"/>
      <c r="AU637" s="259"/>
      <c r="AV637" s="259"/>
      <c r="AW637" s="259"/>
    </row>
    <row r="638" spans="2:49" ht="15" customHeight="1" x14ac:dyDescent="0.25">
      <c r="B638" s="260"/>
      <c r="D638" s="262"/>
      <c r="G638" s="289"/>
      <c r="H638" s="265"/>
      <c r="I638" s="266"/>
      <c r="K638" s="268"/>
      <c r="L638" s="273"/>
      <c r="M638" s="274"/>
      <c r="N638" s="258"/>
      <c r="O638" s="258"/>
      <c r="P638" s="258"/>
      <c r="Q638" s="276"/>
      <c r="R638" s="272"/>
      <c r="S638" s="272"/>
      <c r="T638" s="272"/>
      <c r="U638" s="272"/>
      <c r="V638" s="272"/>
      <c r="W638" s="272"/>
      <c r="X638" s="272"/>
      <c r="Y638" s="272"/>
      <c r="Z638" s="258"/>
      <c r="AA638" s="258"/>
      <c r="AB638" s="258"/>
      <c r="AC638" s="258"/>
      <c r="AD638" s="258"/>
      <c r="AE638" s="258"/>
      <c r="AF638" s="258"/>
      <c r="AG638" s="258"/>
      <c r="AH638" s="270"/>
      <c r="AI638" s="270"/>
      <c r="AQ638" s="259"/>
      <c r="AR638" s="259"/>
      <c r="AS638" s="259"/>
      <c r="AT638" s="259"/>
      <c r="AU638" s="259"/>
      <c r="AV638" s="259"/>
      <c r="AW638" s="259"/>
    </row>
    <row r="639" spans="2:49" ht="15" customHeight="1" x14ac:dyDescent="0.25">
      <c r="B639" s="260"/>
      <c r="D639" s="262"/>
      <c r="G639" s="289"/>
      <c r="H639" s="265"/>
      <c r="I639" s="266"/>
      <c r="K639" s="268"/>
      <c r="L639" s="273"/>
      <c r="M639" s="277"/>
      <c r="N639" s="258"/>
      <c r="O639" s="258"/>
      <c r="P639" s="258"/>
      <c r="Q639" s="276"/>
      <c r="R639" s="272"/>
      <c r="S639" s="272"/>
      <c r="T639" s="272"/>
      <c r="U639" s="272"/>
      <c r="V639" s="272"/>
      <c r="W639" s="272"/>
      <c r="X639" s="272"/>
      <c r="Y639" s="272"/>
      <c r="Z639" s="258"/>
      <c r="AA639" s="258"/>
      <c r="AB639" s="258"/>
      <c r="AC639" s="258"/>
      <c r="AD639" s="258"/>
      <c r="AE639" s="258"/>
      <c r="AF639" s="258"/>
      <c r="AG639" s="258"/>
      <c r="AH639" s="270"/>
      <c r="AI639" s="270"/>
      <c r="AQ639" s="259"/>
      <c r="AR639" s="259"/>
      <c r="AS639" s="259"/>
      <c r="AT639" s="259"/>
      <c r="AU639" s="259"/>
      <c r="AV639" s="259"/>
      <c r="AW639" s="259"/>
    </row>
    <row r="640" spans="2:49" ht="15" customHeight="1" x14ac:dyDescent="0.25">
      <c r="B640" s="260"/>
      <c r="D640" s="262"/>
      <c r="G640" s="289"/>
      <c r="H640" s="265"/>
      <c r="I640" s="266"/>
      <c r="K640" s="268"/>
      <c r="L640" s="278"/>
      <c r="M640" s="274"/>
      <c r="N640" s="258"/>
      <c r="O640" s="258"/>
      <c r="P640" s="258"/>
      <c r="Q640" s="276"/>
      <c r="R640" s="272"/>
      <c r="S640" s="272"/>
      <c r="T640" s="272"/>
      <c r="U640" s="272"/>
      <c r="V640" s="272"/>
      <c r="W640" s="272"/>
      <c r="X640" s="272"/>
      <c r="Y640" s="272"/>
      <c r="Z640" s="258"/>
      <c r="AA640" s="258"/>
      <c r="AB640" s="258"/>
      <c r="AC640" s="258"/>
      <c r="AD640" s="258"/>
      <c r="AE640" s="258"/>
      <c r="AF640" s="258"/>
      <c r="AG640" s="258"/>
      <c r="AH640" s="270"/>
      <c r="AI640" s="270"/>
      <c r="AQ640" s="259"/>
      <c r="AR640" s="259"/>
      <c r="AS640" s="259"/>
      <c r="AT640" s="259"/>
      <c r="AU640" s="259"/>
      <c r="AV640" s="259"/>
      <c r="AW640" s="259"/>
    </row>
    <row r="641" spans="2:49" ht="15" customHeight="1" x14ac:dyDescent="0.25">
      <c r="B641" s="260"/>
      <c r="D641" s="262"/>
      <c r="G641" s="289"/>
      <c r="H641" s="265"/>
      <c r="I641" s="266"/>
      <c r="K641" s="268"/>
      <c r="L641" s="278"/>
      <c r="M641" s="274"/>
      <c r="N641" s="258"/>
      <c r="O641" s="258"/>
      <c r="P641" s="258"/>
      <c r="Q641" s="276"/>
      <c r="R641" s="272"/>
      <c r="S641" s="272"/>
      <c r="T641" s="272"/>
      <c r="U641" s="272"/>
      <c r="V641" s="272"/>
      <c r="W641" s="272"/>
      <c r="X641" s="272"/>
      <c r="Y641" s="272"/>
      <c r="Z641" s="258"/>
      <c r="AA641" s="258"/>
      <c r="AB641" s="258"/>
      <c r="AC641" s="258"/>
      <c r="AD641" s="258"/>
      <c r="AE641" s="258"/>
      <c r="AF641" s="258"/>
      <c r="AG641" s="258"/>
      <c r="AH641" s="258"/>
      <c r="AQ641" s="259"/>
      <c r="AR641" s="259"/>
      <c r="AS641" s="259"/>
      <c r="AT641" s="259"/>
      <c r="AU641" s="259"/>
      <c r="AV641" s="259"/>
      <c r="AW641" s="259"/>
    </row>
    <row r="642" spans="2:49" ht="15" customHeight="1" x14ac:dyDescent="0.25">
      <c r="B642" s="260"/>
      <c r="D642" s="262"/>
      <c r="G642" s="289"/>
      <c r="H642" s="265"/>
      <c r="I642" s="266"/>
      <c r="K642" s="268"/>
      <c r="L642" s="278"/>
      <c r="M642" s="274"/>
      <c r="N642" s="258"/>
      <c r="O642" s="258"/>
      <c r="P642" s="258"/>
      <c r="Q642" s="276"/>
      <c r="R642" s="272"/>
      <c r="S642" s="272"/>
      <c r="T642" s="272"/>
      <c r="U642" s="272"/>
      <c r="V642" s="272"/>
      <c r="W642" s="272"/>
      <c r="X642" s="272"/>
      <c r="Y642" s="272"/>
      <c r="Z642" s="258"/>
      <c r="AA642" s="258"/>
      <c r="AB642" s="258"/>
      <c r="AC642" s="258"/>
      <c r="AD642" s="258"/>
      <c r="AE642" s="258"/>
      <c r="AF642" s="258"/>
      <c r="AG642" s="258"/>
      <c r="AH642" s="258"/>
      <c r="AQ642" s="259"/>
      <c r="AR642" s="259"/>
      <c r="AS642" s="259"/>
      <c r="AT642" s="259"/>
      <c r="AU642" s="259"/>
      <c r="AV642" s="259"/>
      <c r="AW642" s="259"/>
    </row>
    <row r="643" spans="2:49" ht="15" customHeight="1" x14ac:dyDescent="0.25">
      <c r="B643" s="260"/>
      <c r="D643" s="262"/>
      <c r="G643" s="289"/>
      <c r="H643" s="265"/>
      <c r="I643" s="266"/>
      <c r="K643" s="268"/>
      <c r="L643" s="278"/>
      <c r="M643" s="274"/>
      <c r="N643" s="258"/>
      <c r="O643" s="258"/>
      <c r="P643" s="258"/>
      <c r="Q643" s="276"/>
      <c r="R643" s="272"/>
      <c r="S643" s="272"/>
      <c r="T643" s="272"/>
      <c r="U643" s="272"/>
      <c r="V643" s="272"/>
      <c r="W643" s="272"/>
      <c r="X643" s="272"/>
      <c r="Y643" s="272"/>
      <c r="Z643" s="258"/>
      <c r="AA643" s="258"/>
      <c r="AB643" s="258"/>
      <c r="AC643" s="258"/>
      <c r="AD643" s="258"/>
      <c r="AE643" s="258"/>
      <c r="AF643" s="258"/>
      <c r="AG643" s="258"/>
      <c r="AH643" s="258"/>
      <c r="AQ643" s="259"/>
      <c r="AR643" s="259"/>
      <c r="AS643" s="259"/>
      <c r="AT643" s="259"/>
      <c r="AU643" s="259"/>
      <c r="AV643" s="259"/>
      <c r="AW643" s="259"/>
    </row>
    <row r="644" spans="2:49" ht="15" customHeight="1" x14ac:dyDescent="0.25">
      <c r="B644" s="260"/>
      <c r="D644" s="262"/>
      <c r="G644" s="289"/>
      <c r="H644" s="265"/>
      <c r="I644" s="266"/>
      <c r="K644" s="268"/>
      <c r="L644" s="278"/>
      <c r="M644" s="274"/>
      <c r="N644" s="258"/>
      <c r="O644" s="258"/>
      <c r="P644" s="258"/>
      <c r="Q644" s="276"/>
      <c r="R644" s="272"/>
      <c r="S644" s="272"/>
      <c r="T644" s="272"/>
      <c r="U644" s="272"/>
      <c r="V644" s="272"/>
      <c r="W644" s="272"/>
      <c r="X644" s="272"/>
      <c r="Y644" s="272"/>
      <c r="Z644" s="258"/>
      <c r="AA644" s="258"/>
      <c r="AB644" s="258"/>
      <c r="AC644" s="258"/>
      <c r="AD644" s="258"/>
      <c r="AE644" s="258"/>
      <c r="AF644" s="258"/>
      <c r="AG644" s="258"/>
      <c r="AH644" s="258"/>
      <c r="AQ644" s="259"/>
      <c r="AR644" s="259"/>
      <c r="AS644" s="259"/>
      <c r="AT644" s="259"/>
      <c r="AU644" s="259"/>
      <c r="AV644" s="259"/>
      <c r="AW644" s="259"/>
    </row>
    <row r="645" spans="2:49" ht="15" customHeight="1" x14ac:dyDescent="0.25">
      <c r="B645" s="260"/>
      <c r="D645" s="262"/>
      <c r="G645" s="289"/>
      <c r="H645" s="265"/>
      <c r="I645" s="266"/>
      <c r="K645" s="268"/>
      <c r="L645" s="278"/>
      <c r="M645" s="274"/>
      <c r="N645" s="258"/>
      <c r="O645" s="258"/>
      <c r="P645" s="258"/>
      <c r="Q645" s="276"/>
      <c r="W645" s="272"/>
      <c r="X645" s="272"/>
      <c r="Y645" s="272"/>
      <c r="Z645" s="258"/>
      <c r="AA645" s="258"/>
      <c r="AB645" s="258"/>
      <c r="AC645" s="258"/>
      <c r="AD645" s="258"/>
      <c r="AE645" s="258"/>
      <c r="AF645" s="258"/>
      <c r="AG645" s="258"/>
      <c r="AH645" s="258"/>
      <c r="AQ645" s="259"/>
      <c r="AR645" s="259"/>
      <c r="AS645" s="259"/>
      <c r="AT645" s="259"/>
      <c r="AU645" s="259"/>
      <c r="AV645" s="259"/>
      <c r="AW645" s="259"/>
    </row>
    <row r="646" spans="2:49" ht="15" customHeight="1" x14ac:dyDescent="0.25">
      <c r="B646" s="260"/>
      <c r="D646" s="262"/>
      <c r="G646" s="289"/>
      <c r="H646" s="265"/>
      <c r="I646" s="266"/>
      <c r="K646" s="268"/>
      <c r="L646" s="278"/>
      <c r="M646" s="274"/>
      <c r="N646" s="258"/>
      <c r="O646" s="258"/>
      <c r="P646" s="258"/>
      <c r="Q646" s="276"/>
      <c r="W646" s="272"/>
      <c r="X646" s="272"/>
      <c r="Y646" s="272"/>
      <c r="Z646" s="258"/>
      <c r="AA646" s="258"/>
      <c r="AB646" s="258"/>
      <c r="AC646" s="258"/>
      <c r="AD646" s="258"/>
      <c r="AE646" s="258"/>
      <c r="AF646" s="258"/>
      <c r="AG646" s="258"/>
      <c r="AH646" s="258"/>
      <c r="AQ646" s="259"/>
      <c r="AR646" s="259"/>
      <c r="AS646" s="259"/>
      <c r="AT646" s="259"/>
      <c r="AU646" s="259"/>
      <c r="AV646" s="259"/>
      <c r="AW646" s="259"/>
    </row>
    <row r="647" spans="2:49" ht="15" customHeight="1" x14ac:dyDescent="0.25">
      <c r="B647" s="260"/>
      <c r="D647" s="262"/>
      <c r="G647" s="289"/>
      <c r="H647" s="265"/>
      <c r="I647" s="266"/>
      <c r="K647" s="268"/>
      <c r="L647" s="278"/>
      <c r="M647" s="274"/>
      <c r="N647" s="258"/>
      <c r="O647" s="258"/>
      <c r="P647" s="258"/>
      <c r="Q647" s="276"/>
      <c r="W647" s="272"/>
      <c r="X647" s="272"/>
      <c r="Y647" s="272"/>
      <c r="Z647" s="258"/>
      <c r="AA647" s="258"/>
      <c r="AB647" s="258"/>
      <c r="AC647" s="258"/>
      <c r="AD647" s="258"/>
      <c r="AE647" s="258"/>
      <c r="AF647" s="258"/>
      <c r="AG647" s="258"/>
      <c r="AH647" s="258"/>
      <c r="AQ647" s="259"/>
      <c r="AR647" s="259"/>
      <c r="AS647" s="259"/>
      <c r="AT647" s="259"/>
      <c r="AU647" s="259"/>
      <c r="AV647" s="259"/>
      <c r="AW647" s="259"/>
    </row>
    <row r="648" spans="2:49" ht="15" customHeight="1" x14ac:dyDescent="0.25">
      <c r="B648" s="260"/>
      <c r="D648" s="262"/>
      <c r="G648" s="289"/>
      <c r="H648" s="265"/>
      <c r="I648" s="266"/>
      <c r="K648" s="268"/>
      <c r="L648" s="273"/>
      <c r="M648" s="274"/>
      <c r="N648" s="270"/>
      <c r="O648" s="270"/>
      <c r="P648" s="270"/>
      <c r="Q648" s="275"/>
      <c r="R648" s="272"/>
      <c r="S648" s="272"/>
      <c r="T648" s="272"/>
      <c r="U648" s="272"/>
      <c r="V648" s="272"/>
      <c r="W648" s="272"/>
      <c r="X648" s="272"/>
      <c r="Y648" s="272"/>
      <c r="Z648" s="258"/>
      <c r="AA648" s="258"/>
      <c r="AB648" s="258"/>
      <c r="AC648" s="258"/>
      <c r="AD648" s="258"/>
      <c r="AE648" s="258"/>
      <c r="AF648" s="258"/>
      <c r="AG648" s="258"/>
      <c r="AH648" s="258"/>
      <c r="AI648" s="258"/>
      <c r="AQ648" s="259"/>
      <c r="AR648" s="259"/>
      <c r="AS648" s="259"/>
      <c r="AT648" s="259"/>
      <c r="AU648" s="259"/>
      <c r="AV648" s="259"/>
      <c r="AW648" s="259"/>
    </row>
    <row r="649" spans="2:49" ht="15" customHeight="1" x14ac:dyDescent="0.25">
      <c r="B649" s="260"/>
      <c r="D649" s="262"/>
      <c r="G649" s="288"/>
      <c r="H649" s="265"/>
      <c r="I649" s="266"/>
      <c r="K649" s="268"/>
      <c r="L649" s="273"/>
      <c r="M649" s="274"/>
      <c r="N649" s="258"/>
      <c r="O649" s="258"/>
      <c r="P649" s="258"/>
      <c r="Q649" s="276"/>
      <c r="R649" s="272"/>
      <c r="S649" s="272"/>
      <c r="T649" s="272"/>
      <c r="U649" s="272"/>
      <c r="V649" s="272"/>
      <c r="W649" s="272"/>
      <c r="X649" s="272"/>
      <c r="Y649" s="272"/>
      <c r="Z649" s="258"/>
      <c r="AA649" s="258"/>
      <c r="AB649" s="258"/>
      <c r="AC649" s="258"/>
      <c r="AD649" s="258"/>
      <c r="AE649" s="258"/>
      <c r="AF649" s="258"/>
      <c r="AG649" s="258"/>
      <c r="AH649" s="258"/>
      <c r="AI649" s="258"/>
      <c r="AQ649" s="259"/>
      <c r="AR649" s="259"/>
      <c r="AS649" s="259"/>
      <c r="AT649" s="259"/>
      <c r="AU649" s="259"/>
      <c r="AV649" s="259"/>
      <c r="AW649" s="259"/>
    </row>
    <row r="650" spans="2:49" ht="15" customHeight="1" x14ac:dyDescent="0.25">
      <c r="B650" s="260"/>
      <c r="D650" s="262"/>
      <c r="G650" s="288"/>
      <c r="H650" s="265"/>
      <c r="I650" s="266"/>
      <c r="K650" s="268"/>
      <c r="L650" s="273"/>
      <c r="M650" s="274"/>
      <c r="N650" s="258"/>
      <c r="O650" s="258"/>
      <c r="P650" s="258"/>
      <c r="Q650" s="276"/>
      <c r="R650" s="272"/>
      <c r="S650" s="272"/>
      <c r="T650" s="272"/>
      <c r="U650" s="272"/>
      <c r="V650" s="272"/>
      <c r="W650" s="272"/>
      <c r="X650" s="272"/>
      <c r="Y650" s="272"/>
      <c r="Z650" s="258"/>
      <c r="AA650" s="258"/>
      <c r="AB650" s="258"/>
      <c r="AC650" s="258"/>
      <c r="AD650" s="258"/>
      <c r="AE650" s="258"/>
      <c r="AF650" s="258"/>
      <c r="AG650" s="258"/>
      <c r="AH650" s="270"/>
      <c r="AI650" s="270"/>
      <c r="AQ650" s="259"/>
      <c r="AR650" s="259"/>
      <c r="AS650" s="259"/>
      <c r="AT650" s="259"/>
      <c r="AU650" s="259"/>
      <c r="AV650" s="259"/>
      <c r="AW650" s="259"/>
    </row>
    <row r="651" spans="2:49" ht="15" customHeight="1" x14ac:dyDescent="0.25">
      <c r="B651" s="260"/>
      <c r="D651" s="262"/>
      <c r="G651" s="289"/>
      <c r="H651" s="265"/>
      <c r="I651" s="266"/>
      <c r="K651" s="268"/>
      <c r="L651" s="273"/>
      <c r="M651" s="277"/>
      <c r="N651" s="258"/>
      <c r="O651" s="258"/>
      <c r="P651" s="258"/>
      <c r="Q651" s="276"/>
      <c r="R651" s="272"/>
      <c r="S651" s="272"/>
      <c r="T651" s="272"/>
      <c r="U651" s="272"/>
      <c r="V651" s="272"/>
      <c r="W651" s="272"/>
      <c r="X651" s="272"/>
      <c r="Y651" s="272"/>
      <c r="Z651" s="258"/>
      <c r="AA651" s="258"/>
      <c r="AB651" s="258"/>
      <c r="AC651" s="258"/>
      <c r="AD651" s="258"/>
      <c r="AE651" s="258"/>
      <c r="AF651" s="258"/>
      <c r="AG651" s="258"/>
      <c r="AH651" s="270"/>
      <c r="AI651" s="270"/>
      <c r="AQ651" s="259"/>
      <c r="AR651" s="259"/>
      <c r="AS651" s="259"/>
      <c r="AT651" s="259"/>
      <c r="AU651" s="259"/>
      <c r="AV651" s="259"/>
      <c r="AW651" s="259"/>
    </row>
    <row r="652" spans="2:49" ht="15" customHeight="1" x14ac:dyDescent="0.25">
      <c r="B652" s="260"/>
      <c r="D652" s="262"/>
      <c r="G652" s="288"/>
      <c r="H652" s="265"/>
      <c r="I652" s="266"/>
      <c r="K652" s="268"/>
      <c r="L652" s="278"/>
      <c r="M652" s="274"/>
      <c r="N652" s="258"/>
      <c r="O652" s="258"/>
      <c r="P652" s="258"/>
      <c r="Q652" s="276"/>
      <c r="R652" s="272"/>
      <c r="S652" s="272"/>
      <c r="T652" s="272"/>
      <c r="U652" s="272"/>
      <c r="V652" s="272"/>
      <c r="W652" s="272"/>
      <c r="X652" s="272"/>
      <c r="Y652" s="272"/>
      <c r="Z652" s="258"/>
      <c r="AA652" s="258"/>
      <c r="AB652" s="258"/>
      <c r="AC652" s="258"/>
      <c r="AD652" s="258"/>
      <c r="AE652" s="258"/>
      <c r="AF652" s="258"/>
      <c r="AG652" s="258"/>
      <c r="AH652" s="270"/>
      <c r="AI652" s="270"/>
      <c r="AQ652" s="259"/>
      <c r="AR652" s="259"/>
      <c r="AS652" s="259"/>
      <c r="AT652" s="259"/>
      <c r="AU652" s="259"/>
      <c r="AV652" s="259"/>
      <c r="AW652" s="259"/>
    </row>
    <row r="653" spans="2:49" ht="15" customHeight="1" x14ac:dyDescent="0.25">
      <c r="B653" s="260"/>
      <c r="D653" s="262"/>
      <c r="G653" s="288"/>
      <c r="H653" s="265"/>
      <c r="I653" s="266"/>
      <c r="K653" s="268"/>
      <c r="L653" s="278"/>
      <c r="M653" s="274"/>
      <c r="N653" s="258"/>
      <c r="O653" s="258"/>
      <c r="P653" s="258"/>
      <c r="Q653" s="276"/>
      <c r="R653" s="272"/>
      <c r="S653" s="272"/>
      <c r="T653" s="272"/>
      <c r="U653" s="272"/>
      <c r="V653" s="272"/>
      <c r="W653" s="272"/>
      <c r="X653" s="272"/>
      <c r="Y653" s="272"/>
      <c r="Z653" s="258"/>
      <c r="AA653" s="258"/>
      <c r="AB653" s="258"/>
      <c r="AC653" s="258"/>
      <c r="AD653" s="258"/>
      <c r="AE653" s="258"/>
      <c r="AF653" s="258"/>
      <c r="AG653" s="258"/>
      <c r="AH653" s="258"/>
      <c r="AQ653" s="259"/>
      <c r="AR653" s="259"/>
      <c r="AS653" s="259"/>
      <c r="AT653" s="259"/>
      <c r="AU653" s="259"/>
      <c r="AV653" s="259"/>
      <c r="AW653" s="259"/>
    </row>
    <row r="654" spans="2:49" ht="15" customHeight="1" x14ac:dyDescent="0.25">
      <c r="B654" s="260"/>
      <c r="D654" s="262"/>
      <c r="G654" s="288"/>
      <c r="H654" s="265"/>
      <c r="I654" s="266"/>
      <c r="K654" s="268"/>
      <c r="L654" s="278"/>
      <c r="M654" s="274"/>
      <c r="N654" s="258"/>
      <c r="O654" s="258"/>
      <c r="P654" s="258"/>
      <c r="Q654" s="276"/>
      <c r="R654" s="272"/>
      <c r="S654" s="272"/>
      <c r="T654" s="272"/>
      <c r="U654" s="272"/>
      <c r="V654" s="272"/>
      <c r="W654" s="272"/>
      <c r="X654" s="272"/>
      <c r="Y654" s="272"/>
      <c r="Z654" s="258"/>
      <c r="AA654" s="258"/>
      <c r="AB654" s="258"/>
      <c r="AC654" s="258"/>
      <c r="AD654" s="258"/>
      <c r="AE654" s="258"/>
      <c r="AF654" s="258"/>
      <c r="AG654" s="258"/>
      <c r="AH654" s="258"/>
      <c r="AQ654" s="259"/>
      <c r="AR654" s="259"/>
      <c r="AS654" s="259"/>
      <c r="AT654" s="259"/>
      <c r="AU654" s="259"/>
      <c r="AV654" s="259"/>
      <c r="AW654" s="259"/>
    </row>
    <row r="655" spans="2:49" ht="15" customHeight="1" x14ac:dyDescent="0.25">
      <c r="B655" s="260"/>
      <c r="D655" s="262"/>
      <c r="G655" s="288"/>
      <c r="H655" s="265"/>
      <c r="I655" s="266"/>
      <c r="K655" s="268"/>
      <c r="L655" s="278"/>
      <c r="M655" s="274"/>
      <c r="N655" s="258"/>
      <c r="O655" s="258"/>
      <c r="P655" s="258"/>
      <c r="Q655" s="276"/>
      <c r="R655" s="272"/>
      <c r="S655" s="272"/>
      <c r="T655" s="272"/>
      <c r="U655" s="272"/>
      <c r="V655" s="272"/>
      <c r="W655" s="272"/>
      <c r="X655" s="272"/>
      <c r="Y655" s="272"/>
      <c r="Z655" s="258"/>
      <c r="AA655" s="258"/>
      <c r="AB655" s="258"/>
      <c r="AC655" s="258"/>
      <c r="AD655" s="258"/>
      <c r="AE655" s="258"/>
      <c r="AF655" s="258"/>
      <c r="AG655" s="258"/>
      <c r="AH655" s="258"/>
      <c r="AQ655" s="259"/>
      <c r="AR655" s="259"/>
      <c r="AS655" s="259"/>
      <c r="AT655" s="259"/>
      <c r="AU655" s="259"/>
      <c r="AV655" s="259"/>
      <c r="AW655" s="259"/>
    </row>
    <row r="656" spans="2:49" ht="15" customHeight="1" x14ac:dyDescent="0.25">
      <c r="B656" s="260"/>
      <c r="D656" s="262"/>
      <c r="E656" s="291"/>
      <c r="F656" s="293"/>
      <c r="G656" s="288"/>
      <c r="H656" s="265"/>
      <c r="I656" s="266"/>
      <c r="K656" s="268"/>
      <c r="L656" s="278"/>
      <c r="M656" s="274"/>
      <c r="N656" s="258"/>
      <c r="O656" s="258"/>
      <c r="P656" s="258"/>
      <c r="Q656" s="276"/>
      <c r="R656" s="272"/>
      <c r="S656" s="272"/>
      <c r="T656" s="272"/>
      <c r="U656" s="272"/>
      <c r="V656" s="272"/>
      <c r="W656" s="272"/>
      <c r="X656" s="272"/>
      <c r="Y656" s="272"/>
      <c r="Z656" s="258"/>
      <c r="AA656" s="258"/>
      <c r="AB656" s="258"/>
      <c r="AC656" s="258"/>
      <c r="AD656" s="258"/>
      <c r="AE656" s="258"/>
      <c r="AF656" s="258"/>
      <c r="AG656" s="258"/>
      <c r="AH656" s="258"/>
      <c r="AQ656" s="259"/>
      <c r="AR656" s="259"/>
      <c r="AS656" s="259"/>
      <c r="AT656" s="259"/>
      <c r="AU656" s="259"/>
      <c r="AV656" s="259"/>
      <c r="AW656" s="259"/>
    </row>
    <row r="657" spans="2:49" ht="15" customHeight="1" x14ac:dyDescent="0.25">
      <c r="B657" s="260"/>
      <c r="D657" s="262"/>
      <c r="G657" s="288"/>
      <c r="H657" s="265"/>
      <c r="I657" s="266"/>
      <c r="K657" s="268"/>
      <c r="L657" s="278"/>
      <c r="M657" s="274"/>
      <c r="N657" s="258"/>
      <c r="O657" s="258"/>
      <c r="P657" s="258"/>
      <c r="Q657" s="276"/>
      <c r="W657" s="272"/>
      <c r="X657" s="272"/>
      <c r="Y657" s="272"/>
      <c r="Z657" s="258"/>
      <c r="AA657" s="258"/>
      <c r="AB657" s="258"/>
      <c r="AC657" s="258"/>
      <c r="AD657" s="258"/>
      <c r="AE657" s="258"/>
      <c r="AF657" s="258"/>
      <c r="AG657" s="258"/>
      <c r="AH657" s="258"/>
      <c r="AQ657" s="259"/>
      <c r="AR657" s="259"/>
      <c r="AS657" s="259"/>
      <c r="AT657" s="259"/>
      <c r="AU657" s="259"/>
      <c r="AV657" s="259"/>
      <c r="AW657" s="259"/>
    </row>
    <row r="658" spans="2:49" ht="15" customHeight="1" x14ac:dyDescent="0.25">
      <c r="B658" s="260"/>
      <c r="C658" s="290"/>
      <c r="D658" s="262"/>
      <c r="E658" s="291"/>
      <c r="F658" s="262"/>
      <c r="G658" s="289"/>
      <c r="H658" s="243"/>
      <c r="I658" s="266"/>
      <c r="K658" s="268"/>
      <c r="L658" s="278"/>
      <c r="M658" s="274"/>
      <c r="N658" s="258"/>
      <c r="O658" s="258"/>
      <c r="P658" s="258"/>
      <c r="Q658" s="276"/>
      <c r="W658" s="272"/>
      <c r="X658" s="272"/>
      <c r="Y658" s="272"/>
      <c r="Z658" s="258"/>
      <c r="AA658" s="258"/>
      <c r="AB658" s="258"/>
      <c r="AC658" s="258"/>
      <c r="AD658" s="258"/>
      <c r="AE658" s="258"/>
      <c r="AF658" s="258"/>
      <c r="AG658" s="258"/>
      <c r="AH658" s="258"/>
      <c r="AQ658" s="259"/>
      <c r="AR658" s="259"/>
      <c r="AS658" s="259"/>
      <c r="AT658" s="259"/>
      <c r="AU658" s="259"/>
      <c r="AV658" s="259"/>
      <c r="AW658" s="259"/>
    </row>
    <row r="659" spans="2:49" ht="15" customHeight="1" x14ac:dyDescent="0.25">
      <c r="B659" s="260"/>
      <c r="D659" s="262"/>
      <c r="G659" s="288"/>
      <c r="H659" s="265"/>
      <c r="I659" s="266"/>
      <c r="K659" s="268"/>
      <c r="L659" s="278"/>
      <c r="M659" s="274"/>
      <c r="N659" s="258"/>
      <c r="O659" s="258"/>
      <c r="P659" s="258"/>
      <c r="Q659" s="276"/>
      <c r="W659" s="272"/>
      <c r="X659" s="272"/>
      <c r="Y659" s="272"/>
      <c r="Z659" s="258"/>
      <c r="AA659" s="258"/>
      <c r="AB659" s="258"/>
      <c r="AC659" s="258"/>
      <c r="AD659" s="258"/>
      <c r="AE659" s="258"/>
      <c r="AF659" s="258"/>
      <c r="AG659" s="258"/>
      <c r="AH659" s="258"/>
      <c r="AQ659" s="259"/>
      <c r="AR659" s="259"/>
      <c r="AS659" s="259"/>
      <c r="AT659" s="259"/>
      <c r="AU659" s="259"/>
      <c r="AV659" s="259"/>
      <c r="AW659" s="259"/>
    </row>
    <row r="660" spans="2:49" ht="15" customHeight="1" x14ac:dyDescent="0.25">
      <c r="B660" s="260"/>
      <c r="D660" s="262"/>
      <c r="E660" s="291"/>
      <c r="F660" s="293"/>
      <c r="G660" s="288"/>
      <c r="H660" s="265"/>
      <c r="I660" s="266"/>
      <c r="K660" s="268"/>
      <c r="L660" s="273"/>
      <c r="M660" s="274"/>
      <c r="N660" s="270"/>
      <c r="O660" s="270"/>
      <c r="P660" s="270"/>
      <c r="Q660" s="275"/>
      <c r="R660" s="272"/>
      <c r="S660" s="272"/>
      <c r="T660" s="272"/>
      <c r="U660" s="272"/>
      <c r="V660" s="272"/>
      <c r="W660" s="272"/>
      <c r="X660" s="272"/>
      <c r="Y660" s="272"/>
      <c r="Z660" s="258"/>
      <c r="AA660" s="258"/>
      <c r="AB660" s="258"/>
      <c r="AC660" s="258"/>
      <c r="AD660" s="258"/>
      <c r="AE660" s="258"/>
      <c r="AF660" s="258"/>
      <c r="AG660" s="258"/>
      <c r="AH660" s="258"/>
      <c r="AI660" s="258"/>
      <c r="AQ660" s="259"/>
      <c r="AR660" s="259"/>
      <c r="AS660" s="259"/>
      <c r="AT660" s="259"/>
      <c r="AU660" s="259"/>
      <c r="AV660" s="259"/>
      <c r="AW660" s="259"/>
    </row>
    <row r="661" spans="2:49" ht="15" customHeight="1" x14ac:dyDescent="0.25">
      <c r="B661" s="260"/>
      <c r="C661" s="290"/>
      <c r="D661" s="262"/>
      <c r="E661" s="291"/>
      <c r="F661" s="262"/>
      <c r="G661" s="289"/>
      <c r="H661" s="243"/>
      <c r="I661" s="266"/>
      <c r="K661" s="268"/>
      <c r="L661" s="273"/>
      <c r="M661" s="274"/>
      <c r="N661" s="258"/>
      <c r="O661" s="258"/>
      <c r="P661" s="258"/>
      <c r="Q661" s="276"/>
      <c r="R661" s="272"/>
      <c r="S661" s="272"/>
      <c r="T661" s="272"/>
      <c r="U661" s="272"/>
      <c r="V661" s="272"/>
      <c r="W661" s="272"/>
      <c r="X661" s="272"/>
      <c r="Y661" s="272"/>
      <c r="Z661" s="258"/>
      <c r="AA661" s="258"/>
      <c r="AB661" s="258"/>
      <c r="AC661" s="258"/>
      <c r="AD661" s="258"/>
      <c r="AE661" s="258"/>
      <c r="AF661" s="258"/>
      <c r="AG661" s="258"/>
      <c r="AH661" s="258"/>
      <c r="AI661" s="258"/>
      <c r="AQ661" s="259"/>
      <c r="AR661" s="259"/>
      <c r="AS661" s="259"/>
      <c r="AT661" s="259"/>
      <c r="AU661" s="259"/>
      <c r="AV661" s="259"/>
      <c r="AW661" s="259"/>
    </row>
    <row r="662" spans="2:49" ht="15" customHeight="1" x14ac:dyDescent="0.25">
      <c r="B662" s="260"/>
      <c r="D662" s="262"/>
      <c r="G662" s="289"/>
      <c r="H662" s="265"/>
      <c r="I662" s="266"/>
      <c r="K662" s="268"/>
      <c r="L662" s="273"/>
      <c r="M662" s="274"/>
      <c r="N662" s="258"/>
      <c r="O662" s="258"/>
      <c r="P662" s="258"/>
      <c r="Q662" s="276"/>
      <c r="R662" s="272"/>
      <c r="S662" s="272"/>
      <c r="T662" s="272"/>
      <c r="U662" s="272"/>
      <c r="V662" s="272"/>
      <c r="W662" s="272"/>
      <c r="X662" s="272"/>
      <c r="Y662" s="272"/>
      <c r="Z662" s="258"/>
      <c r="AA662" s="258"/>
      <c r="AB662" s="258"/>
      <c r="AC662" s="258"/>
      <c r="AD662" s="258"/>
      <c r="AE662" s="258"/>
      <c r="AF662" s="258"/>
      <c r="AG662" s="258"/>
      <c r="AH662" s="270"/>
      <c r="AI662" s="270"/>
      <c r="AQ662" s="259"/>
      <c r="AR662" s="259"/>
      <c r="AS662" s="259"/>
      <c r="AT662" s="259"/>
      <c r="AU662" s="259"/>
      <c r="AV662" s="259"/>
      <c r="AW662" s="259"/>
    </row>
    <row r="663" spans="2:49" ht="15" customHeight="1" x14ac:dyDescent="0.25">
      <c r="B663" s="260"/>
      <c r="D663" s="262"/>
      <c r="G663" s="289"/>
      <c r="H663" s="265"/>
      <c r="I663" s="266"/>
      <c r="K663" s="268"/>
      <c r="L663" s="273"/>
      <c r="M663" s="277"/>
      <c r="N663" s="258"/>
      <c r="O663" s="258"/>
      <c r="P663" s="258"/>
      <c r="Q663" s="276"/>
      <c r="R663" s="272"/>
      <c r="S663" s="272"/>
      <c r="T663" s="272"/>
      <c r="U663" s="272"/>
      <c r="V663" s="272"/>
      <c r="W663" s="272"/>
      <c r="X663" s="272"/>
      <c r="Y663" s="272"/>
      <c r="Z663" s="258"/>
      <c r="AA663" s="258"/>
      <c r="AB663" s="258"/>
      <c r="AC663" s="258"/>
      <c r="AD663" s="258"/>
      <c r="AE663" s="258"/>
      <c r="AF663" s="258"/>
      <c r="AG663" s="258"/>
      <c r="AH663" s="270"/>
      <c r="AI663" s="270"/>
      <c r="AQ663" s="259"/>
      <c r="AR663" s="259"/>
      <c r="AS663" s="259"/>
      <c r="AT663" s="259"/>
      <c r="AU663" s="259"/>
      <c r="AV663" s="259"/>
      <c r="AW663" s="259"/>
    </row>
    <row r="664" spans="2:49" ht="15" customHeight="1" x14ac:dyDescent="0.25">
      <c r="B664" s="260"/>
      <c r="D664" s="262"/>
      <c r="G664" s="289"/>
      <c r="H664" s="265"/>
      <c r="I664" s="266"/>
      <c r="K664" s="268"/>
      <c r="L664" s="278"/>
      <c r="M664" s="274"/>
      <c r="N664" s="258"/>
      <c r="O664" s="258"/>
      <c r="P664" s="258"/>
      <c r="Q664" s="276"/>
      <c r="R664" s="272"/>
      <c r="S664" s="272"/>
      <c r="T664" s="272"/>
      <c r="U664" s="272"/>
      <c r="V664" s="272"/>
      <c r="W664" s="272"/>
      <c r="X664" s="272"/>
      <c r="Y664" s="272"/>
      <c r="Z664" s="258"/>
      <c r="AA664" s="258"/>
      <c r="AB664" s="258"/>
      <c r="AC664" s="258"/>
      <c r="AD664" s="258"/>
      <c r="AE664" s="258"/>
      <c r="AF664" s="258"/>
      <c r="AG664" s="258"/>
      <c r="AH664" s="270"/>
      <c r="AI664" s="270"/>
      <c r="AQ664" s="259"/>
      <c r="AR664" s="259"/>
      <c r="AS664" s="259"/>
      <c r="AT664" s="259"/>
      <c r="AU664" s="259"/>
      <c r="AV664" s="259"/>
      <c r="AW664" s="259"/>
    </row>
    <row r="665" spans="2:49" ht="15" customHeight="1" x14ac:dyDescent="0.25">
      <c r="B665" s="260"/>
      <c r="D665" s="262"/>
      <c r="G665" s="289"/>
      <c r="H665" s="265"/>
      <c r="I665" s="266"/>
      <c r="K665" s="268"/>
      <c r="L665" s="278"/>
      <c r="M665" s="274"/>
      <c r="N665" s="258"/>
      <c r="O665" s="258"/>
      <c r="P665" s="258"/>
      <c r="Q665" s="276"/>
      <c r="R665" s="272"/>
      <c r="S665" s="272"/>
      <c r="T665" s="272"/>
      <c r="U665" s="272"/>
      <c r="V665" s="272"/>
      <c r="W665" s="272"/>
      <c r="X665" s="272"/>
      <c r="Y665" s="272"/>
      <c r="Z665" s="258"/>
      <c r="AA665" s="258"/>
      <c r="AB665" s="258"/>
      <c r="AC665" s="258"/>
      <c r="AD665" s="258"/>
      <c r="AE665" s="258"/>
      <c r="AF665" s="258"/>
      <c r="AG665" s="258"/>
      <c r="AH665" s="258"/>
      <c r="AQ665" s="259"/>
      <c r="AR665" s="259"/>
      <c r="AS665" s="259"/>
      <c r="AT665" s="259"/>
      <c r="AU665" s="259"/>
      <c r="AV665" s="259"/>
      <c r="AW665" s="259"/>
    </row>
    <row r="666" spans="2:49" ht="15" customHeight="1" x14ac:dyDescent="0.25">
      <c r="B666" s="260"/>
      <c r="D666" s="262"/>
      <c r="G666" s="289"/>
      <c r="H666" s="265"/>
      <c r="I666" s="266"/>
      <c r="K666" s="268"/>
      <c r="L666" s="278"/>
      <c r="M666" s="274"/>
      <c r="N666" s="258"/>
      <c r="O666" s="258"/>
      <c r="P666" s="258"/>
      <c r="Q666" s="276"/>
      <c r="R666" s="272"/>
      <c r="S666" s="272"/>
      <c r="T666" s="272"/>
      <c r="U666" s="272"/>
      <c r="V666" s="272"/>
      <c r="W666" s="272"/>
      <c r="X666" s="272"/>
      <c r="Y666" s="272"/>
      <c r="Z666" s="258"/>
      <c r="AA666" s="258"/>
      <c r="AB666" s="258"/>
      <c r="AC666" s="258"/>
      <c r="AD666" s="258"/>
      <c r="AE666" s="258"/>
      <c r="AF666" s="258"/>
      <c r="AG666" s="258"/>
      <c r="AH666" s="258"/>
      <c r="AQ666" s="259"/>
      <c r="AR666" s="259"/>
      <c r="AS666" s="259"/>
      <c r="AT666" s="259"/>
      <c r="AU666" s="259"/>
      <c r="AV666" s="259"/>
      <c r="AW666" s="259"/>
    </row>
    <row r="667" spans="2:49" ht="15" customHeight="1" x14ac:dyDescent="0.25">
      <c r="B667" s="260"/>
      <c r="D667" s="262"/>
      <c r="G667" s="289"/>
      <c r="H667" s="265"/>
      <c r="I667" s="266"/>
      <c r="K667" s="268"/>
      <c r="L667" s="278"/>
      <c r="M667" s="274"/>
      <c r="N667" s="258"/>
      <c r="O667" s="258"/>
      <c r="P667" s="258"/>
      <c r="Q667" s="276"/>
      <c r="R667" s="272"/>
      <c r="S667" s="272"/>
      <c r="T667" s="272"/>
      <c r="U667" s="272"/>
      <c r="V667" s="272"/>
      <c r="W667" s="272"/>
      <c r="X667" s="272"/>
      <c r="Y667" s="272"/>
      <c r="Z667" s="258"/>
      <c r="AA667" s="258"/>
      <c r="AB667" s="258"/>
      <c r="AC667" s="258"/>
      <c r="AD667" s="258"/>
      <c r="AE667" s="258"/>
      <c r="AF667" s="258"/>
      <c r="AG667" s="258"/>
      <c r="AH667" s="258"/>
      <c r="AQ667" s="259"/>
      <c r="AR667" s="259"/>
      <c r="AS667" s="259"/>
      <c r="AT667" s="259"/>
      <c r="AU667" s="259"/>
      <c r="AV667" s="259"/>
      <c r="AW667" s="259"/>
    </row>
    <row r="668" spans="2:49" ht="15" customHeight="1" x14ac:dyDescent="0.25">
      <c r="B668" s="260"/>
      <c r="D668" s="262"/>
      <c r="G668" s="289"/>
      <c r="H668" s="265"/>
      <c r="I668" s="266"/>
      <c r="K668" s="268"/>
      <c r="L668" s="278"/>
      <c r="M668" s="274"/>
      <c r="N668" s="258"/>
      <c r="O668" s="258"/>
      <c r="P668" s="258"/>
      <c r="Q668" s="276"/>
      <c r="R668" s="272"/>
      <c r="S668" s="272"/>
      <c r="T668" s="272"/>
      <c r="U668" s="272"/>
      <c r="V668" s="272"/>
      <c r="W668" s="272"/>
      <c r="X668" s="272"/>
      <c r="Y668" s="272"/>
      <c r="Z668" s="258"/>
      <c r="AA668" s="258"/>
      <c r="AB668" s="258"/>
      <c r="AC668" s="258"/>
      <c r="AD668" s="258"/>
      <c r="AE668" s="258"/>
      <c r="AF668" s="258"/>
      <c r="AG668" s="258"/>
      <c r="AH668" s="258"/>
      <c r="AQ668" s="259"/>
      <c r="AR668" s="259"/>
      <c r="AS668" s="259"/>
      <c r="AT668" s="259"/>
      <c r="AU668" s="259"/>
      <c r="AV668" s="259"/>
      <c r="AW668" s="259"/>
    </row>
    <row r="669" spans="2:49" ht="15" customHeight="1" x14ac:dyDescent="0.25">
      <c r="B669" s="260"/>
      <c r="D669" s="262"/>
      <c r="G669" s="289"/>
      <c r="H669" s="265"/>
      <c r="I669" s="266"/>
      <c r="K669" s="268"/>
      <c r="L669" s="278"/>
      <c r="M669" s="274"/>
      <c r="N669" s="258"/>
      <c r="O669" s="258"/>
      <c r="P669" s="258"/>
      <c r="Q669" s="276"/>
      <c r="W669" s="272"/>
      <c r="X669" s="272"/>
      <c r="Y669" s="272"/>
      <c r="Z669" s="258"/>
      <c r="AA669" s="258"/>
      <c r="AB669" s="258"/>
      <c r="AC669" s="258"/>
      <c r="AD669" s="258"/>
      <c r="AE669" s="258"/>
      <c r="AF669" s="258"/>
      <c r="AG669" s="258"/>
      <c r="AH669" s="258"/>
      <c r="AQ669" s="259"/>
      <c r="AR669" s="259"/>
      <c r="AS669" s="259"/>
      <c r="AT669" s="259"/>
      <c r="AU669" s="259"/>
      <c r="AV669" s="259"/>
      <c r="AW669" s="259"/>
    </row>
    <row r="670" spans="2:49" ht="15" customHeight="1" x14ac:dyDescent="0.25">
      <c r="B670" s="260"/>
      <c r="D670" s="262"/>
      <c r="G670" s="289"/>
      <c r="H670" s="265"/>
      <c r="I670" s="266"/>
      <c r="K670" s="268"/>
      <c r="L670" s="278"/>
      <c r="M670" s="274"/>
      <c r="N670" s="258"/>
      <c r="O670" s="258"/>
      <c r="P670" s="258"/>
      <c r="Q670" s="276"/>
      <c r="W670" s="272"/>
      <c r="X670" s="272"/>
      <c r="Y670" s="272"/>
      <c r="Z670" s="258"/>
      <c r="AA670" s="258"/>
      <c r="AB670" s="258"/>
      <c r="AC670" s="258"/>
      <c r="AD670" s="258"/>
      <c r="AE670" s="258"/>
      <c r="AF670" s="258"/>
      <c r="AG670" s="258"/>
      <c r="AH670" s="258"/>
      <c r="AQ670" s="259"/>
      <c r="AR670" s="259"/>
      <c r="AS670" s="259"/>
      <c r="AT670" s="259"/>
      <c r="AU670" s="259"/>
      <c r="AV670" s="259"/>
      <c r="AW670" s="259"/>
    </row>
    <row r="671" spans="2:49" ht="15" customHeight="1" x14ac:dyDescent="0.25">
      <c r="B671" s="260"/>
      <c r="D671" s="262"/>
      <c r="G671" s="289"/>
      <c r="H671" s="265"/>
      <c r="I671" s="266"/>
      <c r="K671" s="268"/>
      <c r="L671" s="278"/>
      <c r="M671" s="274"/>
      <c r="N671" s="258"/>
      <c r="O671" s="258"/>
      <c r="P671" s="258"/>
      <c r="Q671" s="276"/>
      <c r="W671" s="272"/>
      <c r="X671" s="272"/>
      <c r="Y671" s="272"/>
      <c r="Z671" s="258"/>
      <c r="AA671" s="258"/>
      <c r="AB671" s="258"/>
      <c r="AC671" s="258"/>
      <c r="AD671" s="258"/>
      <c r="AE671" s="258"/>
      <c r="AF671" s="258"/>
      <c r="AG671" s="258"/>
      <c r="AH671" s="258"/>
      <c r="AQ671" s="259"/>
      <c r="AR671" s="259"/>
      <c r="AS671" s="259"/>
      <c r="AT671" s="259"/>
      <c r="AU671" s="259"/>
      <c r="AV671" s="259"/>
      <c r="AW671" s="259"/>
    </row>
    <row r="672" spans="2:49" ht="15" customHeight="1" x14ac:dyDescent="0.25">
      <c r="B672" s="260"/>
      <c r="D672" s="262"/>
      <c r="G672" s="288"/>
      <c r="H672" s="265"/>
      <c r="I672" s="266"/>
      <c r="K672" s="268"/>
      <c r="L672" s="273"/>
      <c r="M672" s="274"/>
      <c r="N672" s="270"/>
      <c r="O672" s="270"/>
      <c r="P672" s="270"/>
      <c r="Q672" s="275"/>
      <c r="R672" s="272"/>
      <c r="S672" s="272"/>
      <c r="T672" s="272"/>
      <c r="U672" s="272"/>
      <c r="V672" s="272"/>
      <c r="W672" s="272"/>
      <c r="X672" s="272"/>
      <c r="Y672" s="272"/>
      <c r="Z672" s="258"/>
      <c r="AA672" s="258"/>
      <c r="AB672" s="258"/>
      <c r="AC672" s="258"/>
      <c r="AD672" s="258"/>
      <c r="AE672" s="258"/>
      <c r="AF672" s="258"/>
      <c r="AG672" s="258"/>
      <c r="AH672" s="258"/>
      <c r="AI672" s="258"/>
      <c r="AQ672" s="259"/>
      <c r="AR672" s="259"/>
      <c r="AS672" s="259"/>
      <c r="AT672" s="259"/>
      <c r="AU672" s="259"/>
      <c r="AV672" s="259"/>
      <c r="AW672" s="259"/>
    </row>
    <row r="673" spans="2:49" ht="15" customHeight="1" x14ac:dyDescent="0.25">
      <c r="B673" s="260"/>
      <c r="D673" s="262"/>
      <c r="G673" s="288"/>
      <c r="H673" s="265"/>
      <c r="I673" s="266"/>
      <c r="K673" s="268"/>
      <c r="L673" s="273"/>
      <c r="M673" s="274"/>
      <c r="N673" s="258"/>
      <c r="O673" s="258"/>
      <c r="P673" s="258"/>
      <c r="Q673" s="276"/>
      <c r="R673" s="272"/>
      <c r="S673" s="272"/>
      <c r="T673" s="272"/>
      <c r="U673" s="272"/>
      <c r="V673" s="272"/>
      <c r="W673" s="272"/>
      <c r="X673" s="272"/>
      <c r="Y673" s="272"/>
      <c r="Z673" s="258"/>
      <c r="AA673" s="258"/>
      <c r="AB673" s="258"/>
      <c r="AC673" s="258"/>
      <c r="AD673" s="258"/>
      <c r="AE673" s="258"/>
      <c r="AF673" s="258"/>
      <c r="AG673" s="258"/>
      <c r="AH673" s="258"/>
      <c r="AI673" s="258"/>
      <c r="AQ673" s="259"/>
      <c r="AR673" s="259"/>
      <c r="AS673" s="259"/>
      <c r="AT673" s="259"/>
      <c r="AU673" s="259"/>
      <c r="AV673" s="259"/>
      <c r="AW673" s="259"/>
    </row>
    <row r="674" spans="2:49" ht="15" customHeight="1" x14ac:dyDescent="0.25">
      <c r="B674" s="260"/>
      <c r="D674" s="262"/>
      <c r="G674" s="288"/>
      <c r="H674" s="265"/>
      <c r="I674" s="266"/>
      <c r="K674" s="268"/>
      <c r="L674" s="273"/>
      <c r="M674" s="274"/>
      <c r="N674" s="258"/>
      <c r="O674" s="258"/>
      <c r="P674" s="258"/>
      <c r="Q674" s="276"/>
      <c r="R674" s="272"/>
      <c r="S674" s="272"/>
      <c r="T674" s="272"/>
      <c r="U674" s="272"/>
      <c r="V674" s="272"/>
      <c r="W674" s="272"/>
      <c r="X674" s="272"/>
      <c r="Y674" s="272"/>
      <c r="Z674" s="258"/>
      <c r="AA674" s="258"/>
      <c r="AB674" s="258"/>
      <c r="AC674" s="258"/>
      <c r="AD674" s="258"/>
      <c r="AE674" s="258"/>
      <c r="AF674" s="258"/>
      <c r="AG674" s="258"/>
      <c r="AH674" s="270"/>
      <c r="AI674" s="270"/>
      <c r="AQ674" s="259"/>
      <c r="AR674" s="259"/>
      <c r="AS674" s="259"/>
      <c r="AT674" s="259"/>
      <c r="AU674" s="259"/>
      <c r="AV674" s="259"/>
      <c r="AW674" s="259"/>
    </row>
    <row r="675" spans="2:49" ht="15" customHeight="1" x14ac:dyDescent="0.25">
      <c r="B675" s="260"/>
      <c r="D675" s="262"/>
      <c r="G675" s="288"/>
      <c r="H675" s="265"/>
      <c r="I675" s="266"/>
      <c r="K675" s="268"/>
      <c r="L675" s="273"/>
      <c r="M675" s="277"/>
      <c r="N675" s="258"/>
      <c r="O675" s="258"/>
      <c r="P675" s="258"/>
      <c r="Q675" s="276"/>
      <c r="R675" s="272"/>
      <c r="S675" s="272"/>
      <c r="T675" s="272"/>
      <c r="U675" s="272"/>
      <c r="V675" s="272"/>
      <c r="W675" s="272"/>
      <c r="X675" s="272"/>
      <c r="Y675" s="272"/>
      <c r="Z675" s="258"/>
      <c r="AA675" s="258"/>
      <c r="AB675" s="258"/>
      <c r="AC675" s="258"/>
      <c r="AD675" s="258"/>
      <c r="AE675" s="258"/>
      <c r="AF675" s="258"/>
      <c r="AG675" s="258"/>
      <c r="AH675" s="270"/>
      <c r="AI675" s="270"/>
      <c r="AQ675" s="259"/>
      <c r="AR675" s="259"/>
      <c r="AS675" s="259"/>
      <c r="AT675" s="259"/>
      <c r="AU675" s="259"/>
      <c r="AV675" s="259"/>
      <c r="AW675" s="259"/>
    </row>
    <row r="676" spans="2:49" ht="15" customHeight="1" x14ac:dyDescent="0.25">
      <c r="B676" s="260"/>
      <c r="D676" s="262"/>
      <c r="E676" s="291"/>
      <c r="F676" s="293"/>
      <c r="G676" s="288"/>
      <c r="H676" s="265"/>
      <c r="I676" s="266"/>
      <c r="K676" s="268"/>
      <c r="L676" s="278"/>
      <c r="M676" s="274"/>
      <c r="N676" s="258"/>
      <c r="O676" s="258"/>
      <c r="P676" s="258"/>
      <c r="Q676" s="276"/>
      <c r="R676" s="272"/>
      <c r="S676" s="272"/>
      <c r="T676" s="272"/>
      <c r="U676" s="272"/>
      <c r="V676" s="272"/>
      <c r="W676" s="272"/>
      <c r="X676" s="272"/>
      <c r="Y676" s="272"/>
      <c r="Z676" s="258"/>
      <c r="AA676" s="258"/>
      <c r="AB676" s="258"/>
      <c r="AC676" s="258"/>
      <c r="AD676" s="258"/>
      <c r="AE676" s="258"/>
      <c r="AF676" s="258"/>
      <c r="AG676" s="258"/>
      <c r="AH676" s="270"/>
      <c r="AI676" s="270"/>
      <c r="AQ676" s="259"/>
      <c r="AR676" s="259"/>
      <c r="AS676" s="259"/>
      <c r="AT676" s="259"/>
      <c r="AU676" s="259"/>
      <c r="AV676" s="259"/>
      <c r="AW676" s="259"/>
    </row>
    <row r="677" spans="2:49" ht="15" customHeight="1" x14ac:dyDescent="0.25">
      <c r="B677" s="260"/>
      <c r="C677" s="290"/>
      <c r="D677" s="262"/>
      <c r="E677" s="291"/>
      <c r="F677" s="262"/>
      <c r="G677" s="289"/>
      <c r="H677" s="243"/>
      <c r="I677" s="266"/>
      <c r="K677" s="268"/>
      <c r="L677" s="278"/>
      <c r="M677" s="274"/>
      <c r="N677" s="258"/>
      <c r="O677" s="258"/>
      <c r="P677" s="258"/>
      <c r="Q677" s="276"/>
      <c r="R677" s="272"/>
      <c r="S677" s="272"/>
      <c r="T677" s="272"/>
      <c r="U677" s="272"/>
      <c r="V677" s="272"/>
      <c r="W677" s="272"/>
      <c r="X677" s="272"/>
      <c r="Y677" s="272"/>
      <c r="Z677" s="258"/>
      <c r="AA677" s="258"/>
      <c r="AB677" s="258"/>
      <c r="AC677" s="258"/>
      <c r="AD677" s="258"/>
      <c r="AE677" s="258"/>
      <c r="AF677" s="258"/>
      <c r="AG677" s="258"/>
      <c r="AH677" s="258"/>
      <c r="AQ677" s="259"/>
      <c r="AR677" s="259"/>
      <c r="AS677" s="259"/>
      <c r="AT677" s="259"/>
      <c r="AU677" s="259"/>
      <c r="AV677" s="259"/>
      <c r="AW677" s="259"/>
    </row>
    <row r="678" spans="2:49" ht="15" customHeight="1" x14ac:dyDescent="0.25">
      <c r="B678" s="260"/>
      <c r="D678" s="262"/>
      <c r="G678" s="289"/>
      <c r="H678" s="265"/>
      <c r="I678" s="266"/>
      <c r="K678" s="268"/>
      <c r="L678" s="278"/>
      <c r="M678" s="274"/>
      <c r="N678" s="258"/>
      <c r="O678" s="258"/>
      <c r="P678" s="258"/>
      <c r="Q678" s="276"/>
      <c r="R678" s="272"/>
      <c r="S678" s="272"/>
      <c r="T678" s="272"/>
      <c r="U678" s="272"/>
      <c r="V678" s="272"/>
      <c r="W678" s="272"/>
      <c r="X678" s="272"/>
      <c r="Y678" s="272"/>
      <c r="Z678" s="258"/>
      <c r="AA678" s="258"/>
      <c r="AB678" s="258"/>
      <c r="AC678" s="258"/>
      <c r="AD678" s="258"/>
      <c r="AE678" s="258"/>
      <c r="AF678" s="258"/>
      <c r="AG678" s="258"/>
      <c r="AH678" s="258"/>
      <c r="AQ678" s="259"/>
      <c r="AR678" s="259"/>
      <c r="AS678" s="259"/>
      <c r="AT678" s="259"/>
      <c r="AU678" s="259"/>
      <c r="AV678" s="259"/>
      <c r="AW678" s="259"/>
    </row>
    <row r="679" spans="2:49" ht="15" customHeight="1" x14ac:dyDescent="0.25">
      <c r="B679" s="260"/>
      <c r="D679" s="262"/>
      <c r="G679" s="289"/>
      <c r="H679" s="265"/>
      <c r="I679" s="266"/>
      <c r="K679" s="268"/>
      <c r="L679" s="278"/>
      <c r="M679" s="274"/>
      <c r="N679" s="258"/>
      <c r="O679" s="258"/>
      <c r="P679" s="258"/>
      <c r="Q679" s="276"/>
      <c r="R679" s="272"/>
      <c r="S679" s="272"/>
      <c r="T679" s="272"/>
      <c r="U679" s="272"/>
      <c r="V679" s="272"/>
      <c r="W679" s="272"/>
      <c r="X679" s="272"/>
      <c r="Y679" s="272"/>
      <c r="Z679" s="258"/>
      <c r="AA679" s="258"/>
      <c r="AB679" s="258"/>
      <c r="AC679" s="258"/>
      <c r="AD679" s="258"/>
      <c r="AE679" s="258"/>
      <c r="AF679" s="258"/>
      <c r="AG679" s="258"/>
      <c r="AH679" s="258"/>
      <c r="AQ679" s="259"/>
      <c r="AR679" s="259"/>
      <c r="AS679" s="259"/>
      <c r="AT679" s="259"/>
      <c r="AU679" s="259"/>
      <c r="AV679" s="259"/>
      <c r="AW679" s="259"/>
    </row>
    <row r="680" spans="2:49" ht="15" customHeight="1" x14ac:dyDescent="0.25">
      <c r="B680" s="260"/>
      <c r="D680" s="262"/>
      <c r="G680" s="289"/>
      <c r="H680" s="265"/>
      <c r="I680" s="266"/>
      <c r="K680" s="268"/>
      <c r="L680" s="278"/>
      <c r="M680" s="274"/>
      <c r="N680" s="258"/>
      <c r="O680" s="258"/>
      <c r="P680" s="258"/>
      <c r="Q680" s="276"/>
      <c r="R680" s="272"/>
      <c r="S680" s="272"/>
      <c r="T680" s="272"/>
      <c r="U680" s="272"/>
      <c r="V680" s="272"/>
      <c r="W680" s="272"/>
      <c r="X680" s="272"/>
      <c r="Y680" s="272"/>
      <c r="Z680" s="258"/>
      <c r="AA680" s="258"/>
      <c r="AB680" s="258"/>
      <c r="AC680" s="258"/>
      <c r="AD680" s="258"/>
      <c r="AE680" s="258"/>
      <c r="AF680" s="258"/>
      <c r="AG680" s="258"/>
      <c r="AH680" s="258"/>
      <c r="AQ680" s="259"/>
      <c r="AR680" s="259"/>
      <c r="AS680" s="259"/>
      <c r="AT680" s="259"/>
      <c r="AU680" s="259"/>
      <c r="AV680" s="259"/>
      <c r="AW680" s="259"/>
    </row>
    <row r="681" spans="2:49" ht="15" customHeight="1" x14ac:dyDescent="0.25">
      <c r="B681" s="260"/>
      <c r="D681" s="262"/>
      <c r="G681" s="289"/>
      <c r="H681" s="265"/>
      <c r="I681" s="266"/>
      <c r="K681" s="268"/>
      <c r="L681" s="278"/>
      <c r="M681" s="274"/>
      <c r="N681" s="258"/>
      <c r="O681" s="258"/>
      <c r="P681" s="258"/>
      <c r="Q681" s="276"/>
      <c r="W681" s="272"/>
      <c r="X681" s="272"/>
      <c r="Y681" s="272"/>
      <c r="Z681" s="258"/>
      <c r="AA681" s="258"/>
      <c r="AB681" s="258"/>
      <c r="AC681" s="258"/>
      <c r="AD681" s="258"/>
      <c r="AE681" s="258"/>
      <c r="AF681" s="258"/>
      <c r="AG681" s="258"/>
      <c r="AH681" s="258"/>
      <c r="AQ681" s="259"/>
      <c r="AR681" s="259"/>
      <c r="AS681" s="259"/>
      <c r="AT681" s="259"/>
      <c r="AU681" s="259"/>
      <c r="AV681" s="259"/>
      <c r="AW681" s="259"/>
    </row>
    <row r="682" spans="2:49" ht="15" customHeight="1" x14ac:dyDescent="0.25">
      <c r="B682" s="260"/>
      <c r="D682" s="262"/>
      <c r="G682" s="289"/>
      <c r="H682" s="265"/>
      <c r="I682" s="266"/>
      <c r="K682" s="268"/>
      <c r="L682" s="278"/>
      <c r="M682" s="274"/>
      <c r="N682" s="258"/>
      <c r="O682" s="258"/>
      <c r="P682" s="258"/>
      <c r="Q682" s="276"/>
      <c r="W682" s="272"/>
      <c r="X682" s="272"/>
      <c r="Y682" s="272"/>
      <c r="Z682" s="258"/>
      <c r="AA682" s="258"/>
      <c r="AB682" s="258"/>
      <c r="AC682" s="258"/>
      <c r="AD682" s="258"/>
      <c r="AE682" s="258"/>
      <c r="AF682" s="258"/>
      <c r="AG682" s="258"/>
      <c r="AH682" s="258"/>
      <c r="AQ682" s="259"/>
      <c r="AR682" s="259"/>
      <c r="AS682" s="259"/>
      <c r="AT682" s="259"/>
      <c r="AU682" s="259"/>
      <c r="AV682" s="259"/>
      <c r="AW682" s="259"/>
    </row>
    <row r="683" spans="2:49" ht="15" customHeight="1" x14ac:dyDescent="0.25">
      <c r="B683" s="260"/>
      <c r="D683" s="262"/>
      <c r="G683" s="289"/>
      <c r="H683" s="265"/>
      <c r="I683" s="266"/>
      <c r="K683" s="268"/>
      <c r="L683" s="278"/>
      <c r="M683" s="274"/>
      <c r="N683" s="258"/>
      <c r="O683" s="258"/>
      <c r="P683" s="258"/>
      <c r="Q683" s="276"/>
      <c r="W683" s="272"/>
      <c r="X683" s="272"/>
      <c r="Y683" s="272"/>
      <c r="Z683" s="258"/>
      <c r="AA683" s="258"/>
      <c r="AB683" s="258"/>
      <c r="AC683" s="258"/>
      <c r="AD683" s="258"/>
      <c r="AE683" s="258"/>
      <c r="AF683" s="258"/>
      <c r="AG683" s="258"/>
      <c r="AH683" s="258"/>
      <c r="AQ683" s="259"/>
      <c r="AR683" s="259"/>
      <c r="AS683" s="259"/>
      <c r="AT683" s="259"/>
      <c r="AU683" s="259"/>
      <c r="AV683" s="259"/>
      <c r="AW683" s="259"/>
    </row>
    <row r="684" spans="2:49" ht="15" customHeight="1" x14ac:dyDescent="0.25">
      <c r="B684" s="260"/>
      <c r="D684" s="262"/>
      <c r="G684" s="288"/>
      <c r="H684" s="265"/>
      <c r="I684" s="266"/>
      <c r="K684" s="268"/>
      <c r="L684" s="273"/>
      <c r="M684" s="274"/>
      <c r="N684" s="270"/>
      <c r="O684" s="270"/>
      <c r="P684" s="270"/>
      <c r="Q684" s="275"/>
      <c r="R684" s="272"/>
      <c r="S684" s="272"/>
      <c r="T684" s="272"/>
      <c r="U684" s="272"/>
      <c r="V684" s="272"/>
      <c r="W684" s="272"/>
      <c r="X684" s="272"/>
      <c r="Y684" s="272"/>
      <c r="Z684" s="258"/>
      <c r="AA684" s="258"/>
      <c r="AB684" s="258"/>
      <c r="AC684" s="258"/>
      <c r="AD684" s="258"/>
      <c r="AE684" s="258"/>
      <c r="AF684" s="258"/>
      <c r="AG684" s="258"/>
      <c r="AH684" s="258"/>
      <c r="AI684" s="258"/>
      <c r="AQ684" s="259"/>
      <c r="AR684" s="259"/>
      <c r="AS684" s="259"/>
      <c r="AT684" s="259"/>
      <c r="AU684" s="259"/>
      <c r="AV684" s="259"/>
      <c r="AW684" s="259"/>
    </row>
    <row r="685" spans="2:49" ht="15" customHeight="1" x14ac:dyDescent="0.25">
      <c r="B685" s="260"/>
      <c r="D685" s="262"/>
      <c r="G685" s="288"/>
      <c r="H685" s="265"/>
      <c r="I685" s="266"/>
      <c r="K685" s="268"/>
      <c r="L685" s="273"/>
      <c r="M685" s="274"/>
      <c r="N685" s="258"/>
      <c r="O685" s="258"/>
      <c r="P685" s="258"/>
      <c r="Q685" s="276"/>
      <c r="R685" s="272"/>
      <c r="S685" s="272"/>
      <c r="T685" s="272"/>
      <c r="U685" s="272"/>
      <c r="V685" s="272"/>
      <c r="W685" s="272"/>
      <c r="X685" s="272"/>
      <c r="Y685" s="272"/>
      <c r="Z685" s="258"/>
      <c r="AA685" s="258"/>
      <c r="AB685" s="258"/>
      <c r="AC685" s="258"/>
      <c r="AD685" s="258"/>
      <c r="AE685" s="258"/>
      <c r="AF685" s="258"/>
      <c r="AG685" s="258"/>
      <c r="AH685" s="258"/>
      <c r="AI685" s="258"/>
      <c r="AQ685" s="259"/>
      <c r="AR685" s="259"/>
      <c r="AS685" s="259"/>
      <c r="AT685" s="259"/>
      <c r="AU685" s="259"/>
      <c r="AV685" s="259"/>
      <c r="AW685" s="259"/>
    </row>
    <row r="686" spans="2:49" ht="15" customHeight="1" x14ac:dyDescent="0.25">
      <c r="B686" s="260"/>
      <c r="D686" s="262"/>
      <c r="G686" s="288"/>
      <c r="H686" s="265"/>
      <c r="I686" s="266"/>
      <c r="K686" s="268"/>
      <c r="L686" s="273"/>
      <c r="M686" s="274"/>
      <c r="N686" s="258"/>
      <c r="O686" s="258"/>
      <c r="P686" s="258"/>
      <c r="Q686" s="276"/>
      <c r="R686" s="272"/>
      <c r="S686" s="272"/>
      <c r="T686" s="272"/>
      <c r="U686" s="272"/>
      <c r="V686" s="272"/>
      <c r="W686" s="272"/>
      <c r="X686" s="272"/>
      <c r="Y686" s="272"/>
      <c r="Z686" s="258"/>
      <c r="AA686" s="258"/>
      <c r="AB686" s="258"/>
      <c r="AC686" s="258"/>
      <c r="AD686" s="258"/>
      <c r="AE686" s="258"/>
      <c r="AF686" s="258"/>
      <c r="AG686" s="258"/>
      <c r="AH686" s="270"/>
      <c r="AI686" s="270"/>
      <c r="AQ686" s="259"/>
      <c r="AR686" s="259"/>
      <c r="AS686" s="259"/>
      <c r="AT686" s="259"/>
      <c r="AU686" s="259"/>
      <c r="AV686" s="259"/>
      <c r="AW686" s="259"/>
    </row>
    <row r="687" spans="2:49" ht="15" customHeight="1" x14ac:dyDescent="0.25">
      <c r="B687" s="260"/>
      <c r="D687" s="262"/>
      <c r="G687" s="288"/>
      <c r="H687" s="265"/>
      <c r="I687" s="266"/>
      <c r="K687" s="268"/>
      <c r="L687" s="273"/>
      <c r="M687" s="277"/>
      <c r="N687" s="258"/>
      <c r="O687" s="258"/>
      <c r="P687" s="258"/>
      <c r="Q687" s="276"/>
      <c r="R687" s="272"/>
      <c r="S687" s="272"/>
      <c r="T687" s="272"/>
      <c r="U687" s="272"/>
      <c r="V687" s="272"/>
      <c r="W687" s="272"/>
      <c r="X687" s="272"/>
      <c r="Y687" s="272"/>
      <c r="Z687" s="258"/>
      <c r="AA687" s="258"/>
      <c r="AB687" s="258"/>
      <c r="AC687" s="258"/>
      <c r="AD687" s="258"/>
      <c r="AE687" s="258"/>
      <c r="AF687" s="258"/>
      <c r="AG687" s="258"/>
      <c r="AH687" s="270"/>
      <c r="AI687" s="270"/>
      <c r="AQ687" s="259"/>
      <c r="AR687" s="259"/>
      <c r="AS687" s="259"/>
      <c r="AT687" s="259"/>
      <c r="AU687" s="259"/>
      <c r="AV687" s="259"/>
      <c r="AW687" s="259"/>
    </row>
    <row r="688" spans="2:49" ht="15" customHeight="1" x14ac:dyDescent="0.25">
      <c r="B688" s="260"/>
      <c r="D688" s="262"/>
      <c r="E688" s="291"/>
      <c r="F688" s="293"/>
      <c r="G688" s="288"/>
      <c r="H688" s="265"/>
      <c r="I688" s="266"/>
      <c r="K688" s="268"/>
      <c r="L688" s="278"/>
      <c r="M688" s="274"/>
      <c r="N688" s="258"/>
      <c r="O688" s="258"/>
      <c r="P688" s="258"/>
      <c r="Q688" s="276"/>
      <c r="R688" s="272"/>
      <c r="S688" s="272"/>
      <c r="T688" s="272"/>
      <c r="U688" s="272"/>
      <c r="V688" s="272"/>
      <c r="W688" s="272"/>
      <c r="X688" s="272"/>
      <c r="Y688" s="272"/>
      <c r="Z688" s="258"/>
      <c r="AA688" s="258"/>
      <c r="AB688" s="258"/>
      <c r="AC688" s="258"/>
      <c r="AD688" s="258"/>
      <c r="AE688" s="258"/>
      <c r="AF688" s="258"/>
      <c r="AG688" s="258"/>
      <c r="AH688" s="270"/>
      <c r="AI688" s="270"/>
      <c r="AQ688" s="259"/>
      <c r="AR688" s="259"/>
      <c r="AS688" s="259"/>
      <c r="AT688" s="259"/>
      <c r="AU688" s="259"/>
      <c r="AV688" s="259"/>
      <c r="AW688" s="259"/>
    </row>
    <row r="689" spans="2:49" ht="15" customHeight="1" x14ac:dyDescent="0.25">
      <c r="B689" s="260"/>
      <c r="C689" s="290"/>
      <c r="D689" s="262"/>
      <c r="E689" s="291"/>
      <c r="F689" s="262"/>
      <c r="G689" s="289"/>
      <c r="H689" s="243"/>
      <c r="I689" s="266"/>
      <c r="K689" s="268"/>
      <c r="L689" s="278"/>
      <c r="M689" s="274"/>
      <c r="N689" s="258"/>
      <c r="O689" s="258"/>
      <c r="P689" s="258"/>
      <c r="Q689" s="276"/>
      <c r="R689" s="272"/>
      <c r="S689" s="272"/>
      <c r="T689" s="272"/>
      <c r="U689" s="272"/>
      <c r="V689" s="272"/>
      <c r="W689" s="272"/>
      <c r="X689" s="272"/>
      <c r="Y689" s="272"/>
      <c r="Z689" s="258"/>
      <c r="AA689" s="258"/>
      <c r="AB689" s="258"/>
      <c r="AC689" s="258"/>
      <c r="AD689" s="258"/>
      <c r="AE689" s="258"/>
      <c r="AF689" s="258"/>
      <c r="AG689" s="258"/>
      <c r="AH689" s="258"/>
      <c r="AQ689" s="259"/>
      <c r="AR689" s="259"/>
      <c r="AS689" s="259"/>
      <c r="AT689" s="259"/>
      <c r="AU689" s="259"/>
      <c r="AV689" s="259"/>
      <c r="AW689" s="259"/>
    </row>
    <row r="690" spans="2:49" ht="15" customHeight="1" x14ac:dyDescent="0.25">
      <c r="B690" s="260"/>
      <c r="D690" s="262"/>
      <c r="G690" s="289"/>
      <c r="H690" s="265"/>
      <c r="I690" s="266"/>
      <c r="K690" s="268"/>
      <c r="L690" s="278"/>
      <c r="M690" s="274"/>
      <c r="N690" s="258"/>
      <c r="O690" s="258"/>
      <c r="P690" s="258"/>
      <c r="Q690" s="276"/>
      <c r="R690" s="272"/>
      <c r="S690" s="272"/>
      <c r="T690" s="272"/>
      <c r="U690" s="272"/>
      <c r="V690" s="272"/>
      <c r="W690" s="272"/>
      <c r="X690" s="272"/>
      <c r="Y690" s="272"/>
      <c r="Z690" s="258"/>
      <c r="AA690" s="258"/>
      <c r="AB690" s="258"/>
      <c r="AC690" s="258"/>
      <c r="AD690" s="258"/>
      <c r="AE690" s="258"/>
      <c r="AF690" s="258"/>
      <c r="AG690" s="258"/>
      <c r="AH690" s="258"/>
      <c r="AQ690" s="259"/>
      <c r="AR690" s="259"/>
      <c r="AS690" s="259"/>
      <c r="AT690" s="259"/>
      <c r="AU690" s="259"/>
      <c r="AV690" s="259"/>
      <c r="AW690" s="259"/>
    </row>
    <row r="691" spans="2:49" ht="15" customHeight="1" x14ac:dyDescent="0.25">
      <c r="B691" s="260"/>
      <c r="D691" s="262"/>
      <c r="G691" s="289"/>
      <c r="H691" s="265"/>
      <c r="I691" s="266"/>
      <c r="K691" s="268"/>
      <c r="L691" s="278"/>
      <c r="M691" s="274"/>
      <c r="N691" s="258"/>
      <c r="O691" s="258"/>
      <c r="P691" s="258"/>
      <c r="Q691" s="276"/>
      <c r="R691" s="272"/>
      <c r="S691" s="272"/>
      <c r="T691" s="272"/>
      <c r="U691" s="272"/>
      <c r="V691" s="272"/>
      <c r="W691" s="272"/>
      <c r="X691" s="272"/>
      <c r="Y691" s="272"/>
      <c r="Z691" s="258"/>
      <c r="AA691" s="258"/>
      <c r="AB691" s="258"/>
      <c r="AC691" s="258"/>
      <c r="AD691" s="258"/>
      <c r="AE691" s="258"/>
      <c r="AF691" s="258"/>
      <c r="AG691" s="258"/>
      <c r="AH691" s="258"/>
      <c r="AQ691" s="259"/>
      <c r="AR691" s="259"/>
      <c r="AS691" s="259"/>
      <c r="AT691" s="259"/>
      <c r="AU691" s="259"/>
      <c r="AV691" s="259"/>
      <c r="AW691" s="259"/>
    </row>
    <row r="692" spans="2:49" ht="15" customHeight="1" x14ac:dyDescent="0.25">
      <c r="B692" s="260"/>
      <c r="D692" s="262"/>
      <c r="G692" s="289"/>
      <c r="H692" s="265"/>
      <c r="I692" s="266"/>
      <c r="K692" s="268"/>
      <c r="L692" s="278"/>
      <c r="M692" s="274"/>
      <c r="N692" s="258"/>
      <c r="O692" s="258"/>
      <c r="P692" s="258"/>
      <c r="Q692" s="276"/>
      <c r="R692" s="272"/>
      <c r="S692" s="272"/>
      <c r="T692" s="272"/>
      <c r="U692" s="272"/>
      <c r="V692" s="272"/>
      <c r="W692" s="272"/>
      <c r="X692" s="272"/>
      <c r="Y692" s="272"/>
      <c r="Z692" s="258"/>
      <c r="AA692" s="258"/>
      <c r="AB692" s="258"/>
      <c r="AC692" s="258"/>
      <c r="AD692" s="258"/>
      <c r="AE692" s="258"/>
      <c r="AF692" s="258"/>
      <c r="AG692" s="258"/>
      <c r="AH692" s="258"/>
      <c r="AQ692" s="259"/>
      <c r="AR692" s="259"/>
      <c r="AS692" s="259"/>
      <c r="AT692" s="259"/>
      <c r="AU692" s="259"/>
      <c r="AV692" s="259"/>
      <c r="AW692" s="259"/>
    </row>
    <row r="693" spans="2:49" ht="15" customHeight="1" x14ac:dyDescent="0.25">
      <c r="B693" s="260"/>
      <c r="D693" s="262"/>
      <c r="G693" s="289"/>
      <c r="H693" s="265"/>
      <c r="I693" s="266"/>
      <c r="K693" s="268"/>
      <c r="L693" s="278"/>
      <c r="M693" s="274"/>
      <c r="N693" s="258"/>
      <c r="O693" s="258"/>
      <c r="P693" s="258"/>
      <c r="Q693" s="276"/>
      <c r="W693" s="272"/>
      <c r="X693" s="272"/>
      <c r="Y693" s="272"/>
      <c r="Z693" s="258"/>
      <c r="AA693" s="258"/>
      <c r="AB693" s="258"/>
      <c r="AC693" s="258"/>
      <c r="AD693" s="258"/>
      <c r="AE693" s="258"/>
      <c r="AF693" s="258"/>
      <c r="AG693" s="258"/>
      <c r="AH693" s="258"/>
      <c r="AQ693" s="259"/>
      <c r="AR693" s="259"/>
      <c r="AS693" s="259"/>
      <c r="AT693" s="259"/>
      <c r="AU693" s="259"/>
      <c r="AV693" s="259"/>
      <c r="AW693" s="259"/>
    </row>
    <row r="694" spans="2:49" ht="15" customHeight="1" x14ac:dyDescent="0.25">
      <c r="B694" s="260"/>
      <c r="D694" s="262"/>
      <c r="G694" s="289"/>
      <c r="H694" s="265"/>
      <c r="I694" s="266"/>
      <c r="K694" s="268"/>
      <c r="L694" s="278"/>
      <c r="M694" s="274"/>
      <c r="N694" s="258"/>
      <c r="O694" s="258"/>
      <c r="P694" s="258"/>
      <c r="Q694" s="276"/>
      <c r="W694" s="272"/>
      <c r="X694" s="272"/>
      <c r="Y694" s="272"/>
      <c r="Z694" s="258"/>
      <c r="AA694" s="258"/>
      <c r="AB694" s="258"/>
      <c r="AC694" s="258"/>
      <c r="AD694" s="258"/>
      <c r="AE694" s="258"/>
      <c r="AF694" s="258"/>
      <c r="AG694" s="258"/>
      <c r="AH694" s="258"/>
      <c r="AQ694" s="259"/>
      <c r="AR694" s="259"/>
      <c r="AS694" s="259"/>
      <c r="AT694" s="259"/>
      <c r="AU694" s="259"/>
      <c r="AV694" s="259"/>
      <c r="AW694" s="259"/>
    </row>
    <row r="695" spans="2:49" ht="15" customHeight="1" x14ac:dyDescent="0.25">
      <c r="B695" s="260"/>
      <c r="D695" s="262"/>
      <c r="G695" s="289"/>
      <c r="H695" s="265"/>
      <c r="I695" s="266"/>
      <c r="K695" s="268"/>
      <c r="L695" s="278"/>
      <c r="M695" s="274"/>
      <c r="N695" s="258"/>
      <c r="O695" s="258"/>
      <c r="P695" s="258"/>
      <c r="Q695" s="276"/>
      <c r="W695" s="272"/>
      <c r="X695" s="272"/>
      <c r="Y695" s="272"/>
      <c r="Z695" s="258"/>
      <c r="AA695" s="258"/>
      <c r="AB695" s="258"/>
      <c r="AC695" s="258"/>
      <c r="AD695" s="258"/>
      <c r="AE695" s="258"/>
      <c r="AF695" s="258"/>
      <c r="AG695" s="258"/>
      <c r="AH695" s="258"/>
      <c r="AQ695" s="259"/>
      <c r="AR695" s="259"/>
      <c r="AS695" s="259"/>
      <c r="AT695" s="259"/>
      <c r="AU695" s="259"/>
      <c r="AV695" s="259"/>
      <c r="AW695" s="259"/>
    </row>
    <row r="696" spans="2:49" ht="15" customHeight="1" x14ac:dyDescent="0.25">
      <c r="B696" s="260"/>
      <c r="D696" s="262"/>
      <c r="G696" s="288"/>
      <c r="H696" s="265"/>
      <c r="I696" s="266"/>
      <c r="K696" s="268"/>
      <c r="L696" s="273"/>
      <c r="M696" s="274"/>
      <c r="N696" s="270"/>
      <c r="O696" s="270"/>
      <c r="P696" s="270"/>
      <c r="Q696" s="275"/>
      <c r="R696" s="272"/>
      <c r="S696" s="272"/>
      <c r="T696" s="272"/>
      <c r="U696" s="272"/>
      <c r="V696" s="272"/>
      <c r="W696" s="272"/>
      <c r="X696" s="272"/>
      <c r="Y696" s="272"/>
      <c r="Z696" s="258"/>
      <c r="AA696" s="258"/>
      <c r="AB696" s="258"/>
      <c r="AC696" s="258"/>
      <c r="AD696" s="258"/>
      <c r="AE696" s="258"/>
      <c r="AF696" s="258"/>
      <c r="AG696" s="258"/>
      <c r="AH696" s="258"/>
      <c r="AI696" s="258"/>
      <c r="AQ696" s="259"/>
      <c r="AR696" s="259"/>
      <c r="AS696" s="259"/>
      <c r="AT696" s="259"/>
      <c r="AU696" s="259"/>
      <c r="AV696" s="259"/>
      <c r="AW696" s="259"/>
    </row>
    <row r="697" spans="2:49" ht="15" customHeight="1" x14ac:dyDescent="0.25">
      <c r="B697" s="260"/>
      <c r="D697" s="262"/>
      <c r="G697" s="288"/>
      <c r="H697" s="265"/>
      <c r="I697" s="266"/>
      <c r="K697" s="268"/>
      <c r="L697" s="273"/>
      <c r="M697" s="274"/>
      <c r="N697" s="258"/>
      <c r="O697" s="258"/>
      <c r="P697" s="258"/>
      <c r="Q697" s="276"/>
      <c r="R697" s="272"/>
      <c r="S697" s="272"/>
      <c r="T697" s="272"/>
      <c r="U697" s="272"/>
      <c r="V697" s="272"/>
      <c r="W697" s="272"/>
      <c r="X697" s="272"/>
      <c r="Y697" s="272"/>
      <c r="Z697" s="258"/>
      <c r="AA697" s="258"/>
      <c r="AB697" s="258"/>
      <c r="AC697" s="258"/>
      <c r="AD697" s="258"/>
      <c r="AE697" s="258"/>
      <c r="AF697" s="258"/>
      <c r="AG697" s="258"/>
      <c r="AH697" s="258"/>
      <c r="AI697" s="258"/>
      <c r="AQ697" s="259"/>
      <c r="AR697" s="259"/>
      <c r="AS697" s="259"/>
      <c r="AT697" s="259"/>
      <c r="AU697" s="259"/>
      <c r="AV697" s="259"/>
      <c r="AW697" s="259"/>
    </row>
    <row r="698" spans="2:49" ht="15" customHeight="1" x14ac:dyDescent="0.25">
      <c r="B698" s="260"/>
      <c r="D698" s="262"/>
      <c r="G698" s="288"/>
      <c r="H698" s="265"/>
      <c r="I698" s="266"/>
      <c r="K698" s="268"/>
      <c r="L698" s="273"/>
      <c r="M698" s="274"/>
      <c r="N698" s="258"/>
      <c r="O698" s="258"/>
      <c r="P698" s="258"/>
      <c r="Q698" s="276"/>
      <c r="R698" s="272"/>
      <c r="S698" s="272"/>
      <c r="T698" s="272"/>
      <c r="U698" s="272"/>
      <c r="V698" s="272"/>
      <c r="W698" s="272"/>
      <c r="X698" s="272"/>
      <c r="Y698" s="272"/>
      <c r="Z698" s="258"/>
      <c r="AA698" s="258"/>
      <c r="AB698" s="258"/>
      <c r="AC698" s="258"/>
      <c r="AD698" s="258"/>
      <c r="AE698" s="258"/>
      <c r="AF698" s="258"/>
      <c r="AG698" s="258"/>
      <c r="AH698" s="270"/>
      <c r="AI698" s="270"/>
      <c r="AQ698" s="259"/>
      <c r="AR698" s="259"/>
      <c r="AS698" s="259"/>
      <c r="AT698" s="259"/>
      <c r="AU698" s="259"/>
      <c r="AV698" s="259"/>
      <c r="AW698" s="259"/>
    </row>
    <row r="699" spans="2:49" ht="15" customHeight="1" x14ac:dyDescent="0.25">
      <c r="B699" s="260"/>
      <c r="D699" s="262"/>
      <c r="G699" s="288"/>
      <c r="H699" s="265"/>
      <c r="I699" s="266"/>
      <c r="K699" s="268"/>
      <c r="L699" s="273"/>
      <c r="M699" s="277"/>
      <c r="N699" s="258"/>
      <c r="O699" s="258"/>
      <c r="P699" s="258"/>
      <c r="Q699" s="276"/>
      <c r="R699" s="272"/>
      <c r="S699" s="272"/>
      <c r="T699" s="272"/>
      <c r="U699" s="272"/>
      <c r="V699" s="272"/>
      <c r="W699" s="272"/>
      <c r="X699" s="272"/>
      <c r="Y699" s="272"/>
      <c r="Z699" s="258"/>
      <c r="AA699" s="258"/>
      <c r="AB699" s="258"/>
      <c r="AC699" s="258"/>
      <c r="AD699" s="258"/>
      <c r="AE699" s="258"/>
      <c r="AF699" s="258"/>
      <c r="AG699" s="258"/>
      <c r="AH699" s="270"/>
      <c r="AI699" s="270"/>
      <c r="AQ699" s="259"/>
      <c r="AR699" s="259"/>
      <c r="AS699" s="259"/>
      <c r="AT699" s="259"/>
      <c r="AU699" s="259"/>
      <c r="AV699" s="259"/>
      <c r="AW699" s="259"/>
    </row>
    <row r="700" spans="2:49" ht="15" customHeight="1" x14ac:dyDescent="0.25">
      <c r="B700" s="260"/>
      <c r="D700" s="262"/>
      <c r="E700" s="291"/>
      <c r="F700" s="293"/>
      <c r="G700" s="288"/>
      <c r="H700" s="265"/>
      <c r="I700" s="266"/>
      <c r="K700" s="268"/>
      <c r="L700" s="278"/>
      <c r="M700" s="274"/>
      <c r="N700" s="258"/>
      <c r="O700" s="258"/>
      <c r="P700" s="258"/>
      <c r="Q700" s="276"/>
      <c r="R700" s="272"/>
      <c r="S700" s="272"/>
      <c r="T700" s="272"/>
      <c r="U700" s="272"/>
      <c r="V700" s="272"/>
      <c r="W700" s="272"/>
      <c r="X700" s="272"/>
      <c r="Y700" s="272"/>
      <c r="Z700" s="258"/>
      <c r="AA700" s="258"/>
      <c r="AB700" s="258"/>
      <c r="AC700" s="258"/>
      <c r="AD700" s="258"/>
      <c r="AE700" s="258"/>
      <c r="AF700" s="258"/>
      <c r="AG700" s="258"/>
      <c r="AH700" s="270"/>
      <c r="AI700" s="270"/>
      <c r="AQ700" s="259"/>
      <c r="AR700" s="259"/>
      <c r="AS700" s="259"/>
      <c r="AT700" s="259"/>
      <c r="AU700" s="259"/>
      <c r="AV700" s="259"/>
      <c r="AW700" s="259"/>
    </row>
    <row r="701" spans="2:49" ht="15" customHeight="1" x14ac:dyDescent="0.25">
      <c r="B701" s="260"/>
      <c r="C701" s="290"/>
      <c r="D701" s="262"/>
      <c r="E701" s="291"/>
      <c r="F701" s="262"/>
      <c r="G701" s="289"/>
      <c r="H701" s="243"/>
      <c r="I701" s="266"/>
      <c r="K701" s="268"/>
      <c r="L701" s="278"/>
      <c r="M701" s="274"/>
      <c r="N701" s="258"/>
      <c r="O701" s="258"/>
      <c r="P701" s="258"/>
      <c r="Q701" s="276"/>
      <c r="R701" s="272"/>
      <c r="S701" s="272"/>
      <c r="T701" s="272"/>
      <c r="U701" s="272"/>
      <c r="V701" s="272"/>
      <c r="W701" s="272"/>
      <c r="X701" s="272"/>
      <c r="Y701" s="272"/>
      <c r="Z701" s="258"/>
      <c r="AA701" s="258"/>
      <c r="AB701" s="258"/>
      <c r="AC701" s="258"/>
      <c r="AD701" s="258"/>
      <c r="AE701" s="258"/>
      <c r="AF701" s="258"/>
      <c r="AG701" s="258"/>
      <c r="AH701" s="258"/>
      <c r="AQ701" s="259"/>
      <c r="AR701" s="259"/>
      <c r="AS701" s="259"/>
      <c r="AT701" s="259"/>
      <c r="AU701" s="259"/>
      <c r="AV701" s="259"/>
      <c r="AW701" s="259"/>
    </row>
    <row r="702" spans="2:49" ht="15" customHeight="1" x14ac:dyDescent="0.25">
      <c r="B702" s="260"/>
      <c r="D702" s="262"/>
      <c r="G702" s="289"/>
      <c r="H702" s="265"/>
      <c r="I702" s="266"/>
      <c r="K702" s="268"/>
      <c r="L702" s="278"/>
      <c r="M702" s="274"/>
      <c r="N702" s="258"/>
      <c r="O702" s="258"/>
      <c r="P702" s="258"/>
      <c r="Q702" s="276"/>
      <c r="R702" s="272"/>
      <c r="S702" s="272"/>
      <c r="T702" s="272"/>
      <c r="U702" s="272"/>
      <c r="V702" s="272"/>
      <c r="W702" s="272"/>
      <c r="X702" s="272"/>
      <c r="Y702" s="272"/>
      <c r="Z702" s="258"/>
      <c r="AA702" s="258"/>
      <c r="AB702" s="258"/>
      <c r="AC702" s="258"/>
      <c r="AD702" s="258"/>
      <c r="AE702" s="258"/>
      <c r="AF702" s="258"/>
      <c r="AG702" s="258"/>
      <c r="AH702" s="258"/>
      <c r="AQ702" s="259"/>
      <c r="AR702" s="259"/>
      <c r="AS702" s="259"/>
      <c r="AT702" s="259"/>
      <c r="AU702" s="259"/>
      <c r="AV702" s="259"/>
      <c r="AW702" s="259"/>
    </row>
    <row r="703" spans="2:49" ht="15" customHeight="1" x14ac:dyDescent="0.25">
      <c r="B703" s="260"/>
      <c r="D703" s="262"/>
      <c r="G703" s="289"/>
      <c r="H703" s="265"/>
      <c r="I703" s="266"/>
      <c r="K703" s="268"/>
      <c r="L703" s="278"/>
      <c r="M703" s="274"/>
      <c r="N703" s="258"/>
      <c r="O703" s="258"/>
      <c r="P703" s="258"/>
      <c r="Q703" s="276"/>
      <c r="R703" s="272"/>
      <c r="S703" s="272"/>
      <c r="T703" s="272"/>
      <c r="U703" s="272"/>
      <c r="V703" s="272"/>
      <c r="W703" s="272"/>
      <c r="X703" s="272"/>
      <c r="Y703" s="272"/>
      <c r="Z703" s="258"/>
      <c r="AA703" s="258"/>
      <c r="AB703" s="258"/>
      <c r="AC703" s="258"/>
      <c r="AD703" s="258"/>
      <c r="AE703" s="258"/>
      <c r="AF703" s="258"/>
      <c r="AG703" s="258"/>
      <c r="AH703" s="258"/>
      <c r="AQ703" s="259"/>
      <c r="AR703" s="259"/>
      <c r="AS703" s="259"/>
      <c r="AT703" s="259"/>
      <c r="AU703" s="259"/>
      <c r="AV703" s="259"/>
      <c r="AW703" s="259"/>
    </row>
    <row r="704" spans="2:49" ht="15" customHeight="1" x14ac:dyDescent="0.25">
      <c r="B704" s="260"/>
      <c r="D704" s="262"/>
      <c r="G704" s="289"/>
      <c r="H704" s="265"/>
      <c r="I704" s="266"/>
      <c r="K704" s="268"/>
      <c r="L704" s="278"/>
      <c r="M704" s="274"/>
      <c r="N704" s="258"/>
      <c r="O704" s="258"/>
      <c r="P704" s="258"/>
      <c r="Q704" s="276"/>
      <c r="R704" s="272"/>
      <c r="S704" s="272"/>
      <c r="T704" s="272"/>
      <c r="U704" s="272"/>
      <c r="V704" s="272"/>
      <c r="W704" s="272"/>
      <c r="X704" s="272"/>
      <c r="Y704" s="272"/>
      <c r="Z704" s="258"/>
      <c r="AA704" s="258"/>
      <c r="AB704" s="258"/>
      <c r="AC704" s="258"/>
      <c r="AD704" s="258"/>
      <c r="AE704" s="258"/>
      <c r="AF704" s="258"/>
      <c r="AG704" s="258"/>
      <c r="AH704" s="258"/>
      <c r="AQ704" s="259"/>
      <c r="AR704" s="259"/>
      <c r="AS704" s="259"/>
      <c r="AT704" s="259"/>
      <c r="AU704" s="259"/>
      <c r="AV704" s="259"/>
      <c r="AW704" s="259"/>
    </row>
    <row r="705" spans="2:49" ht="15" customHeight="1" x14ac:dyDescent="0.25">
      <c r="B705" s="260"/>
      <c r="D705" s="262"/>
      <c r="G705" s="289"/>
      <c r="H705" s="265"/>
      <c r="I705" s="266"/>
      <c r="K705" s="268"/>
      <c r="L705" s="278"/>
      <c r="M705" s="274"/>
      <c r="N705" s="258"/>
      <c r="O705" s="258"/>
      <c r="P705" s="258"/>
      <c r="Q705" s="276"/>
      <c r="W705" s="272"/>
      <c r="X705" s="272"/>
      <c r="Y705" s="272"/>
      <c r="Z705" s="258"/>
      <c r="AA705" s="258"/>
      <c r="AB705" s="258"/>
      <c r="AC705" s="258"/>
      <c r="AD705" s="258"/>
      <c r="AE705" s="258"/>
      <c r="AF705" s="258"/>
      <c r="AG705" s="258"/>
      <c r="AH705" s="258"/>
      <c r="AQ705" s="259"/>
      <c r="AR705" s="259"/>
      <c r="AS705" s="259"/>
      <c r="AT705" s="259"/>
      <c r="AU705" s="259"/>
      <c r="AV705" s="259"/>
      <c r="AW705" s="259"/>
    </row>
    <row r="706" spans="2:49" ht="15" customHeight="1" x14ac:dyDescent="0.25">
      <c r="B706" s="260"/>
      <c r="D706" s="262"/>
      <c r="G706" s="289"/>
      <c r="H706" s="265"/>
      <c r="I706" s="266"/>
      <c r="K706" s="268"/>
      <c r="L706" s="278"/>
      <c r="M706" s="274"/>
      <c r="N706" s="258"/>
      <c r="O706" s="258"/>
      <c r="P706" s="258"/>
      <c r="Q706" s="276"/>
      <c r="W706" s="272"/>
      <c r="X706" s="272"/>
      <c r="Y706" s="272"/>
      <c r="Z706" s="258"/>
      <c r="AA706" s="258"/>
      <c r="AB706" s="258"/>
      <c r="AC706" s="258"/>
      <c r="AD706" s="258"/>
      <c r="AE706" s="258"/>
      <c r="AF706" s="258"/>
      <c r="AG706" s="258"/>
      <c r="AH706" s="258"/>
      <c r="AQ706" s="259"/>
      <c r="AR706" s="259"/>
      <c r="AS706" s="259"/>
      <c r="AT706" s="259"/>
      <c r="AU706" s="259"/>
      <c r="AV706" s="259"/>
      <c r="AW706" s="259"/>
    </row>
    <row r="707" spans="2:49" ht="15" customHeight="1" x14ac:dyDescent="0.25">
      <c r="B707" s="260"/>
      <c r="D707" s="262"/>
      <c r="G707" s="289"/>
      <c r="H707" s="265"/>
      <c r="I707" s="266"/>
      <c r="K707" s="268"/>
      <c r="L707" s="278"/>
      <c r="M707" s="274"/>
      <c r="N707" s="258"/>
      <c r="O707" s="258"/>
      <c r="P707" s="258"/>
      <c r="Q707" s="276"/>
      <c r="W707" s="272"/>
      <c r="X707" s="272"/>
      <c r="Y707" s="272"/>
      <c r="Z707" s="258"/>
      <c r="AA707" s="258"/>
      <c r="AB707" s="258"/>
      <c r="AC707" s="258"/>
      <c r="AD707" s="258"/>
      <c r="AE707" s="258"/>
      <c r="AF707" s="258"/>
      <c r="AG707" s="258"/>
      <c r="AH707" s="258"/>
      <c r="AQ707" s="259"/>
      <c r="AR707" s="259"/>
      <c r="AS707" s="259"/>
      <c r="AT707" s="259"/>
      <c r="AU707" s="259"/>
      <c r="AV707" s="259"/>
      <c r="AW707" s="259"/>
    </row>
    <row r="708" spans="2:49" ht="15" customHeight="1" x14ac:dyDescent="0.25">
      <c r="B708" s="260"/>
      <c r="D708" s="262"/>
      <c r="G708" s="288"/>
      <c r="H708" s="265"/>
      <c r="I708" s="266"/>
      <c r="K708" s="268"/>
      <c r="L708" s="273"/>
      <c r="M708" s="274"/>
      <c r="N708" s="270"/>
      <c r="O708" s="270"/>
      <c r="P708" s="270"/>
      <c r="Q708" s="275"/>
      <c r="R708" s="272"/>
      <c r="S708" s="272"/>
      <c r="T708" s="272"/>
      <c r="U708" s="272"/>
      <c r="V708" s="272"/>
      <c r="W708" s="272"/>
      <c r="X708" s="272"/>
      <c r="Y708" s="272"/>
      <c r="Z708" s="258"/>
      <c r="AA708" s="258"/>
      <c r="AB708" s="258"/>
      <c r="AC708" s="258"/>
      <c r="AD708" s="258"/>
      <c r="AE708" s="258"/>
      <c r="AF708" s="258"/>
      <c r="AG708" s="258"/>
      <c r="AH708" s="258"/>
      <c r="AI708" s="258"/>
      <c r="AQ708" s="259"/>
      <c r="AR708" s="259"/>
      <c r="AS708" s="259"/>
      <c r="AT708" s="259"/>
      <c r="AU708" s="259"/>
      <c r="AV708" s="259"/>
      <c r="AW708" s="259"/>
    </row>
    <row r="709" spans="2:49" ht="15" customHeight="1" x14ac:dyDescent="0.25">
      <c r="B709" s="260"/>
      <c r="D709" s="262"/>
      <c r="G709" s="288"/>
      <c r="H709" s="265"/>
      <c r="I709" s="266"/>
      <c r="K709" s="268"/>
      <c r="L709" s="273"/>
      <c r="M709" s="274"/>
      <c r="N709" s="258"/>
      <c r="O709" s="258"/>
      <c r="P709" s="258"/>
      <c r="Q709" s="276"/>
      <c r="R709" s="272"/>
      <c r="S709" s="272"/>
      <c r="T709" s="272"/>
      <c r="U709" s="272"/>
      <c r="V709" s="272"/>
      <c r="W709" s="272"/>
      <c r="X709" s="272"/>
      <c r="Y709" s="272"/>
      <c r="Z709" s="258"/>
      <c r="AA709" s="258"/>
      <c r="AB709" s="258"/>
      <c r="AC709" s="258"/>
      <c r="AD709" s="258"/>
      <c r="AE709" s="258"/>
      <c r="AF709" s="258"/>
      <c r="AG709" s="258"/>
      <c r="AH709" s="258"/>
      <c r="AI709" s="258"/>
      <c r="AQ709" s="259"/>
      <c r="AR709" s="259"/>
      <c r="AS709" s="259"/>
      <c r="AT709" s="259"/>
      <c r="AU709" s="259"/>
      <c r="AV709" s="259"/>
      <c r="AW709" s="259"/>
    </row>
    <row r="710" spans="2:49" ht="15" customHeight="1" x14ac:dyDescent="0.25">
      <c r="B710" s="260"/>
      <c r="D710" s="262"/>
      <c r="G710" s="288"/>
      <c r="H710" s="265"/>
      <c r="I710" s="266"/>
      <c r="K710" s="268"/>
      <c r="L710" s="273"/>
      <c r="M710" s="274"/>
      <c r="N710" s="258"/>
      <c r="O710" s="258"/>
      <c r="P710" s="258"/>
      <c r="Q710" s="276"/>
      <c r="R710" s="272"/>
      <c r="S710" s="272"/>
      <c r="T710" s="272"/>
      <c r="U710" s="272"/>
      <c r="V710" s="272"/>
      <c r="W710" s="272"/>
      <c r="X710" s="272"/>
      <c r="Y710" s="272"/>
      <c r="Z710" s="258"/>
      <c r="AA710" s="258"/>
      <c r="AB710" s="258"/>
      <c r="AC710" s="258"/>
      <c r="AD710" s="258"/>
      <c r="AE710" s="258"/>
      <c r="AF710" s="258"/>
      <c r="AG710" s="258"/>
      <c r="AH710" s="270"/>
      <c r="AI710" s="270"/>
      <c r="AQ710" s="259"/>
      <c r="AR710" s="259"/>
      <c r="AS710" s="259"/>
      <c r="AT710" s="259"/>
      <c r="AU710" s="259"/>
      <c r="AV710" s="259"/>
      <c r="AW710" s="259"/>
    </row>
    <row r="711" spans="2:49" ht="15" customHeight="1" x14ac:dyDescent="0.25">
      <c r="B711" s="260"/>
      <c r="D711" s="262"/>
      <c r="G711" s="288"/>
      <c r="H711" s="265"/>
      <c r="I711" s="266"/>
      <c r="K711" s="268"/>
      <c r="L711" s="273"/>
      <c r="M711" s="277"/>
      <c r="N711" s="258"/>
      <c r="O711" s="258"/>
      <c r="P711" s="258"/>
      <c r="Q711" s="276"/>
      <c r="R711" s="272"/>
      <c r="S711" s="272"/>
      <c r="T711" s="272"/>
      <c r="U711" s="272"/>
      <c r="V711" s="272"/>
      <c r="W711" s="272"/>
      <c r="X711" s="272"/>
      <c r="Y711" s="272"/>
      <c r="Z711" s="258"/>
      <c r="AA711" s="258"/>
      <c r="AB711" s="258"/>
      <c r="AC711" s="258"/>
      <c r="AD711" s="258"/>
      <c r="AE711" s="258"/>
      <c r="AF711" s="258"/>
      <c r="AG711" s="258"/>
      <c r="AH711" s="270"/>
      <c r="AI711" s="270"/>
      <c r="AQ711" s="259"/>
      <c r="AR711" s="259"/>
      <c r="AS711" s="259"/>
      <c r="AT711" s="259"/>
      <c r="AU711" s="259"/>
      <c r="AV711" s="259"/>
      <c r="AW711" s="259"/>
    </row>
    <row r="712" spans="2:49" ht="15" customHeight="1" x14ac:dyDescent="0.25">
      <c r="B712" s="260"/>
      <c r="D712" s="262"/>
      <c r="E712" s="291"/>
      <c r="F712" s="293"/>
      <c r="G712" s="288"/>
      <c r="H712" s="265"/>
      <c r="I712" s="266"/>
      <c r="K712" s="268"/>
      <c r="L712" s="278"/>
      <c r="M712" s="274"/>
      <c r="N712" s="258"/>
      <c r="O712" s="258"/>
      <c r="P712" s="258"/>
      <c r="Q712" s="276"/>
      <c r="R712" s="272"/>
      <c r="S712" s="272"/>
      <c r="T712" s="272"/>
      <c r="U712" s="272"/>
      <c r="V712" s="272"/>
      <c r="W712" s="272"/>
      <c r="X712" s="272"/>
      <c r="Y712" s="272"/>
      <c r="Z712" s="258"/>
      <c r="AA712" s="258"/>
      <c r="AB712" s="258"/>
      <c r="AC712" s="258"/>
      <c r="AD712" s="258"/>
      <c r="AE712" s="258"/>
      <c r="AF712" s="258"/>
      <c r="AG712" s="258"/>
      <c r="AH712" s="270"/>
      <c r="AI712" s="270"/>
      <c r="AQ712" s="259"/>
      <c r="AR712" s="259"/>
      <c r="AS712" s="259"/>
      <c r="AT712" s="259"/>
      <c r="AU712" s="259"/>
      <c r="AV712" s="259"/>
      <c r="AW712" s="259"/>
    </row>
    <row r="713" spans="2:49" ht="15" customHeight="1" x14ac:dyDescent="0.25">
      <c r="B713" s="260"/>
      <c r="C713" s="290"/>
      <c r="D713" s="262"/>
      <c r="E713" s="291"/>
      <c r="F713" s="262"/>
      <c r="G713" s="289"/>
      <c r="H713" s="243"/>
      <c r="I713" s="266"/>
      <c r="K713" s="268"/>
      <c r="L713" s="278"/>
      <c r="M713" s="274"/>
      <c r="N713" s="258"/>
      <c r="O713" s="258"/>
      <c r="P713" s="258"/>
      <c r="Q713" s="276"/>
      <c r="R713" s="272"/>
      <c r="S713" s="272"/>
      <c r="T713" s="272"/>
      <c r="U713" s="272"/>
      <c r="V713" s="272"/>
      <c r="W713" s="272"/>
      <c r="X713" s="272"/>
      <c r="Y713" s="272"/>
      <c r="Z713" s="258"/>
      <c r="AA713" s="258"/>
      <c r="AB713" s="258"/>
      <c r="AC713" s="258"/>
      <c r="AD713" s="258"/>
      <c r="AE713" s="258"/>
      <c r="AF713" s="258"/>
      <c r="AG713" s="258"/>
      <c r="AH713" s="258"/>
      <c r="AQ713" s="259"/>
      <c r="AR713" s="259"/>
      <c r="AS713" s="259"/>
      <c r="AT713" s="259"/>
      <c r="AU713" s="259"/>
      <c r="AV713" s="259"/>
      <c r="AW713" s="259"/>
    </row>
    <row r="714" spans="2:49" ht="15" customHeight="1" x14ac:dyDescent="0.25">
      <c r="B714" s="260"/>
      <c r="D714" s="262"/>
      <c r="G714" s="289"/>
      <c r="H714" s="265"/>
      <c r="I714" s="266"/>
      <c r="K714" s="268"/>
      <c r="L714" s="278"/>
      <c r="M714" s="274"/>
      <c r="N714" s="258"/>
      <c r="O714" s="258"/>
      <c r="P714" s="258"/>
      <c r="Q714" s="276"/>
      <c r="R714" s="272"/>
      <c r="S714" s="272"/>
      <c r="T714" s="272"/>
      <c r="U714" s="272"/>
      <c r="V714" s="272"/>
      <c r="W714" s="272"/>
      <c r="X714" s="272"/>
      <c r="Y714" s="272"/>
      <c r="Z714" s="258"/>
      <c r="AA714" s="258"/>
      <c r="AB714" s="258"/>
      <c r="AC714" s="258"/>
      <c r="AD714" s="258"/>
      <c r="AE714" s="258"/>
      <c r="AF714" s="258"/>
      <c r="AG714" s="258"/>
      <c r="AH714" s="258"/>
      <c r="AQ714" s="259"/>
      <c r="AR714" s="259"/>
      <c r="AS714" s="259"/>
      <c r="AT714" s="259"/>
      <c r="AU714" s="259"/>
      <c r="AV714" s="259"/>
      <c r="AW714" s="259"/>
    </row>
    <row r="715" spans="2:49" ht="15" customHeight="1" x14ac:dyDescent="0.25">
      <c r="B715" s="260"/>
      <c r="D715" s="262"/>
      <c r="G715" s="289"/>
      <c r="H715" s="265"/>
      <c r="I715" s="266"/>
      <c r="K715" s="268"/>
      <c r="L715" s="278"/>
      <c r="M715" s="274"/>
      <c r="N715" s="258"/>
      <c r="O715" s="258"/>
      <c r="P715" s="258"/>
      <c r="Q715" s="276"/>
      <c r="R715" s="272"/>
      <c r="S715" s="272"/>
      <c r="T715" s="272"/>
      <c r="U715" s="272"/>
      <c r="V715" s="272"/>
      <c r="W715" s="272"/>
      <c r="X715" s="272"/>
      <c r="Y715" s="272"/>
      <c r="Z715" s="258"/>
      <c r="AA715" s="258"/>
      <c r="AB715" s="258"/>
      <c r="AC715" s="258"/>
      <c r="AD715" s="258"/>
      <c r="AE715" s="258"/>
      <c r="AF715" s="258"/>
      <c r="AG715" s="258"/>
      <c r="AH715" s="258"/>
      <c r="AQ715" s="259"/>
      <c r="AR715" s="259"/>
      <c r="AS715" s="259"/>
      <c r="AT715" s="259"/>
      <c r="AU715" s="259"/>
      <c r="AV715" s="259"/>
      <c r="AW715" s="259"/>
    </row>
    <row r="716" spans="2:49" ht="15" customHeight="1" x14ac:dyDescent="0.25">
      <c r="B716" s="260"/>
      <c r="D716" s="262"/>
      <c r="G716" s="288"/>
      <c r="H716" s="265"/>
      <c r="I716" s="266"/>
      <c r="K716" s="268"/>
      <c r="L716" s="278"/>
      <c r="M716" s="274"/>
      <c r="N716" s="258"/>
      <c r="O716" s="258"/>
      <c r="P716" s="258"/>
      <c r="Q716" s="276"/>
      <c r="R716" s="272"/>
      <c r="S716" s="272"/>
      <c r="T716" s="272"/>
      <c r="U716" s="272"/>
      <c r="V716" s="272"/>
      <c r="W716" s="272"/>
      <c r="X716" s="272"/>
      <c r="Y716" s="272"/>
      <c r="Z716" s="258"/>
      <c r="AA716" s="258"/>
      <c r="AB716" s="258"/>
      <c r="AC716" s="258"/>
      <c r="AD716" s="258"/>
      <c r="AE716" s="258"/>
      <c r="AF716" s="258"/>
      <c r="AG716" s="258"/>
      <c r="AH716" s="258"/>
      <c r="AQ716" s="259"/>
      <c r="AR716" s="259"/>
      <c r="AS716" s="259"/>
      <c r="AT716" s="259"/>
      <c r="AU716" s="259"/>
      <c r="AV716" s="259"/>
      <c r="AW716" s="259"/>
    </row>
    <row r="717" spans="2:49" ht="15" customHeight="1" x14ac:dyDescent="0.25">
      <c r="B717" s="260"/>
      <c r="D717" s="262"/>
      <c r="G717" s="289"/>
      <c r="H717" s="265"/>
      <c r="I717" s="266"/>
      <c r="K717" s="268"/>
      <c r="L717" s="278"/>
      <c r="M717" s="274"/>
      <c r="N717" s="258"/>
      <c r="O717" s="258"/>
      <c r="P717" s="258"/>
      <c r="Q717" s="276"/>
      <c r="W717" s="272"/>
      <c r="X717" s="272"/>
      <c r="Y717" s="272"/>
      <c r="Z717" s="258"/>
      <c r="AA717" s="258"/>
      <c r="AB717" s="258"/>
      <c r="AC717" s="258"/>
      <c r="AD717" s="258"/>
      <c r="AE717" s="258"/>
      <c r="AF717" s="258"/>
      <c r="AG717" s="258"/>
      <c r="AH717" s="258"/>
      <c r="AQ717" s="259"/>
      <c r="AR717" s="259"/>
      <c r="AS717" s="259"/>
      <c r="AT717" s="259"/>
      <c r="AU717" s="259"/>
      <c r="AV717" s="259"/>
      <c r="AW717" s="259"/>
    </row>
    <row r="718" spans="2:49" ht="15" customHeight="1" x14ac:dyDescent="0.25">
      <c r="B718" s="260"/>
      <c r="D718" s="262"/>
      <c r="G718" s="289"/>
      <c r="H718" s="265"/>
      <c r="I718" s="266"/>
      <c r="K718" s="268"/>
      <c r="L718" s="278"/>
      <c r="M718" s="274"/>
      <c r="N718" s="258"/>
      <c r="O718" s="258"/>
      <c r="P718" s="258"/>
      <c r="Q718" s="276"/>
      <c r="W718" s="272"/>
      <c r="X718" s="272"/>
      <c r="Y718" s="272"/>
      <c r="Z718" s="258"/>
      <c r="AA718" s="258"/>
      <c r="AB718" s="258"/>
      <c r="AC718" s="258"/>
      <c r="AD718" s="258"/>
      <c r="AE718" s="258"/>
      <c r="AF718" s="258"/>
      <c r="AG718" s="258"/>
      <c r="AH718" s="258"/>
      <c r="AQ718" s="259"/>
      <c r="AR718" s="259"/>
      <c r="AS718" s="259"/>
      <c r="AT718" s="259"/>
      <c r="AU718" s="259"/>
      <c r="AV718" s="259"/>
      <c r="AW718" s="259"/>
    </row>
    <row r="719" spans="2:49" ht="15" customHeight="1" x14ac:dyDescent="0.25">
      <c r="B719" s="260"/>
      <c r="D719" s="262"/>
      <c r="G719" s="289"/>
      <c r="H719" s="265"/>
      <c r="I719" s="266"/>
      <c r="K719" s="268"/>
      <c r="L719" s="278"/>
      <c r="M719" s="274"/>
      <c r="N719" s="258"/>
      <c r="O719" s="258"/>
      <c r="P719" s="258"/>
      <c r="Q719" s="276"/>
      <c r="W719" s="272"/>
      <c r="X719" s="272"/>
      <c r="Y719" s="272"/>
      <c r="Z719" s="258"/>
      <c r="AA719" s="258"/>
      <c r="AB719" s="258"/>
      <c r="AC719" s="258"/>
      <c r="AD719" s="258"/>
      <c r="AE719" s="258"/>
      <c r="AF719" s="258"/>
      <c r="AG719" s="258"/>
      <c r="AH719" s="258"/>
      <c r="AQ719" s="259"/>
      <c r="AR719" s="259"/>
      <c r="AS719" s="259"/>
      <c r="AT719" s="259"/>
      <c r="AU719" s="259"/>
      <c r="AV719" s="259"/>
      <c r="AW719" s="259"/>
    </row>
    <row r="720" spans="2:49" ht="15" customHeight="1" x14ac:dyDescent="0.25">
      <c r="B720" s="260"/>
      <c r="D720" s="262"/>
      <c r="G720" s="289"/>
      <c r="H720" s="265"/>
      <c r="I720" s="266"/>
      <c r="K720" s="268"/>
      <c r="L720" s="273"/>
      <c r="M720" s="274"/>
      <c r="N720" s="270"/>
      <c r="O720" s="270"/>
      <c r="P720" s="270"/>
      <c r="Q720" s="275"/>
      <c r="R720" s="272"/>
      <c r="S720" s="272"/>
      <c r="T720" s="272"/>
      <c r="U720" s="272"/>
      <c r="V720" s="272"/>
      <c r="W720" s="272"/>
      <c r="X720" s="272"/>
      <c r="Y720" s="272"/>
      <c r="Z720" s="258"/>
      <c r="AA720" s="258"/>
      <c r="AB720" s="258"/>
      <c r="AC720" s="258"/>
      <c r="AD720" s="258"/>
      <c r="AE720" s="258"/>
      <c r="AF720" s="258"/>
      <c r="AG720" s="258"/>
      <c r="AH720" s="258"/>
      <c r="AI720" s="258"/>
      <c r="AQ720" s="259"/>
      <c r="AR720" s="259"/>
      <c r="AS720" s="259"/>
      <c r="AT720" s="259"/>
      <c r="AU720" s="259"/>
      <c r="AV720" s="259"/>
      <c r="AW720" s="259"/>
    </row>
    <row r="721" spans="2:49" ht="15" customHeight="1" x14ac:dyDescent="0.25">
      <c r="B721" s="260"/>
      <c r="D721" s="262"/>
      <c r="G721" s="288"/>
      <c r="H721" s="265"/>
      <c r="I721" s="266"/>
      <c r="K721" s="268"/>
      <c r="L721" s="273"/>
      <c r="M721" s="274"/>
      <c r="N721" s="258"/>
      <c r="O721" s="258"/>
      <c r="P721" s="258"/>
      <c r="Q721" s="276"/>
      <c r="R721" s="272"/>
      <c r="S721" s="272"/>
      <c r="T721" s="272"/>
      <c r="U721" s="272"/>
      <c r="V721" s="272"/>
      <c r="W721" s="272"/>
      <c r="X721" s="272"/>
      <c r="Y721" s="272"/>
      <c r="Z721" s="258"/>
      <c r="AA721" s="258"/>
      <c r="AB721" s="258"/>
      <c r="AC721" s="258"/>
      <c r="AD721" s="258"/>
      <c r="AE721" s="258"/>
      <c r="AF721" s="258"/>
      <c r="AG721" s="258"/>
      <c r="AH721" s="258"/>
      <c r="AI721" s="258"/>
      <c r="AQ721" s="259"/>
      <c r="AR721" s="259"/>
      <c r="AS721" s="259"/>
      <c r="AT721" s="259"/>
      <c r="AU721" s="259"/>
      <c r="AV721" s="259"/>
      <c r="AW721" s="259"/>
    </row>
    <row r="722" spans="2:49" ht="15" customHeight="1" x14ac:dyDescent="0.25">
      <c r="B722" s="260"/>
      <c r="D722" s="262"/>
      <c r="E722" s="291"/>
      <c r="F722" s="293"/>
      <c r="G722" s="288"/>
      <c r="H722" s="265"/>
      <c r="I722" s="266"/>
      <c r="K722" s="268"/>
      <c r="L722" s="273"/>
      <c r="M722" s="274"/>
      <c r="N722" s="258"/>
      <c r="O722" s="258"/>
      <c r="P722" s="258"/>
      <c r="Q722" s="276"/>
      <c r="R722" s="272"/>
      <c r="S722" s="272"/>
      <c r="T722" s="272"/>
      <c r="U722" s="272"/>
      <c r="V722" s="272"/>
      <c r="W722" s="272"/>
      <c r="X722" s="272"/>
      <c r="Y722" s="272"/>
      <c r="Z722" s="258"/>
      <c r="AA722" s="258"/>
      <c r="AB722" s="258"/>
      <c r="AC722" s="258"/>
      <c r="AD722" s="258"/>
      <c r="AE722" s="258"/>
      <c r="AF722" s="258"/>
      <c r="AG722" s="258"/>
      <c r="AH722" s="270"/>
      <c r="AI722" s="270"/>
      <c r="AQ722" s="259"/>
      <c r="AR722" s="259"/>
      <c r="AS722" s="259"/>
      <c r="AT722" s="259"/>
      <c r="AU722" s="259"/>
      <c r="AV722" s="259"/>
      <c r="AW722" s="259"/>
    </row>
    <row r="723" spans="2:49" ht="15" customHeight="1" x14ac:dyDescent="0.25">
      <c r="B723" s="260"/>
      <c r="C723" s="290"/>
      <c r="D723" s="262"/>
      <c r="E723" s="291"/>
      <c r="F723" s="262"/>
      <c r="G723" s="289"/>
      <c r="H723" s="243"/>
      <c r="I723" s="266"/>
      <c r="K723" s="268"/>
      <c r="L723" s="273"/>
      <c r="M723" s="277"/>
      <c r="N723" s="258"/>
      <c r="O723" s="258"/>
      <c r="P723" s="258"/>
      <c r="Q723" s="276"/>
      <c r="R723" s="272"/>
      <c r="S723" s="272"/>
      <c r="T723" s="272"/>
      <c r="U723" s="272"/>
      <c r="V723" s="272"/>
      <c r="W723" s="272"/>
      <c r="X723" s="272"/>
      <c r="Y723" s="272"/>
      <c r="Z723" s="258"/>
      <c r="AA723" s="258"/>
      <c r="AB723" s="258"/>
      <c r="AC723" s="258"/>
      <c r="AD723" s="258"/>
      <c r="AE723" s="258"/>
      <c r="AF723" s="258"/>
      <c r="AG723" s="258"/>
      <c r="AH723" s="270"/>
      <c r="AI723" s="270"/>
      <c r="AQ723" s="259"/>
      <c r="AR723" s="259"/>
      <c r="AS723" s="259"/>
      <c r="AT723" s="259"/>
      <c r="AU723" s="259"/>
      <c r="AV723" s="259"/>
      <c r="AW723" s="259"/>
    </row>
    <row r="724" spans="2:49" ht="15" customHeight="1" x14ac:dyDescent="0.25">
      <c r="B724" s="260"/>
      <c r="D724" s="262"/>
      <c r="G724" s="289"/>
      <c r="H724" s="265"/>
      <c r="I724" s="266"/>
      <c r="K724" s="268"/>
      <c r="L724" s="278"/>
      <c r="M724" s="274"/>
      <c r="N724" s="258"/>
      <c r="O724" s="258"/>
      <c r="P724" s="258"/>
      <c r="Q724" s="276"/>
      <c r="R724" s="272"/>
      <c r="S724" s="272"/>
      <c r="T724" s="272"/>
      <c r="U724" s="272"/>
      <c r="V724" s="272"/>
      <c r="W724" s="272"/>
      <c r="X724" s="272"/>
      <c r="Y724" s="272"/>
      <c r="Z724" s="258"/>
      <c r="AA724" s="258"/>
      <c r="AB724" s="258"/>
      <c r="AC724" s="258"/>
      <c r="AD724" s="258"/>
      <c r="AE724" s="258"/>
      <c r="AF724" s="258"/>
      <c r="AG724" s="258"/>
      <c r="AH724" s="270"/>
      <c r="AI724" s="270"/>
      <c r="AQ724" s="259"/>
      <c r="AR724" s="259"/>
      <c r="AS724" s="259"/>
      <c r="AT724" s="259"/>
      <c r="AU724" s="259"/>
      <c r="AV724" s="259"/>
      <c r="AW724" s="259"/>
    </row>
    <row r="725" spans="2:49" ht="15" customHeight="1" x14ac:dyDescent="0.25">
      <c r="B725" s="260"/>
      <c r="D725" s="262"/>
      <c r="G725" s="289"/>
      <c r="H725" s="265"/>
      <c r="I725" s="266"/>
      <c r="K725" s="268"/>
      <c r="L725" s="278"/>
      <c r="M725" s="274"/>
      <c r="N725" s="258"/>
      <c r="O725" s="258"/>
      <c r="P725" s="258"/>
      <c r="Q725" s="276"/>
      <c r="R725" s="272"/>
      <c r="S725" s="272"/>
      <c r="T725" s="272"/>
      <c r="U725" s="272"/>
      <c r="V725" s="272"/>
      <c r="W725" s="272"/>
      <c r="X725" s="272"/>
      <c r="Y725" s="272"/>
      <c r="Z725" s="258"/>
      <c r="AA725" s="258"/>
      <c r="AB725" s="258"/>
      <c r="AC725" s="258"/>
      <c r="AD725" s="258"/>
      <c r="AE725" s="258"/>
      <c r="AF725" s="258"/>
      <c r="AG725" s="258"/>
      <c r="AH725" s="258"/>
      <c r="AQ725" s="259"/>
      <c r="AR725" s="259"/>
      <c r="AS725" s="259"/>
      <c r="AT725" s="259"/>
      <c r="AU725" s="259"/>
      <c r="AV725" s="259"/>
      <c r="AW725" s="259"/>
    </row>
    <row r="726" spans="2:49" ht="15" customHeight="1" x14ac:dyDescent="0.25">
      <c r="B726" s="260"/>
      <c r="D726" s="262"/>
      <c r="G726" s="289"/>
      <c r="H726" s="265"/>
      <c r="I726" s="266"/>
      <c r="K726" s="268"/>
      <c r="L726" s="278"/>
      <c r="M726" s="274"/>
      <c r="N726" s="258"/>
      <c r="O726" s="258"/>
      <c r="P726" s="258"/>
      <c r="Q726" s="276"/>
      <c r="R726" s="272"/>
      <c r="S726" s="272"/>
      <c r="T726" s="272"/>
      <c r="U726" s="272"/>
      <c r="V726" s="272"/>
      <c r="W726" s="272"/>
      <c r="X726" s="272"/>
      <c r="Y726" s="272"/>
      <c r="Z726" s="258"/>
      <c r="AA726" s="258"/>
      <c r="AB726" s="258"/>
      <c r="AC726" s="258"/>
      <c r="AD726" s="258"/>
      <c r="AE726" s="258"/>
      <c r="AF726" s="258"/>
      <c r="AG726" s="258"/>
      <c r="AH726" s="258"/>
      <c r="AQ726" s="259"/>
      <c r="AR726" s="259"/>
      <c r="AS726" s="259"/>
      <c r="AT726" s="259"/>
      <c r="AU726" s="259"/>
      <c r="AV726" s="259"/>
      <c r="AW726" s="259"/>
    </row>
    <row r="727" spans="2:49" ht="15" customHeight="1" x14ac:dyDescent="0.25">
      <c r="B727" s="260"/>
      <c r="D727" s="262"/>
      <c r="G727" s="288"/>
      <c r="H727" s="265"/>
      <c r="I727" s="266"/>
      <c r="K727" s="268"/>
      <c r="L727" s="278"/>
      <c r="M727" s="274"/>
      <c r="N727" s="258"/>
      <c r="O727" s="258"/>
      <c r="P727" s="258"/>
      <c r="Q727" s="276"/>
      <c r="R727" s="272"/>
      <c r="S727" s="272"/>
      <c r="T727" s="272"/>
      <c r="U727" s="272"/>
      <c r="V727" s="272"/>
      <c r="W727" s="272"/>
      <c r="X727" s="272"/>
      <c r="Y727" s="272"/>
      <c r="Z727" s="258"/>
      <c r="AA727" s="258"/>
      <c r="AB727" s="258"/>
      <c r="AC727" s="258"/>
      <c r="AD727" s="258"/>
      <c r="AE727" s="258"/>
      <c r="AF727" s="258"/>
      <c r="AG727" s="258"/>
      <c r="AH727" s="258"/>
      <c r="AQ727" s="259"/>
      <c r="AR727" s="259"/>
      <c r="AS727" s="259"/>
      <c r="AT727" s="259"/>
      <c r="AU727" s="259"/>
      <c r="AV727" s="259"/>
      <c r="AW727" s="259"/>
    </row>
    <row r="728" spans="2:49" ht="15" customHeight="1" x14ac:dyDescent="0.25">
      <c r="B728" s="260"/>
      <c r="D728" s="262"/>
      <c r="G728" s="289"/>
      <c r="H728" s="265"/>
      <c r="I728" s="266"/>
      <c r="K728" s="268"/>
      <c r="L728" s="278"/>
      <c r="M728" s="274"/>
      <c r="N728" s="258"/>
      <c r="O728" s="258"/>
      <c r="P728" s="258"/>
      <c r="Q728" s="276"/>
      <c r="R728" s="272"/>
      <c r="S728" s="272"/>
      <c r="T728" s="272"/>
      <c r="U728" s="272"/>
      <c r="V728" s="272"/>
      <c r="W728" s="272"/>
      <c r="X728" s="272"/>
      <c r="Y728" s="272"/>
      <c r="Z728" s="258"/>
      <c r="AA728" s="258"/>
      <c r="AB728" s="258"/>
      <c r="AC728" s="258"/>
      <c r="AD728" s="258"/>
      <c r="AE728" s="258"/>
      <c r="AF728" s="258"/>
      <c r="AG728" s="258"/>
      <c r="AH728" s="258"/>
      <c r="AQ728" s="259"/>
      <c r="AR728" s="259"/>
      <c r="AS728" s="259"/>
      <c r="AT728" s="259"/>
      <c r="AU728" s="259"/>
      <c r="AV728" s="259"/>
      <c r="AW728" s="259"/>
    </row>
    <row r="729" spans="2:49" ht="15" customHeight="1" x14ac:dyDescent="0.25">
      <c r="B729" s="260"/>
      <c r="D729" s="262"/>
      <c r="G729" s="289"/>
      <c r="H729" s="265"/>
      <c r="I729" s="266"/>
      <c r="K729" s="268"/>
      <c r="L729" s="278"/>
      <c r="M729" s="274"/>
      <c r="N729" s="258"/>
      <c r="O729" s="258"/>
      <c r="P729" s="258"/>
      <c r="Q729" s="276"/>
      <c r="W729" s="272"/>
      <c r="X729" s="272"/>
      <c r="Y729" s="272"/>
      <c r="Z729" s="258"/>
      <c r="AA729" s="258"/>
      <c r="AB729" s="258"/>
      <c r="AC729" s="258"/>
      <c r="AD729" s="258"/>
      <c r="AE729" s="258"/>
      <c r="AF729" s="258"/>
      <c r="AG729" s="258"/>
      <c r="AH729" s="258"/>
      <c r="AQ729" s="259"/>
      <c r="AR729" s="259"/>
      <c r="AS729" s="259"/>
      <c r="AT729" s="259"/>
      <c r="AU729" s="259"/>
      <c r="AV729" s="259"/>
      <c r="AW729" s="259"/>
    </row>
    <row r="730" spans="2:49" ht="15" customHeight="1" x14ac:dyDescent="0.25">
      <c r="B730" s="260"/>
      <c r="D730" s="262"/>
      <c r="G730" s="289"/>
      <c r="H730" s="265"/>
      <c r="I730" s="266"/>
      <c r="K730" s="268"/>
      <c r="L730" s="278"/>
      <c r="M730" s="274"/>
      <c r="N730" s="258"/>
      <c r="O730" s="258"/>
      <c r="P730" s="258"/>
      <c r="Q730" s="276"/>
      <c r="W730" s="272"/>
      <c r="X730" s="272"/>
      <c r="Y730" s="272"/>
      <c r="Z730" s="258"/>
      <c r="AA730" s="258"/>
      <c r="AB730" s="258"/>
      <c r="AC730" s="258"/>
      <c r="AD730" s="258"/>
      <c r="AE730" s="258"/>
      <c r="AF730" s="258"/>
      <c r="AG730" s="258"/>
      <c r="AH730" s="258"/>
      <c r="AQ730" s="259"/>
      <c r="AR730" s="259"/>
      <c r="AS730" s="259"/>
      <c r="AT730" s="259"/>
      <c r="AU730" s="259"/>
      <c r="AV730" s="259"/>
      <c r="AW730" s="259"/>
    </row>
    <row r="731" spans="2:49" ht="15" customHeight="1" x14ac:dyDescent="0.25">
      <c r="B731" s="260"/>
      <c r="D731" s="262"/>
      <c r="G731" s="288"/>
      <c r="H731" s="265"/>
      <c r="I731" s="266"/>
      <c r="K731" s="268"/>
      <c r="L731" s="278"/>
      <c r="M731" s="274"/>
      <c r="N731" s="258"/>
      <c r="O731" s="258"/>
      <c r="P731" s="258"/>
      <c r="Q731" s="276"/>
      <c r="W731" s="272"/>
      <c r="X731" s="272"/>
      <c r="Y731" s="272"/>
      <c r="Z731" s="258"/>
      <c r="AA731" s="258"/>
      <c r="AB731" s="258"/>
      <c r="AC731" s="258"/>
      <c r="AD731" s="258"/>
      <c r="AE731" s="258"/>
      <c r="AF731" s="258"/>
      <c r="AG731" s="258"/>
      <c r="AH731" s="258"/>
      <c r="AQ731" s="259"/>
      <c r="AR731" s="259"/>
      <c r="AS731" s="259"/>
      <c r="AT731" s="259"/>
      <c r="AU731" s="259"/>
      <c r="AV731" s="259"/>
      <c r="AW731" s="259"/>
    </row>
    <row r="732" spans="2:49" ht="15" customHeight="1" x14ac:dyDescent="0.25">
      <c r="B732" s="260"/>
      <c r="D732" s="262"/>
      <c r="G732" s="288"/>
      <c r="H732" s="265"/>
      <c r="I732" s="266"/>
      <c r="K732" s="268"/>
      <c r="L732" s="273"/>
      <c r="M732" s="274"/>
      <c r="N732" s="270"/>
      <c r="O732" s="270"/>
      <c r="P732" s="270"/>
      <c r="Q732" s="275"/>
      <c r="R732" s="272"/>
      <c r="S732" s="272"/>
      <c r="T732" s="272"/>
      <c r="U732" s="272"/>
      <c r="V732" s="272"/>
      <c r="W732" s="272"/>
      <c r="X732" s="272"/>
      <c r="Y732" s="272"/>
      <c r="Z732" s="258"/>
      <c r="AA732" s="258"/>
      <c r="AB732" s="258"/>
      <c r="AC732" s="258"/>
      <c r="AD732" s="258"/>
      <c r="AE732" s="258"/>
      <c r="AF732" s="258"/>
      <c r="AG732" s="258"/>
      <c r="AH732" s="258"/>
      <c r="AI732" s="258"/>
      <c r="AQ732" s="259"/>
      <c r="AR732" s="259"/>
      <c r="AS732" s="259"/>
      <c r="AT732" s="259"/>
      <c r="AU732" s="259"/>
      <c r="AV732" s="259"/>
      <c r="AW732" s="259"/>
    </row>
    <row r="733" spans="2:49" ht="15" customHeight="1" x14ac:dyDescent="0.25">
      <c r="B733" s="260"/>
      <c r="D733" s="262"/>
      <c r="G733" s="289"/>
      <c r="H733" s="265"/>
      <c r="I733" s="266"/>
      <c r="K733" s="268"/>
      <c r="L733" s="273"/>
      <c r="M733" s="274"/>
      <c r="N733" s="258"/>
      <c r="O733" s="258"/>
      <c r="P733" s="258"/>
      <c r="Q733" s="276"/>
      <c r="R733" s="272"/>
      <c r="S733" s="272"/>
      <c r="T733" s="272"/>
      <c r="U733" s="272"/>
      <c r="V733" s="272"/>
      <c r="W733" s="272"/>
      <c r="X733" s="272"/>
      <c r="Y733" s="272"/>
      <c r="Z733" s="258"/>
      <c r="AA733" s="258"/>
      <c r="AB733" s="258"/>
      <c r="AC733" s="258"/>
      <c r="AD733" s="258"/>
      <c r="AE733" s="258"/>
      <c r="AF733" s="258"/>
      <c r="AG733" s="258"/>
      <c r="AH733" s="258"/>
      <c r="AI733" s="258"/>
      <c r="AQ733" s="259"/>
      <c r="AR733" s="259"/>
      <c r="AS733" s="259"/>
      <c r="AT733" s="259"/>
      <c r="AU733" s="259"/>
      <c r="AV733" s="259"/>
      <c r="AW733" s="259"/>
    </row>
    <row r="734" spans="2:49" ht="15" customHeight="1" x14ac:dyDescent="0.25">
      <c r="B734" s="260"/>
      <c r="D734" s="262"/>
      <c r="G734" s="289"/>
      <c r="H734" s="265"/>
      <c r="I734" s="266"/>
      <c r="K734" s="268"/>
      <c r="L734" s="273"/>
      <c r="M734" s="274"/>
      <c r="N734" s="258"/>
      <c r="O734" s="258"/>
      <c r="P734" s="258"/>
      <c r="Q734" s="276"/>
      <c r="R734" s="272"/>
      <c r="S734" s="272"/>
      <c r="T734" s="272"/>
      <c r="U734" s="272"/>
      <c r="V734" s="272"/>
      <c r="W734" s="272"/>
      <c r="X734" s="272"/>
      <c r="Y734" s="272"/>
      <c r="Z734" s="258"/>
      <c r="AA734" s="258"/>
      <c r="AB734" s="258"/>
      <c r="AC734" s="258"/>
      <c r="AD734" s="258"/>
      <c r="AE734" s="258"/>
      <c r="AF734" s="258"/>
      <c r="AG734" s="258"/>
      <c r="AH734" s="270"/>
      <c r="AI734" s="270"/>
      <c r="AQ734" s="259"/>
      <c r="AR734" s="259"/>
      <c r="AS734" s="259"/>
      <c r="AT734" s="259"/>
      <c r="AU734" s="259"/>
      <c r="AV734" s="259"/>
      <c r="AW734" s="259"/>
    </row>
    <row r="735" spans="2:49" ht="15" customHeight="1" x14ac:dyDescent="0.25">
      <c r="B735" s="260"/>
      <c r="D735" s="262"/>
      <c r="G735" s="288"/>
      <c r="H735" s="265"/>
      <c r="I735" s="266"/>
      <c r="K735" s="268"/>
      <c r="L735" s="273"/>
      <c r="M735" s="277"/>
      <c r="N735" s="258"/>
      <c r="O735" s="258"/>
      <c r="P735" s="258"/>
      <c r="Q735" s="276"/>
      <c r="R735" s="272"/>
      <c r="S735" s="272"/>
      <c r="T735" s="272"/>
      <c r="U735" s="272"/>
      <c r="V735" s="272"/>
      <c r="W735" s="272"/>
      <c r="X735" s="272"/>
      <c r="Y735" s="272"/>
      <c r="Z735" s="258"/>
      <c r="AA735" s="258"/>
      <c r="AB735" s="258"/>
      <c r="AC735" s="258"/>
      <c r="AD735" s="258"/>
      <c r="AE735" s="258"/>
      <c r="AF735" s="258"/>
      <c r="AG735" s="258"/>
      <c r="AH735" s="270"/>
      <c r="AI735" s="270"/>
      <c r="AQ735" s="259"/>
      <c r="AR735" s="259"/>
      <c r="AS735" s="259"/>
      <c r="AT735" s="259"/>
      <c r="AU735" s="259"/>
      <c r="AV735" s="259"/>
      <c r="AW735" s="259"/>
    </row>
    <row r="736" spans="2:49" ht="15" customHeight="1" x14ac:dyDescent="0.25">
      <c r="B736" s="260"/>
      <c r="D736" s="262"/>
      <c r="G736" s="288"/>
      <c r="H736" s="265"/>
      <c r="I736" s="266"/>
      <c r="K736" s="268"/>
      <c r="L736" s="278"/>
      <c r="M736" s="274"/>
      <c r="N736" s="258"/>
      <c r="O736" s="258"/>
      <c r="P736" s="258"/>
      <c r="Q736" s="276"/>
      <c r="R736" s="272"/>
      <c r="S736" s="272"/>
      <c r="T736" s="272"/>
      <c r="U736" s="272"/>
      <c r="V736" s="272"/>
      <c r="W736" s="272"/>
      <c r="X736" s="272"/>
      <c r="Y736" s="272"/>
      <c r="Z736" s="258"/>
      <c r="AA736" s="258"/>
      <c r="AB736" s="258"/>
      <c r="AC736" s="258"/>
      <c r="AD736" s="258"/>
      <c r="AE736" s="258"/>
      <c r="AF736" s="258"/>
      <c r="AG736" s="258"/>
      <c r="AH736" s="270"/>
      <c r="AI736" s="270"/>
      <c r="AQ736" s="259"/>
      <c r="AR736" s="259"/>
      <c r="AS736" s="259"/>
      <c r="AT736" s="259"/>
      <c r="AU736" s="259"/>
      <c r="AV736" s="259"/>
      <c r="AW736" s="259"/>
    </row>
    <row r="737" spans="2:49" ht="15" customHeight="1" x14ac:dyDescent="0.25">
      <c r="B737" s="260"/>
      <c r="D737" s="262"/>
      <c r="G737" s="288"/>
      <c r="H737" s="265"/>
      <c r="I737" s="266"/>
      <c r="K737" s="268"/>
      <c r="L737" s="278"/>
      <c r="M737" s="274"/>
      <c r="N737" s="258"/>
      <c r="O737" s="258"/>
      <c r="P737" s="258"/>
      <c r="Q737" s="276"/>
      <c r="R737" s="272"/>
      <c r="S737" s="272"/>
      <c r="T737" s="272"/>
      <c r="U737" s="272"/>
      <c r="V737" s="272"/>
      <c r="W737" s="272"/>
      <c r="X737" s="272"/>
      <c r="Y737" s="272"/>
      <c r="Z737" s="258"/>
      <c r="AA737" s="258"/>
      <c r="AB737" s="258"/>
      <c r="AC737" s="258"/>
      <c r="AD737" s="258"/>
      <c r="AE737" s="258"/>
      <c r="AF737" s="258"/>
      <c r="AG737" s="258"/>
      <c r="AH737" s="258"/>
      <c r="AQ737" s="259"/>
      <c r="AR737" s="259"/>
      <c r="AS737" s="259"/>
      <c r="AT737" s="259"/>
      <c r="AU737" s="259"/>
      <c r="AV737" s="259"/>
      <c r="AW737" s="259"/>
    </row>
    <row r="738" spans="2:49" ht="15" customHeight="1" x14ac:dyDescent="0.25">
      <c r="B738" s="260"/>
      <c r="D738" s="262"/>
      <c r="E738" s="291"/>
      <c r="F738" s="293"/>
      <c r="G738" s="288"/>
      <c r="H738" s="265"/>
      <c r="I738" s="266"/>
      <c r="K738" s="268"/>
      <c r="L738" s="278"/>
      <c r="M738" s="274"/>
      <c r="N738" s="258"/>
      <c r="O738" s="258"/>
      <c r="P738" s="258"/>
      <c r="Q738" s="276"/>
      <c r="R738" s="272"/>
      <c r="S738" s="272"/>
      <c r="T738" s="272"/>
      <c r="U738" s="272"/>
      <c r="V738" s="272"/>
      <c r="W738" s="272"/>
      <c r="X738" s="272"/>
      <c r="Y738" s="272"/>
      <c r="Z738" s="258"/>
      <c r="AA738" s="258"/>
      <c r="AB738" s="258"/>
      <c r="AC738" s="258"/>
      <c r="AD738" s="258"/>
      <c r="AE738" s="258"/>
      <c r="AF738" s="258"/>
      <c r="AG738" s="258"/>
      <c r="AH738" s="258"/>
      <c r="AQ738" s="259"/>
      <c r="AR738" s="259"/>
      <c r="AS738" s="259"/>
      <c r="AT738" s="259"/>
      <c r="AU738" s="259"/>
      <c r="AV738" s="259"/>
      <c r="AW738" s="259"/>
    </row>
    <row r="739" spans="2:49" ht="15" customHeight="1" x14ac:dyDescent="0.25">
      <c r="B739" s="260"/>
      <c r="C739" s="290"/>
      <c r="D739" s="262"/>
      <c r="E739" s="291"/>
      <c r="F739" s="262"/>
      <c r="G739" s="289"/>
      <c r="H739" s="243"/>
      <c r="I739" s="266"/>
      <c r="K739" s="268"/>
      <c r="L739" s="278"/>
      <c r="M739" s="274"/>
      <c r="N739" s="258"/>
      <c r="O739" s="258"/>
      <c r="P739" s="258"/>
      <c r="Q739" s="276"/>
      <c r="R739" s="272"/>
      <c r="S739" s="272"/>
      <c r="T739" s="272"/>
      <c r="U739" s="272"/>
      <c r="V739" s="272"/>
      <c r="W739" s="272"/>
      <c r="X739" s="272"/>
      <c r="Y739" s="272"/>
      <c r="Z739" s="258"/>
      <c r="AA739" s="258"/>
      <c r="AB739" s="258"/>
      <c r="AC739" s="258"/>
      <c r="AD739" s="258"/>
      <c r="AE739" s="258"/>
      <c r="AF739" s="258"/>
      <c r="AG739" s="258"/>
      <c r="AH739" s="258"/>
      <c r="AQ739" s="259"/>
      <c r="AR739" s="259"/>
      <c r="AS739" s="259"/>
      <c r="AT739" s="259"/>
      <c r="AU739" s="259"/>
      <c r="AV739" s="259"/>
      <c r="AW739" s="259"/>
    </row>
    <row r="740" spans="2:49" ht="15" customHeight="1" x14ac:dyDescent="0.25">
      <c r="B740" s="260"/>
      <c r="D740" s="262"/>
      <c r="G740" s="289"/>
      <c r="H740" s="265"/>
      <c r="I740" s="266"/>
      <c r="K740" s="268"/>
      <c r="L740" s="278"/>
      <c r="M740" s="274"/>
      <c r="N740" s="258"/>
      <c r="O740" s="258"/>
      <c r="P740" s="258"/>
      <c r="Q740" s="276"/>
      <c r="R740" s="272"/>
      <c r="S740" s="272"/>
      <c r="T740" s="272"/>
      <c r="U740" s="272"/>
      <c r="V740" s="272"/>
      <c r="W740" s="272"/>
      <c r="X740" s="272"/>
      <c r="Y740" s="272"/>
      <c r="Z740" s="258"/>
      <c r="AA740" s="258"/>
      <c r="AB740" s="258"/>
      <c r="AC740" s="258"/>
      <c r="AD740" s="258"/>
      <c r="AE740" s="258"/>
      <c r="AF740" s="258"/>
      <c r="AG740" s="258"/>
      <c r="AH740" s="258"/>
      <c r="AQ740" s="259"/>
      <c r="AR740" s="259"/>
      <c r="AS740" s="259"/>
      <c r="AT740" s="259"/>
      <c r="AU740" s="259"/>
      <c r="AV740" s="259"/>
      <c r="AW740" s="259"/>
    </row>
    <row r="741" spans="2:49" ht="15" customHeight="1" x14ac:dyDescent="0.25">
      <c r="B741" s="260"/>
      <c r="D741" s="262"/>
      <c r="G741" s="288"/>
      <c r="H741" s="265"/>
      <c r="I741" s="266"/>
      <c r="K741" s="268"/>
      <c r="L741" s="278"/>
      <c r="M741" s="274"/>
      <c r="N741" s="258"/>
      <c r="O741" s="258"/>
      <c r="P741" s="258"/>
      <c r="Q741" s="276"/>
      <c r="W741" s="272"/>
      <c r="X741" s="272"/>
      <c r="Y741" s="272"/>
      <c r="Z741" s="258"/>
      <c r="AA741" s="258"/>
      <c r="AB741" s="258"/>
      <c r="AC741" s="258"/>
      <c r="AD741" s="258"/>
      <c r="AE741" s="258"/>
      <c r="AF741" s="258"/>
      <c r="AG741" s="258"/>
      <c r="AH741" s="258"/>
      <c r="AQ741" s="259"/>
      <c r="AR741" s="259"/>
      <c r="AS741" s="259"/>
      <c r="AT741" s="259"/>
      <c r="AU741" s="259"/>
      <c r="AV741" s="259"/>
      <c r="AW741" s="259"/>
    </row>
    <row r="742" spans="2:49" ht="15" customHeight="1" x14ac:dyDescent="0.25">
      <c r="B742" s="260"/>
      <c r="D742" s="262"/>
      <c r="G742" s="288"/>
      <c r="H742" s="265"/>
      <c r="I742" s="266"/>
      <c r="K742" s="268"/>
      <c r="L742" s="278"/>
      <c r="M742" s="274"/>
      <c r="N742" s="258"/>
      <c r="O742" s="258"/>
      <c r="P742" s="258"/>
      <c r="Q742" s="276"/>
      <c r="W742" s="272"/>
      <c r="X742" s="272"/>
      <c r="Y742" s="272"/>
      <c r="Z742" s="258"/>
      <c r="AA742" s="258"/>
      <c r="AB742" s="258"/>
      <c r="AC742" s="258"/>
      <c r="AD742" s="258"/>
      <c r="AE742" s="258"/>
      <c r="AF742" s="258"/>
      <c r="AG742" s="258"/>
      <c r="AH742" s="258"/>
      <c r="AQ742" s="259"/>
      <c r="AR742" s="259"/>
      <c r="AS742" s="259"/>
      <c r="AT742" s="259"/>
      <c r="AU742" s="259"/>
      <c r="AV742" s="259"/>
      <c r="AW742" s="259"/>
    </row>
    <row r="743" spans="2:49" ht="15" customHeight="1" x14ac:dyDescent="0.25">
      <c r="B743" s="260"/>
      <c r="D743" s="262"/>
      <c r="G743" s="289"/>
      <c r="H743" s="265"/>
      <c r="I743" s="266"/>
      <c r="K743" s="268"/>
      <c r="L743" s="278"/>
      <c r="M743" s="274"/>
      <c r="N743" s="258"/>
      <c r="O743" s="258"/>
      <c r="P743" s="258"/>
      <c r="Q743" s="276"/>
      <c r="W743" s="272"/>
      <c r="X743" s="272"/>
      <c r="Y743" s="272"/>
      <c r="Z743" s="258"/>
      <c r="AA743" s="258"/>
      <c r="AB743" s="258"/>
      <c r="AC743" s="258"/>
      <c r="AD743" s="258"/>
      <c r="AE743" s="258"/>
      <c r="AF743" s="258"/>
      <c r="AG743" s="258"/>
      <c r="AH743" s="258"/>
      <c r="AQ743" s="259"/>
      <c r="AR743" s="259"/>
      <c r="AS743" s="259"/>
      <c r="AT743" s="259"/>
      <c r="AU743" s="259"/>
      <c r="AV743" s="259"/>
      <c r="AW743" s="259"/>
    </row>
    <row r="744" spans="2:49" ht="15" customHeight="1" x14ac:dyDescent="0.25">
      <c r="B744" s="260"/>
      <c r="D744" s="262"/>
      <c r="G744" s="289"/>
      <c r="H744" s="265"/>
      <c r="I744" s="266"/>
      <c r="K744" s="268"/>
      <c r="L744" s="273"/>
      <c r="M744" s="274"/>
      <c r="N744" s="270"/>
      <c r="O744" s="270"/>
      <c r="P744" s="270"/>
      <c r="Q744" s="275"/>
      <c r="R744" s="272"/>
      <c r="S744" s="272"/>
      <c r="T744" s="272"/>
      <c r="U744" s="272"/>
      <c r="V744" s="272"/>
      <c r="W744" s="272"/>
      <c r="X744" s="272"/>
      <c r="Y744" s="272"/>
      <c r="Z744" s="258"/>
      <c r="AA744" s="258"/>
      <c r="AB744" s="258"/>
      <c r="AC744" s="258"/>
      <c r="AD744" s="258"/>
      <c r="AE744" s="258"/>
      <c r="AF744" s="258"/>
      <c r="AG744" s="258"/>
      <c r="AH744" s="258"/>
      <c r="AI744" s="258"/>
      <c r="AQ744" s="259"/>
      <c r="AR744" s="259"/>
      <c r="AS744" s="259"/>
      <c r="AT744" s="259"/>
      <c r="AU744" s="259"/>
      <c r="AV744" s="259"/>
      <c r="AW744" s="259"/>
    </row>
    <row r="745" spans="2:49" ht="15" customHeight="1" x14ac:dyDescent="0.25">
      <c r="B745" s="260"/>
      <c r="D745" s="262"/>
      <c r="G745" s="289"/>
      <c r="H745" s="265"/>
      <c r="I745" s="266"/>
      <c r="K745" s="268"/>
      <c r="L745" s="273"/>
      <c r="M745" s="274"/>
      <c r="N745" s="258"/>
      <c r="O745" s="258"/>
      <c r="P745" s="258"/>
      <c r="Q745" s="276"/>
      <c r="R745" s="272"/>
      <c r="S745" s="272"/>
      <c r="T745" s="272"/>
      <c r="U745" s="272"/>
      <c r="V745" s="272"/>
      <c r="W745" s="272"/>
      <c r="X745" s="272"/>
      <c r="Y745" s="272"/>
      <c r="Z745" s="258"/>
      <c r="AA745" s="258"/>
      <c r="AB745" s="258"/>
      <c r="AC745" s="258"/>
      <c r="AD745" s="258"/>
      <c r="AE745" s="258"/>
      <c r="AF745" s="258"/>
      <c r="AG745" s="258"/>
      <c r="AH745" s="258"/>
      <c r="AI745" s="258"/>
      <c r="AQ745" s="259"/>
      <c r="AR745" s="259"/>
      <c r="AS745" s="259"/>
      <c r="AT745" s="259"/>
      <c r="AU745" s="259"/>
      <c r="AV745" s="259"/>
      <c r="AW745" s="259"/>
    </row>
    <row r="746" spans="2:49" ht="15" customHeight="1" x14ac:dyDescent="0.25">
      <c r="B746" s="260"/>
      <c r="D746" s="262"/>
      <c r="G746" s="289"/>
      <c r="H746" s="265"/>
      <c r="I746" s="266"/>
      <c r="K746" s="268"/>
      <c r="L746" s="273"/>
      <c r="M746" s="274"/>
      <c r="N746" s="258"/>
      <c r="O746" s="258"/>
      <c r="P746" s="258"/>
      <c r="Q746" s="276"/>
      <c r="R746" s="272"/>
      <c r="S746" s="272"/>
      <c r="T746" s="272"/>
      <c r="U746" s="272"/>
      <c r="V746" s="272"/>
      <c r="W746" s="272"/>
      <c r="X746" s="272"/>
      <c r="Y746" s="272"/>
      <c r="Z746" s="258"/>
      <c r="AA746" s="258"/>
      <c r="AB746" s="258"/>
      <c r="AC746" s="258"/>
      <c r="AD746" s="258"/>
      <c r="AE746" s="258"/>
      <c r="AF746" s="258"/>
      <c r="AG746" s="258"/>
      <c r="AH746" s="270"/>
      <c r="AI746" s="270"/>
      <c r="AQ746" s="259"/>
      <c r="AR746" s="259"/>
      <c r="AS746" s="259"/>
      <c r="AT746" s="259"/>
      <c r="AU746" s="259"/>
      <c r="AV746" s="259"/>
      <c r="AW746" s="259"/>
    </row>
    <row r="747" spans="2:49" ht="15" customHeight="1" x14ac:dyDescent="0.25">
      <c r="B747" s="260"/>
      <c r="D747" s="262"/>
      <c r="G747" s="289"/>
      <c r="H747" s="265"/>
      <c r="I747" s="266"/>
      <c r="K747" s="268"/>
      <c r="L747" s="273"/>
      <c r="M747" s="277"/>
      <c r="N747" s="258"/>
      <c r="O747" s="258"/>
      <c r="P747" s="258"/>
      <c r="Q747" s="276"/>
      <c r="R747" s="272"/>
      <c r="S747" s="272"/>
      <c r="T747" s="272"/>
      <c r="U747" s="272"/>
      <c r="V747" s="272"/>
      <c r="W747" s="272"/>
      <c r="X747" s="272"/>
      <c r="Y747" s="272"/>
      <c r="Z747" s="258"/>
      <c r="AA747" s="258"/>
      <c r="AB747" s="258"/>
      <c r="AC747" s="258"/>
      <c r="AD747" s="258"/>
      <c r="AE747" s="258"/>
      <c r="AF747" s="258"/>
      <c r="AG747" s="258"/>
      <c r="AH747" s="270"/>
      <c r="AI747" s="270"/>
      <c r="AQ747" s="259"/>
      <c r="AR747" s="259"/>
      <c r="AS747" s="259"/>
      <c r="AT747" s="259"/>
      <c r="AU747" s="259"/>
      <c r="AV747" s="259"/>
      <c r="AW747" s="259"/>
    </row>
    <row r="748" spans="2:49" ht="15" customHeight="1" x14ac:dyDescent="0.25">
      <c r="B748" s="260"/>
      <c r="D748" s="262"/>
      <c r="G748" s="289"/>
      <c r="H748" s="265"/>
      <c r="I748" s="266"/>
      <c r="K748" s="268"/>
      <c r="L748" s="278"/>
      <c r="M748" s="274"/>
      <c r="N748" s="258"/>
      <c r="O748" s="258"/>
      <c r="P748" s="258"/>
      <c r="Q748" s="276"/>
      <c r="R748" s="272"/>
      <c r="S748" s="272"/>
      <c r="T748" s="272"/>
      <c r="U748" s="272"/>
      <c r="V748" s="272"/>
      <c r="W748" s="272"/>
      <c r="X748" s="272"/>
      <c r="Y748" s="272"/>
      <c r="Z748" s="258"/>
      <c r="AA748" s="258"/>
      <c r="AB748" s="258"/>
      <c r="AC748" s="258"/>
      <c r="AD748" s="258"/>
      <c r="AE748" s="258"/>
      <c r="AF748" s="258"/>
      <c r="AG748" s="258"/>
      <c r="AH748" s="270"/>
      <c r="AI748" s="270"/>
      <c r="AQ748" s="259"/>
      <c r="AR748" s="259"/>
      <c r="AS748" s="259"/>
      <c r="AT748" s="259"/>
      <c r="AU748" s="259"/>
      <c r="AV748" s="259"/>
      <c r="AW748" s="259"/>
    </row>
    <row r="749" spans="2:49" ht="15" customHeight="1" x14ac:dyDescent="0.25">
      <c r="B749" s="260"/>
      <c r="D749" s="262"/>
      <c r="G749" s="289"/>
      <c r="H749" s="265"/>
      <c r="I749" s="266"/>
      <c r="K749" s="268"/>
      <c r="L749" s="278"/>
      <c r="M749" s="274"/>
      <c r="N749" s="258"/>
      <c r="O749" s="258"/>
      <c r="P749" s="258"/>
      <c r="Q749" s="276"/>
      <c r="R749" s="272"/>
      <c r="S749" s="272"/>
      <c r="T749" s="272"/>
      <c r="U749" s="272"/>
      <c r="V749" s="272"/>
      <c r="W749" s="272"/>
      <c r="X749" s="272"/>
      <c r="Y749" s="272"/>
      <c r="Z749" s="258"/>
      <c r="AA749" s="258"/>
      <c r="AB749" s="258"/>
      <c r="AC749" s="258"/>
      <c r="AD749" s="258"/>
      <c r="AE749" s="258"/>
      <c r="AF749" s="258"/>
      <c r="AG749" s="258"/>
      <c r="AH749" s="258"/>
      <c r="AQ749" s="259"/>
      <c r="AR749" s="259"/>
      <c r="AS749" s="259"/>
      <c r="AT749" s="259"/>
      <c r="AU749" s="259"/>
      <c r="AV749" s="259"/>
      <c r="AW749" s="259"/>
    </row>
    <row r="750" spans="2:49" ht="15" customHeight="1" x14ac:dyDescent="0.25">
      <c r="B750" s="260"/>
      <c r="D750" s="262"/>
      <c r="G750" s="289"/>
      <c r="H750" s="265"/>
      <c r="I750" s="266"/>
      <c r="K750" s="268"/>
      <c r="L750" s="278"/>
      <c r="M750" s="274"/>
      <c r="N750" s="258"/>
      <c r="O750" s="258"/>
      <c r="P750" s="258"/>
      <c r="Q750" s="276"/>
      <c r="R750" s="272"/>
      <c r="S750" s="272"/>
      <c r="T750" s="272"/>
      <c r="U750" s="272"/>
      <c r="V750" s="272"/>
      <c r="W750" s="272"/>
      <c r="X750" s="272"/>
      <c r="Y750" s="272"/>
      <c r="Z750" s="258"/>
      <c r="AA750" s="258"/>
      <c r="AB750" s="258"/>
      <c r="AC750" s="258"/>
      <c r="AD750" s="258"/>
      <c r="AE750" s="258"/>
      <c r="AF750" s="258"/>
      <c r="AG750" s="258"/>
      <c r="AH750" s="258"/>
      <c r="AQ750" s="259"/>
      <c r="AR750" s="259"/>
      <c r="AS750" s="259"/>
      <c r="AT750" s="259"/>
      <c r="AU750" s="259"/>
      <c r="AV750" s="259"/>
      <c r="AW750" s="259"/>
    </row>
    <row r="751" spans="2:49" ht="15" customHeight="1" x14ac:dyDescent="0.25">
      <c r="B751" s="260"/>
      <c r="D751" s="262"/>
      <c r="G751" s="289"/>
      <c r="H751" s="265"/>
      <c r="I751" s="266"/>
      <c r="K751" s="268"/>
      <c r="L751" s="278"/>
      <c r="M751" s="274"/>
      <c r="N751" s="258"/>
      <c r="O751" s="258"/>
      <c r="P751" s="258"/>
      <c r="Q751" s="276"/>
      <c r="R751" s="272"/>
      <c r="S751" s="272"/>
      <c r="T751" s="272"/>
      <c r="U751" s="272"/>
      <c r="V751" s="272"/>
      <c r="W751" s="272"/>
      <c r="X751" s="272"/>
      <c r="Y751" s="272"/>
      <c r="Z751" s="258"/>
      <c r="AA751" s="258"/>
      <c r="AB751" s="258"/>
      <c r="AC751" s="258"/>
      <c r="AD751" s="258"/>
      <c r="AE751" s="258"/>
      <c r="AF751" s="258"/>
      <c r="AG751" s="258"/>
      <c r="AH751" s="258"/>
      <c r="AQ751" s="259"/>
      <c r="AR751" s="259"/>
      <c r="AS751" s="259"/>
      <c r="AT751" s="259"/>
      <c r="AU751" s="259"/>
      <c r="AV751" s="259"/>
      <c r="AW751" s="259"/>
    </row>
    <row r="752" spans="2:49" ht="15" customHeight="1" x14ac:dyDescent="0.25">
      <c r="B752" s="260"/>
      <c r="D752" s="262"/>
      <c r="G752" s="288"/>
      <c r="H752" s="265"/>
      <c r="I752" s="266"/>
      <c r="K752" s="268"/>
      <c r="L752" s="278"/>
      <c r="M752" s="274"/>
      <c r="N752" s="258"/>
      <c r="O752" s="258"/>
      <c r="P752" s="258"/>
      <c r="Q752" s="276"/>
      <c r="R752" s="272"/>
      <c r="S752" s="272"/>
      <c r="T752" s="272"/>
      <c r="U752" s="272"/>
      <c r="V752" s="272"/>
      <c r="W752" s="272"/>
      <c r="X752" s="272"/>
      <c r="Y752" s="272"/>
      <c r="Z752" s="258"/>
      <c r="AA752" s="258"/>
      <c r="AB752" s="258"/>
      <c r="AC752" s="258"/>
      <c r="AD752" s="258"/>
      <c r="AE752" s="258"/>
      <c r="AF752" s="258"/>
      <c r="AG752" s="258"/>
      <c r="AH752" s="258"/>
      <c r="AQ752" s="259"/>
      <c r="AR752" s="259"/>
      <c r="AS752" s="259"/>
      <c r="AT752" s="259"/>
      <c r="AU752" s="259"/>
      <c r="AV752" s="259"/>
      <c r="AW752" s="259"/>
    </row>
    <row r="753" spans="2:49" ht="15" customHeight="1" x14ac:dyDescent="0.25">
      <c r="B753" s="260"/>
      <c r="D753" s="262"/>
      <c r="G753" s="288"/>
      <c r="H753" s="265"/>
      <c r="I753" s="266"/>
      <c r="K753" s="268"/>
      <c r="L753" s="278"/>
      <c r="M753" s="274"/>
      <c r="N753" s="258"/>
      <c r="O753" s="258"/>
      <c r="P753" s="258"/>
      <c r="Q753" s="276"/>
      <c r="W753" s="272"/>
      <c r="X753" s="272"/>
      <c r="Y753" s="272"/>
      <c r="Z753" s="258"/>
      <c r="AA753" s="258"/>
      <c r="AB753" s="258"/>
      <c r="AC753" s="258"/>
      <c r="AD753" s="258"/>
      <c r="AE753" s="258"/>
      <c r="AF753" s="258"/>
      <c r="AG753" s="258"/>
      <c r="AH753" s="258"/>
      <c r="AQ753" s="259"/>
      <c r="AR753" s="259"/>
      <c r="AS753" s="259"/>
      <c r="AT753" s="259"/>
      <c r="AU753" s="259"/>
      <c r="AV753" s="259"/>
      <c r="AW753" s="259"/>
    </row>
    <row r="754" spans="2:49" ht="15" customHeight="1" x14ac:dyDescent="0.25">
      <c r="B754" s="260"/>
      <c r="D754" s="262"/>
      <c r="G754" s="288"/>
      <c r="H754" s="265"/>
      <c r="I754" s="266"/>
      <c r="K754" s="268"/>
      <c r="L754" s="278"/>
      <c r="M754" s="274"/>
      <c r="N754" s="258"/>
      <c r="O754" s="258"/>
      <c r="P754" s="258"/>
      <c r="Q754" s="276"/>
      <c r="W754" s="272"/>
      <c r="X754" s="272"/>
      <c r="Y754" s="272"/>
      <c r="Z754" s="258"/>
      <c r="AA754" s="258"/>
      <c r="AB754" s="258"/>
      <c r="AC754" s="258"/>
      <c r="AD754" s="258"/>
      <c r="AE754" s="258"/>
      <c r="AF754" s="258"/>
      <c r="AG754" s="258"/>
      <c r="AH754" s="258"/>
      <c r="AQ754" s="259"/>
      <c r="AR754" s="259"/>
      <c r="AS754" s="259"/>
      <c r="AT754" s="259"/>
      <c r="AU754" s="259"/>
      <c r="AV754" s="259"/>
      <c r="AW754" s="259"/>
    </row>
    <row r="755" spans="2:49" ht="15" customHeight="1" x14ac:dyDescent="0.25">
      <c r="B755" s="260"/>
      <c r="D755" s="262"/>
      <c r="G755" s="288"/>
      <c r="H755" s="265"/>
      <c r="I755" s="266"/>
      <c r="K755" s="268"/>
      <c r="L755" s="278"/>
      <c r="M755" s="274"/>
      <c r="N755" s="258"/>
      <c r="O755" s="258"/>
      <c r="P755" s="258"/>
      <c r="Q755" s="276"/>
      <c r="W755" s="272"/>
      <c r="X755" s="272"/>
      <c r="Y755" s="272"/>
      <c r="Z755" s="258"/>
      <c r="AA755" s="258"/>
      <c r="AB755" s="258"/>
      <c r="AC755" s="258"/>
      <c r="AD755" s="258"/>
      <c r="AE755" s="258"/>
      <c r="AF755" s="258"/>
      <c r="AG755" s="258"/>
      <c r="AH755" s="258"/>
      <c r="AQ755" s="259"/>
      <c r="AR755" s="259"/>
      <c r="AS755" s="259"/>
      <c r="AT755" s="259"/>
      <c r="AU755" s="259"/>
      <c r="AV755" s="259"/>
      <c r="AW755" s="259"/>
    </row>
    <row r="756" spans="2:49" ht="15" customHeight="1" x14ac:dyDescent="0.25">
      <c r="B756" s="260"/>
      <c r="D756" s="262"/>
      <c r="G756" s="288"/>
      <c r="H756" s="265"/>
      <c r="I756" s="266"/>
      <c r="K756" s="268"/>
      <c r="L756" s="273"/>
      <c r="M756" s="274"/>
      <c r="N756" s="270"/>
      <c r="O756" s="270"/>
      <c r="P756" s="270"/>
      <c r="Q756" s="275"/>
      <c r="R756" s="272"/>
      <c r="S756" s="272"/>
      <c r="T756" s="272"/>
      <c r="U756" s="272"/>
      <c r="V756" s="272"/>
      <c r="W756" s="272"/>
      <c r="X756" s="272"/>
      <c r="Y756" s="272"/>
      <c r="Z756" s="258"/>
      <c r="AA756" s="258"/>
      <c r="AB756" s="258"/>
      <c r="AC756" s="258"/>
      <c r="AD756" s="258"/>
      <c r="AE756" s="258"/>
      <c r="AF756" s="258"/>
      <c r="AG756" s="258"/>
      <c r="AH756" s="258"/>
      <c r="AI756" s="258"/>
      <c r="AQ756" s="259"/>
      <c r="AR756" s="259"/>
      <c r="AS756" s="259"/>
      <c r="AT756" s="259"/>
      <c r="AU756" s="259"/>
      <c r="AV756" s="259"/>
      <c r="AW756" s="259"/>
    </row>
    <row r="757" spans="2:49" ht="15" customHeight="1" x14ac:dyDescent="0.25">
      <c r="B757" s="260"/>
      <c r="D757" s="262"/>
      <c r="G757" s="288"/>
      <c r="H757" s="265"/>
      <c r="I757" s="266"/>
      <c r="K757" s="268"/>
      <c r="L757" s="273"/>
      <c r="M757" s="274"/>
      <c r="N757" s="258"/>
      <c r="O757" s="258"/>
      <c r="P757" s="258"/>
      <c r="Q757" s="276"/>
      <c r="R757" s="272"/>
      <c r="S757" s="272"/>
      <c r="T757" s="272"/>
      <c r="U757" s="272"/>
      <c r="V757" s="272"/>
      <c r="W757" s="272"/>
      <c r="X757" s="272"/>
      <c r="Y757" s="272"/>
      <c r="Z757" s="258"/>
      <c r="AA757" s="258"/>
      <c r="AB757" s="258"/>
      <c r="AC757" s="258"/>
      <c r="AD757" s="258"/>
      <c r="AE757" s="258"/>
      <c r="AF757" s="258"/>
      <c r="AG757" s="258"/>
      <c r="AH757" s="258"/>
      <c r="AI757" s="258"/>
      <c r="AQ757" s="259"/>
      <c r="AR757" s="259"/>
      <c r="AS757" s="259"/>
      <c r="AT757" s="259"/>
      <c r="AU757" s="259"/>
      <c r="AV757" s="259"/>
      <c r="AW757" s="259"/>
    </row>
    <row r="758" spans="2:49" ht="15" customHeight="1" x14ac:dyDescent="0.25">
      <c r="B758" s="260"/>
      <c r="D758" s="262"/>
      <c r="E758" s="291"/>
      <c r="F758" s="293"/>
      <c r="G758" s="288"/>
      <c r="H758" s="265"/>
      <c r="I758" s="266"/>
      <c r="K758" s="268"/>
      <c r="L758" s="273"/>
      <c r="M758" s="274"/>
      <c r="N758" s="258"/>
      <c r="O758" s="258"/>
      <c r="P758" s="258"/>
      <c r="Q758" s="276"/>
      <c r="R758" s="272"/>
      <c r="S758" s="272"/>
      <c r="T758" s="272"/>
      <c r="U758" s="272"/>
      <c r="V758" s="272"/>
      <c r="W758" s="272"/>
      <c r="X758" s="272"/>
      <c r="Y758" s="272"/>
      <c r="Z758" s="258"/>
      <c r="AA758" s="258"/>
      <c r="AB758" s="258"/>
      <c r="AC758" s="258"/>
      <c r="AD758" s="258"/>
      <c r="AE758" s="258"/>
      <c r="AF758" s="258"/>
      <c r="AG758" s="258"/>
      <c r="AH758" s="270"/>
      <c r="AI758" s="270"/>
      <c r="AQ758" s="259"/>
      <c r="AR758" s="259"/>
      <c r="AS758" s="259"/>
      <c r="AT758" s="259"/>
      <c r="AU758" s="259"/>
      <c r="AV758" s="259"/>
      <c r="AW758" s="259"/>
    </row>
    <row r="759" spans="2:49" ht="15" customHeight="1" x14ac:dyDescent="0.25">
      <c r="B759" s="260"/>
      <c r="C759" s="290"/>
      <c r="D759" s="262"/>
      <c r="E759" s="291"/>
      <c r="F759" s="262"/>
      <c r="G759" s="289"/>
      <c r="H759" s="243"/>
      <c r="I759" s="266"/>
      <c r="K759" s="268"/>
      <c r="L759" s="273"/>
      <c r="M759" s="277"/>
      <c r="N759" s="258"/>
      <c r="O759" s="258"/>
      <c r="P759" s="258"/>
      <c r="Q759" s="276"/>
      <c r="R759" s="272"/>
      <c r="S759" s="272"/>
      <c r="T759" s="272"/>
      <c r="U759" s="272"/>
      <c r="V759" s="272"/>
      <c r="W759" s="272"/>
      <c r="X759" s="272"/>
      <c r="Y759" s="272"/>
      <c r="Z759" s="258"/>
      <c r="AA759" s="258"/>
      <c r="AB759" s="258"/>
      <c r="AC759" s="258"/>
      <c r="AD759" s="258"/>
      <c r="AE759" s="258"/>
      <c r="AF759" s="258"/>
      <c r="AG759" s="258"/>
      <c r="AH759" s="270"/>
      <c r="AI759" s="270"/>
      <c r="AQ759" s="259"/>
      <c r="AR759" s="259"/>
      <c r="AS759" s="259"/>
      <c r="AT759" s="259"/>
      <c r="AU759" s="259"/>
      <c r="AV759" s="259"/>
      <c r="AW759" s="259"/>
    </row>
    <row r="760" spans="2:49" ht="15" customHeight="1" x14ac:dyDescent="0.25">
      <c r="B760" s="260"/>
      <c r="D760" s="262"/>
      <c r="G760" s="289"/>
      <c r="H760" s="265"/>
      <c r="I760" s="266"/>
      <c r="K760" s="268"/>
      <c r="L760" s="278"/>
      <c r="M760" s="274"/>
      <c r="N760" s="258"/>
      <c r="O760" s="258"/>
      <c r="P760" s="258"/>
      <c r="Q760" s="276"/>
      <c r="R760" s="272"/>
      <c r="S760" s="272"/>
      <c r="T760" s="272"/>
      <c r="U760" s="272"/>
      <c r="V760" s="272"/>
      <c r="W760" s="272"/>
      <c r="X760" s="272"/>
      <c r="Y760" s="272"/>
      <c r="Z760" s="258"/>
      <c r="AA760" s="258"/>
      <c r="AB760" s="258"/>
      <c r="AC760" s="258"/>
      <c r="AD760" s="258"/>
      <c r="AE760" s="258"/>
      <c r="AF760" s="258"/>
      <c r="AG760" s="258"/>
      <c r="AH760" s="270"/>
      <c r="AI760" s="270"/>
      <c r="AQ760" s="259"/>
      <c r="AR760" s="259"/>
      <c r="AS760" s="259"/>
      <c r="AT760" s="259"/>
      <c r="AU760" s="259"/>
      <c r="AV760" s="259"/>
      <c r="AW760" s="259"/>
    </row>
    <row r="761" spans="2:49" ht="15" customHeight="1" x14ac:dyDescent="0.25">
      <c r="B761" s="260"/>
      <c r="D761" s="262"/>
      <c r="G761" s="289"/>
      <c r="H761" s="265"/>
      <c r="I761" s="266"/>
      <c r="K761" s="268"/>
      <c r="L761" s="278"/>
      <c r="M761" s="274"/>
      <c r="N761" s="258"/>
      <c r="O761" s="258"/>
      <c r="P761" s="258"/>
      <c r="Q761" s="276"/>
      <c r="R761" s="272"/>
      <c r="S761" s="272"/>
      <c r="T761" s="272"/>
      <c r="U761" s="272"/>
      <c r="V761" s="272"/>
      <c r="W761" s="272"/>
      <c r="X761" s="272"/>
      <c r="Y761" s="272"/>
      <c r="Z761" s="258"/>
      <c r="AA761" s="258"/>
      <c r="AB761" s="258"/>
      <c r="AC761" s="258"/>
      <c r="AD761" s="258"/>
      <c r="AE761" s="258"/>
      <c r="AF761" s="258"/>
      <c r="AG761" s="258"/>
      <c r="AH761" s="258"/>
      <c r="AQ761" s="259"/>
      <c r="AR761" s="259"/>
      <c r="AS761" s="259"/>
      <c r="AT761" s="259"/>
      <c r="AU761" s="259"/>
      <c r="AV761" s="259"/>
      <c r="AW761" s="259"/>
    </row>
    <row r="762" spans="2:49" ht="15" customHeight="1" x14ac:dyDescent="0.25">
      <c r="B762" s="260"/>
      <c r="D762" s="262"/>
      <c r="G762" s="289"/>
      <c r="H762" s="265"/>
      <c r="I762" s="266"/>
      <c r="K762" s="268"/>
      <c r="L762" s="278"/>
      <c r="M762" s="274"/>
      <c r="N762" s="258"/>
      <c r="O762" s="258"/>
      <c r="P762" s="258"/>
      <c r="Q762" s="276"/>
      <c r="R762" s="272"/>
      <c r="S762" s="272"/>
      <c r="T762" s="272"/>
      <c r="U762" s="272"/>
      <c r="V762" s="272"/>
      <c r="W762" s="272"/>
      <c r="X762" s="272"/>
      <c r="Y762" s="272"/>
      <c r="Z762" s="258"/>
      <c r="AA762" s="258"/>
      <c r="AB762" s="258"/>
      <c r="AC762" s="258"/>
      <c r="AD762" s="258"/>
      <c r="AE762" s="258"/>
      <c r="AF762" s="258"/>
      <c r="AG762" s="258"/>
      <c r="AH762" s="258"/>
      <c r="AQ762" s="259"/>
      <c r="AR762" s="259"/>
      <c r="AS762" s="259"/>
      <c r="AT762" s="259"/>
      <c r="AU762" s="259"/>
      <c r="AV762" s="259"/>
      <c r="AW762" s="259"/>
    </row>
    <row r="763" spans="2:49" ht="15" customHeight="1" x14ac:dyDescent="0.25">
      <c r="B763" s="260"/>
      <c r="D763" s="262"/>
      <c r="G763" s="289"/>
      <c r="H763" s="265"/>
      <c r="I763" s="266"/>
      <c r="K763" s="268"/>
      <c r="L763" s="278"/>
      <c r="M763" s="274"/>
      <c r="N763" s="258"/>
      <c r="O763" s="258"/>
      <c r="P763" s="258"/>
      <c r="Q763" s="276"/>
      <c r="R763" s="272"/>
      <c r="S763" s="272"/>
      <c r="T763" s="272"/>
      <c r="U763" s="272"/>
      <c r="V763" s="272"/>
      <c r="W763" s="272"/>
      <c r="X763" s="272"/>
      <c r="Y763" s="272"/>
      <c r="Z763" s="258"/>
      <c r="AA763" s="258"/>
      <c r="AB763" s="258"/>
      <c r="AC763" s="258"/>
      <c r="AD763" s="258"/>
      <c r="AE763" s="258"/>
      <c r="AF763" s="258"/>
      <c r="AG763" s="258"/>
      <c r="AH763" s="258"/>
      <c r="AQ763" s="259"/>
      <c r="AR763" s="259"/>
      <c r="AS763" s="259"/>
      <c r="AT763" s="259"/>
      <c r="AU763" s="259"/>
      <c r="AV763" s="259"/>
      <c r="AW763" s="259"/>
    </row>
    <row r="764" spans="2:49" ht="15" customHeight="1" x14ac:dyDescent="0.25">
      <c r="B764" s="260"/>
      <c r="D764" s="262"/>
      <c r="G764" s="289"/>
      <c r="H764" s="265"/>
      <c r="I764" s="266"/>
      <c r="K764" s="268"/>
      <c r="L764" s="278"/>
      <c r="M764" s="274"/>
      <c r="N764" s="258"/>
      <c r="O764" s="258"/>
      <c r="P764" s="258"/>
      <c r="Q764" s="276"/>
      <c r="R764" s="272"/>
      <c r="S764" s="272"/>
      <c r="T764" s="272"/>
      <c r="U764" s="272"/>
      <c r="V764" s="272"/>
      <c r="W764" s="272"/>
      <c r="X764" s="272"/>
      <c r="Y764" s="272"/>
      <c r="Z764" s="258"/>
      <c r="AA764" s="258"/>
      <c r="AB764" s="258"/>
      <c r="AC764" s="258"/>
      <c r="AD764" s="258"/>
      <c r="AE764" s="258"/>
      <c r="AF764" s="258"/>
      <c r="AG764" s="258"/>
      <c r="AH764" s="258"/>
      <c r="AQ764" s="259"/>
      <c r="AR764" s="259"/>
      <c r="AS764" s="259"/>
      <c r="AT764" s="259"/>
      <c r="AU764" s="259"/>
      <c r="AV764" s="259"/>
      <c r="AW764" s="259"/>
    </row>
    <row r="765" spans="2:49" ht="15" customHeight="1" x14ac:dyDescent="0.25">
      <c r="B765" s="260"/>
      <c r="D765" s="262"/>
      <c r="G765" s="289"/>
      <c r="H765" s="265"/>
      <c r="I765" s="266"/>
      <c r="K765" s="268"/>
      <c r="L765" s="278"/>
      <c r="M765" s="274"/>
      <c r="N765" s="258"/>
      <c r="O765" s="258"/>
      <c r="P765" s="258"/>
      <c r="Q765" s="276"/>
      <c r="W765" s="272"/>
      <c r="X765" s="272"/>
      <c r="Y765" s="272"/>
      <c r="Z765" s="258"/>
      <c r="AA765" s="258"/>
      <c r="AB765" s="258"/>
      <c r="AC765" s="258"/>
      <c r="AD765" s="258"/>
      <c r="AE765" s="258"/>
      <c r="AF765" s="258"/>
      <c r="AG765" s="258"/>
      <c r="AH765" s="258"/>
      <c r="AQ765" s="259"/>
      <c r="AR765" s="259"/>
      <c r="AS765" s="259"/>
      <c r="AT765" s="259"/>
      <c r="AU765" s="259"/>
      <c r="AV765" s="259"/>
      <c r="AW765" s="259"/>
    </row>
    <row r="766" spans="2:49" ht="15" customHeight="1" x14ac:dyDescent="0.25">
      <c r="B766" s="260"/>
      <c r="D766" s="262"/>
      <c r="G766" s="288"/>
      <c r="H766" s="265"/>
      <c r="I766" s="266"/>
      <c r="K766" s="268"/>
      <c r="L766" s="278"/>
      <c r="M766" s="274"/>
      <c r="N766" s="258"/>
      <c r="O766" s="258"/>
      <c r="P766" s="258"/>
      <c r="Q766" s="276"/>
      <c r="W766" s="272"/>
      <c r="X766" s="272"/>
      <c r="Y766" s="272"/>
      <c r="Z766" s="258"/>
      <c r="AA766" s="258"/>
      <c r="AB766" s="258"/>
      <c r="AC766" s="258"/>
      <c r="AD766" s="258"/>
      <c r="AE766" s="258"/>
      <c r="AF766" s="258"/>
      <c r="AG766" s="258"/>
      <c r="AH766" s="258"/>
      <c r="AQ766" s="259"/>
      <c r="AR766" s="259"/>
      <c r="AS766" s="259"/>
      <c r="AT766" s="259"/>
      <c r="AU766" s="259"/>
      <c r="AV766" s="259"/>
      <c r="AW766" s="259"/>
    </row>
    <row r="767" spans="2:49" ht="15" customHeight="1" x14ac:dyDescent="0.25">
      <c r="B767" s="260"/>
      <c r="D767" s="262"/>
      <c r="G767" s="288"/>
      <c r="H767" s="265"/>
      <c r="I767" s="266"/>
      <c r="K767" s="268"/>
      <c r="L767" s="278"/>
      <c r="M767" s="274"/>
      <c r="N767" s="258"/>
      <c r="O767" s="258"/>
      <c r="P767" s="258"/>
      <c r="Q767" s="276"/>
      <c r="W767" s="272"/>
      <c r="X767" s="272"/>
      <c r="Y767" s="272"/>
      <c r="Z767" s="258"/>
      <c r="AA767" s="258"/>
      <c r="AB767" s="258"/>
      <c r="AC767" s="258"/>
      <c r="AD767" s="258"/>
      <c r="AE767" s="258"/>
      <c r="AF767" s="258"/>
      <c r="AG767" s="258"/>
      <c r="AH767" s="258"/>
      <c r="AQ767" s="259"/>
      <c r="AR767" s="259"/>
      <c r="AS767" s="259"/>
      <c r="AT767" s="259"/>
      <c r="AU767" s="259"/>
      <c r="AV767" s="259"/>
      <c r="AW767" s="259"/>
    </row>
    <row r="768" spans="2:49" ht="15" customHeight="1" x14ac:dyDescent="0.25">
      <c r="B768" s="260"/>
      <c r="D768" s="262"/>
      <c r="G768" s="288"/>
      <c r="H768" s="265"/>
      <c r="I768" s="266"/>
      <c r="K768" s="268"/>
      <c r="L768" s="273"/>
      <c r="M768" s="274"/>
      <c r="N768" s="270"/>
      <c r="O768" s="270"/>
      <c r="P768" s="270"/>
      <c r="Q768" s="275"/>
      <c r="R768" s="272"/>
      <c r="S768" s="272"/>
      <c r="T768" s="272"/>
      <c r="U768" s="272"/>
      <c r="V768" s="272"/>
      <c r="W768" s="272"/>
      <c r="X768" s="272"/>
      <c r="Y768" s="272"/>
      <c r="Z768" s="258"/>
      <c r="AA768" s="258"/>
      <c r="AB768" s="258"/>
      <c r="AC768" s="258"/>
      <c r="AD768" s="258"/>
      <c r="AE768" s="258"/>
      <c r="AF768" s="258"/>
      <c r="AG768" s="258"/>
      <c r="AH768" s="258"/>
      <c r="AI768" s="258"/>
      <c r="AQ768" s="259"/>
      <c r="AR768" s="259"/>
      <c r="AS768" s="259"/>
      <c r="AT768" s="259"/>
      <c r="AU768" s="259"/>
      <c r="AV768" s="259"/>
      <c r="AW768" s="259"/>
    </row>
    <row r="769" spans="2:49" ht="15" customHeight="1" x14ac:dyDescent="0.25">
      <c r="B769" s="260"/>
      <c r="D769" s="262"/>
      <c r="G769" s="288"/>
      <c r="H769" s="265"/>
      <c r="I769" s="266"/>
      <c r="K769" s="268"/>
      <c r="L769" s="273"/>
      <c r="M769" s="274"/>
      <c r="N769" s="258"/>
      <c r="O769" s="258"/>
      <c r="P769" s="258"/>
      <c r="Q769" s="276"/>
      <c r="R769" s="272"/>
      <c r="S769" s="272"/>
      <c r="T769" s="272"/>
      <c r="U769" s="272"/>
      <c r="V769" s="272"/>
      <c r="W769" s="272"/>
      <c r="X769" s="272"/>
      <c r="Y769" s="272"/>
      <c r="Z769" s="258"/>
      <c r="AA769" s="258"/>
      <c r="AB769" s="258"/>
      <c r="AC769" s="258"/>
      <c r="AD769" s="258"/>
      <c r="AE769" s="258"/>
      <c r="AF769" s="258"/>
      <c r="AG769" s="258"/>
      <c r="AH769" s="258"/>
      <c r="AI769" s="258"/>
      <c r="AQ769" s="259"/>
      <c r="AR769" s="259"/>
      <c r="AS769" s="259"/>
      <c r="AT769" s="259"/>
      <c r="AU769" s="259"/>
      <c r="AV769" s="259"/>
      <c r="AW769" s="259"/>
    </row>
    <row r="770" spans="2:49" ht="15" customHeight="1" x14ac:dyDescent="0.25">
      <c r="B770" s="260"/>
      <c r="D770" s="262"/>
      <c r="E770" s="291"/>
      <c r="F770" s="293"/>
      <c r="G770" s="288"/>
      <c r="H770" s="265"/>
      <c r="I770" s="266"/>
      <c r="K770" s="268"/>
      <c r="L770" s="273"/>
      <c r="M770" s="274"/>
      <c r="N770" s="258"/>
      <c r="O770" s="258"/>
      <c r="P770" s="258"/>
      <c r="Q770" s="276"/>
      <c r="R770" s="272"/>
      <c r="S770" s="272"/>
      <c r="T770" s="272"/>
      <c r="U770" s="272"/>
      <c r="V770" s="272"/>
      <c r="W770" s="272"/>
      <c r="X770" s="272"/>
      <c r="Y770" s="272"/>
      <c r="Z770" s="258"/>
      <c r="AA770" s="258"/>
      <c r="AB770" s="258"/>
      <c r="AC770" s="258"/>
      <c r="AD770" s="258"/>
      <c r="AE770" s="258"/>
      <c r="AF770" s="258"/>
      <c r="AG770" s="258"/>
      <c r="AH770" s="270"/>
      <c r="AI770" s="270"/>
      <c r="AQ770" s="259"/>
      <c r="AR770" s="259"/>
      <c r="AS770" s="259"/>
      <c r="AT770" s="259"/>
      <c r="AU770" s="259"/>
      <c r="AV770" s="259"/>
      <c r="AW770" s="259"/>
    </row>
    <row r="771" spans="2:49" ht="15" customHeight="1" x14ac:dyDescent="0.25">
      <c r="B771" s="260"/>
      <c r="C771" s="290"/>
      <c r="D771" s="262"/>
      <c r="E771" s="291"/>
      <c r="F771" s="262"/>
      <c r="G771" s="289"/>
      <c r="H771" s="243"/>
      <c r="I771" s="266"/>
      <c r="K771" s="268"/>
      <c r="L771" s="273"/>
      <c r="M771" s="277"/>
      <c r="N771" s="258"/>
      <c r="O771" s="258"/>
      <c r="P771" s="258"/>
      <c r="Q771" s="276"/>
      <c r="R771" s="272"/>
      <c r="S771" s="272"/>
      <c r="T771" s="272"/>
      <c r="U771" s="272"/>
      <c r="V771" s="272"/>
      <c r="W771" s="272"/>
      <c r="X771" s="272"/>
      <c r="Y771" s="272"/>
      <c r="Z771" s="258"/>
      <c r="AA771" s="258"/>
      <c r="AB771" s="258"/>
      <c r="AC771" s="258"/>
      <c r="AD771" s="258"/>
      <c r="AE771" s="258"/>
      <c r="AF771" s="258"/>
      <c r="AG771" s="258"/>
      <c r="AH771" s="270"/>
      <c r="AI771" s="270"/>
      <c r="AQ771" s="259"/>
      <c r="AR771" s="259"/>
      <c r="AS771" s="259"/>
      <c r="AT771" s="259"/>
      <c r="AU771" s="259"/>
      <c r="AV771" s="259"/>
      <c r="AW771" s="259"/>
    </row>
    <row r="772" spans="2:49" ht="15" customHeight="1" x14ac:dyDescent="0.25">
      <c r="B772" s="260"/>
      <c r="D772" s="262"/>
      <c r="G772" s="289"/>
      <c r="H772" s="265"/>
      <c r="I772" s="266"/>
      <c r="K772" s="268"/>
      <c r="L772" s="278"/>
      <c r="M772" s="274"/>
      <c r="N772" s="258"/>
      <c r="O772" s="258"/>
      <c r="P772" s="258"/>
      <c r="Q772" s="276"/>
      <c r="R772" s="272"/>
      <c r="S772" s="272"/>
      <c r="T772" s="272"/>
      <c r="U772" s="272"/>
      <c r="V772" s="272"/>
      <c r="W772" s="272"/>
      <c r="X772" s="272"/>
      <c r="Y772" s="272"/>
      <c r="Z772" s="258"/>
      <c r="AA772" s="258"/>
      <c r="AB772" s="258"/>
      <c r="AC772" s="258"/>
      <c r="AD772" s="258"/>
      <c r="AE772" s="258"/>
      <c r="AF772" s="258"/>
      <c r="AG772" s="258"/>
      <c r="AH772" s="270"/>
      <c r="AI772" s="270"/>
      <c r="AQ772" s="259"/>
      <c r="AR772" s="259"/>
      <c r="AS772" s="259"/>
      <c r="AT772" s="259"/>
      <c r="AU772" s="259"/>
      <c r="AV772" s="259"/>
      <c r="AW772" s="259"/>
    </row>
    <row r="773" spans="2:49" ht="15" customHeight="1" x14ac:dyDescent="0.25">
      <c r="B773" s="260"/>
      <c r="D773" s="262"/>
      <c r="G773" s="289"/>
      <c r="H773" s="265"/>
      <c r="I773" s="266"/>
      <c r="K773" s="268"/>
      <c r="L773" s="278"/>
      <c r="M773" s="274"/>
      <c r="N773" s="258"/>
      <c r="O773" s="258"/>
      <c r="P773" s="258"/>
      <c r="Q773" s="276"/>
      <c r="R773" s="272"/>
      <c r="S773" s="272"/>
      <c r="T773" s="272"/>
      <c r="U773" s="272"/>
      <c r="V773" s="272"/>
      <c r="W773" s="272"/>
      <c r="X773" s="272"/>
      <c r="Y773" s="272"/>
      <c r="Z773" s="258"/>
      <c r="AA773" s="258"/>
      <c r="AB773" s="258"/>
      <c r="AC773" s="258"/>
      <c r="AD773" s="258"/>
      <c r="AE773" s="258"/>
      <c r="AF773" s="258"/>
      <c r="AG773" s="258"/>
      <c r="AH773" s="258"/>
      <c r="AQ773" s="259"/>
      <c r="AR773" s="259"/>
      <c r="AS773" s="259"/>
      <c r="AT773" s="259"/>
      <c r="AU773" s="259"/>
      <c r="AV773" s="259"/>
      <c r="AW773" s="259"/>
    </row>
    <row r="774" spans="2:49" ht="15" customHeight="1" x14ac:dyDescent="0.25">
      <c r="B774" s="260"/>
      <c r="D774" s="262"/>
      <c r="G774" s="289"/>
      <c r="H774" s="265"/>
      <c r="I774" s="266"/>
      <c r="K774" s="268"/>
      <c r="L774" s="278"/>
      <c r="M774" s="274"/>
      <c r="N774" s="258"/>
      <c r="O774" s="258"/>
      <c r="P774" s="258"/>
      <c r="Q774" s="276"/>
      <c r="R774" s="272"/>
      <c r="S774" s="272"/>
      <c r="T774" s="272"/>
      <c r="U774" s="272"/>
      <c r="V774" s="272"/>
      <c r="W774" s="272"/>
      <c r="X774" s="272"/>
      <c r="Y774" s="272"/>
      <c r="Z774" s="258"/>
      <c r="AA774" s="258"/>
      <c r="AB774" s="258"/>
      <c r="AC774" s="258"/>
      <c r="AD774" s="258"/>
      <c r="AE774" s="258"/>
      <c r="AF774" s="258"/>
      <c r="AG774" s="258"/>
      <c r="AH774" s="258"/>
      <c r="AQ774" s="259"/>
      <c r="AR774" s="259"/>
      <c r="AS774" s="259"/>
      <c r="AT774" s="259"/>
      <c r="AU774" s="259"/>
      <c r="AV774" s="259"/>
      <c r="AW774" s="259"/>
    </row>
    <row r="775" spans="2:49" ht="15" customHeight="1" x14ac:dyDescent="0.25">
      <c r="B775" s="260"/>
      <c r="D775" s="262"/>
      <c r="G775" s="289"/>
      <c r="H775" s="265"/>
      <c r="I775" s="266"/>
      <c r="K775" s="268"/>
      <c r="L775" s="278"/>
      <c r="M775" s="274"/>
      <c r="N775" s="258"/>
      <c r="O775" s="258"/>
      <c r="P775" s="258"/>
      <c r="Q775" s="276"/>
      <c r="R775" s="272"/>
      <c r="S775" s="272"/>
      <c r="T775" s="272"/>
      <c r="U775" s="272"/>
      <c r="V775" s="272"/>
      <c r="W775" s="272"/>
      <c r="X775" s="272"/>
      <c r="Y775" s="272"/>
      <c r="Z775" s="258"/>
      <c r="AA775" s="258"/>
      <c r="AB775" s="258"/>
      <c r="AC775" s="258"/>
      <c r="AD775" s="258"/>
      <c r="AE775" s="258"/>
      <c r="AF775" s="258"/>
      <c r="AG775" s="258"/>
      <c r="AH775" s="258"/>
      <c r="AQ775" s="259"/>
      <c r="AR775" s="259"/>
      <c r="AS775" s="259"/>
      <c r="AT775" s="259"/>
      <c r="AU775" s="259"/>
      <c r="AV775" s="259"/>
      <c r="AW775" s="259"/>
    </row>
    <row r="776" spans="2:49" ht="15" customHeight="1" x14ac:dyDescent="0.25">
      <c r="B776" s="260"/>
      <c r="D776" s="262"/>
      <c r="G776" s="289"/>
      <c r="H776" s="265"/>
      <c r="I776" s="266"/>
      <c r="K776" s="268"/>
      <c r="L776" s="278"/>
      <c r="M776" s="274"/>
      <c r="N776" s="258"/>
      <c r="O776" s="258"/>
      <c r="P776" s="258"/>
      <c r="Q776" s="276"/>
      <c r="R776" s="272"/>
      <c r="S776" s="272"/>
      <c r="T776" s="272"/>
      <c r="U776" s="272"/>
      <c r="V776" s="272"/>
      <c r="W776" s="272"/>
      <c r="X776" s="272"/>
      <c r="Y776" s="272"/>
      <c r="Z776" s="258"/>
      <c r="AA776" s="258"/>
      <c r="AB776" s="258"/>
      <c r="AC776" s="258"/>
      <c r="AD776" s="258"/>
      <c r="AE776" s="258"/>
      <c r="AF776" s="258"/>
      <c r="AG776" s="258"/>
      <c r="AH776" s="258"/>
      <c r="AQ776" s="259"/>
      <c r="AR776" s="259"/>
      <c r="AS776" s="259"/>
      <c r="AT776" s="259"/>
      <c r="AU776" s="259"/>
      <c r="AV776" s="259"/>
      <c r="AW776" s="259"/>
    </row>
    <row r="777" spans="2:49" ht="15" customHeight="1" x14ac:dyDescent="0.25">
      <c r="B777" s="260"/>
      <c r="D777" s="262"/>
      <c r="G777" s="288"/>
      <c r="H777" s="265"/>
      <c r="I777" s="266"/>
      <c r="K777" s="268"/>
      <c r="L777" s="278"/>
      <c r="M777" s="274"/>
      <c r="N777" s="258"/>
      <c r="O777" s="258"/>
      <c r="P777" s="258"/>
      <c r="Q777" s="276"/>
      <c r="W777" s="272"/>
      <c r="X777" s="272"/>
      <c r="Y777" s="272"/>
      <c r="Z777" s="258"/>
      <c r="AA777" s="258"/>
      <c r="AB777" s="258"/>
      <c r="AC777" s="258"/>
      <c r="AD777" s="258"/>
      <c r="AE777" s="258"/>
      <c r="AF777" s="258"/>
      <c r="AG777" s="258"/>
      <c r="AH777" s="258"/>
      <c r="AQ777" s="259"/>
      <c r="AR777" s="259"/>
      <c r="AS777" s="259"/>
      <c r="AT777" s="259"/>
      <c r="AU777" s="259"/>
      <c r="AV777" s="259"/>
      <c r="AW777" s="259"/>
    </row>
    <row r="778" spans="2:49" ht="15" customHeight="1" x14ac:dyDescent="0.25">
      <c r="B778" s="260"/>
      <c r="D778" s="262"/>
      <c r="G778" s="288"/>
      <c r="H778" s="265"/>
      <c r="I778" s="266"/>
      <c r="K778" s="268"/>
      <c r="L778" s="278"/>
      <c r="M778" s="274"/>
      <c r="N778" s="258"/>
      <c r="O778" s="258"/>
      <c r="P778" s="258"/>
      <c r="Q778" s="276"/>
      <c r="W778" s="272"/>
      <c r="X778" s="272"/>
      <c r="Y778" s="272"/>
      <c r="Z778" s="258"/>
      <c r="AA778" s="258"/>
      <c r="AB778" s="258"/>
      <c r="AC778" s="258"/>
      <c r="AD778" s="258"/>
      <c r="AE778" s="258"/>
      <c r="AF778" s="258"/>
      <c r="AG778" s="258"/>
      <c r="AH778" s="258"/>
      <c r="AQ778" s="259"/>
      <c r="AR778" s="259"/>
      <c r="AS778" s="259"/>
      <c r="AT778" s="259"/>
      <c r="AU778" s="259"/>
      <c r="AV778" s="259"/>
      <c r="AW778" s="259"/>
    </row>
    <row r="779" spans="2:49" ht="15" customHeight="1" x14ac:dyDescent="0.25">
      <c r="B779" s="260"/>
      <c r="D779" s="262"/>
      <c r="G779" s="288"/>
      <c r="H779" s="265"/>
      <c r="I779" s="266"/>
      <c r="K779" s="268"/>
      <c r="L779" s="278"/>
      <c r="M779" s="274"/>
      <c r="N779" s="258"/>
      <c r="O779" s="258"/>
      <c r="P779" s="258"/>
      <c r="Q779" s="276"/>
      <c r="W779" s="272"/>
      <c r="X779" s="272"/>
      <c r="Y779" s="272"/>
      <c r="Z779" s="258"/>
      <c r="AA779" s="258"/>
      <c r="AB779" s="258"/>
      <c r="AC779" s="258"/>
      <c r="AD779" s="258"/>
      <c r="AE779" s="258"/>
      <c r="AF779" s="258"/>
      <c r="AG779" s="258"/>
      <c r="AH779" s="258"/>
      <c r="AQ779" s="259"/>
      <c r="AR779" s="259"/>
      <c r="AS779" s="259"/>
      <c r="AT779" s="259"/>
      <c r="AU779" s="259"/>
      <c r="AV779" s="259"/>
      <c r="AW779" s="259"/>
    </row>
    <row r="780" spans="2:49" ht="15" customHeight="1" x14ac:dyDescent="0.25">
      <c r="B780" s="260"/>
      <c r="D780" s="262"/>
      <c r="E780" s="291"/>
      <c r="F780" s="293"/>
      <c r="G780" s="288"/>
      <c r="H780" s="265"/>
      <c r="I780" s="266"/>
      <c r="K780" s="268"/>
      <c r="L780" s="273"/>
      <c r="M780" s="274"/>
      <c r="N780" s="270"/>
      <c r="O780" s="270"/>
      <c r="P780" s="270"/>
      <c r="Q780" s="275"/>
      <c r="R780" s="272"/>
      <c r="S780" s="272"/>
      <c r="T780" s="272"/>
      <c r="U780" s="272"/>
      <c r="V780" s="272"/>
      <c r="W780" s="272"/>
      <c r="X780" s="272"/>
      <c r="Y780" s="272"/>
      <c r="Z780" s="258"/>
      <c r="AA780" s="258"/>
      <c r="AB780" s="258"/>
      <c r="AC780" s="258"/>
      <c r="AD780" s="258"/>
      <c r="AE780" s="258"/>
      <c r="AF780" s="258"/>
      <c r="AG780" s="258"/>
      <c r="AH780" s="258"/>
      <c r="AI780" s="258"/>
      <c r="AQ780" s="259"/>
      <c r="AR780" s="259"/>
      <c r="AS780" s="259"/>
      <c r="AT780" s="259"/>
      <c r="AU780" s="259"/>
      <c r="AV780" s="259"/>
      <c r="AW780" s="259"/>
    </row>
    <row r="781" spans="2:49" ht="15" customHeight="1" x14ac:dyDescent="0.25">
      <c r="B781" s="260"/>
      <c r="C781" s="290"/>
      <c r="D781" s="262"/>
      <c r="E781" s="291"/>
      <c r="F781" s="262"/>
      <c r="G781" s="289"/>
      <c r="H781" s="243"/>
      <c r="I781" s="266"/>
      <c r="K781" s="268"/>
      <c r="L781" s="273"/>
      <c r="M781" s="274"/>
      <c r="N781" s="258"/>
      <c r="O781" s="258"/>
      <c r="P781" s="258"/>
      <c r="Q781" s="276"/>
      <c r="R781" s="272"/>
      <c r="S781" s="272"/>
      <c r="T781" s="272"/>
      <c r="U781" s="272"/>
      <c r="V781" s="272"/>
      <c r="W781" s="272"/>
      <c r="X781" s="272"/>
      <c r="Y781" s="272"/>
      <c r="Z781" s="258"/>
      <c r="AA781" s="258"/>
      <c r="AB781" s="258"/>
      <c r="AC781" s="258"/>
      <c r="AD781" s="258"/>
      <c r="AE781" s="258"/>
      <c r="AF781" s="258"/>
      <c r="AG781" s="258"/>
      <c r="AH781" s="258"/>
      <c r="AI781" s="258"/>
      <c r="AQ781" s="259"/>
      <c r="AR781" s="259"/>
      <c r="AS781" s="259"/>
      <c r="AT781" s="259"/>
      <c r="AU781" s="259"/>
      <c r="AV781" s="259"/>
      <c r="AW781" s="259"/>
    </row>
    <row r="782" spans="2:49" ht="15" customHeight="1" x14ac:dyDescent="0.25">
      <c r="B782" s="260"/>
      <c r="D782" s="262"/>
      <c r="G782" s="289"/>
      <c r="H782" s="265"/>
      <c r="I782" s="266"/>
      <c r="K782" s="268"/>
      <c r="L782" s="273"/>
      <c r="M782" s="274"/>
      <c r="N782" s="258"/>
      <c r="O782" s="258"/>
      <c r="P782" s="258"/>
      <c r="Q782" s="276"/>
      <c r="R782" s="272"/>
      <c r="S782" s="272"/>
      <c r="T782" s="272"/>
      <c r="U782" s="272"/>
      <c r="V782" s="272"/>
      <c r="W782" s="272"/>
      <c r="X782" s="272"/>
      <c r="Y782" s="272"/>
      <c r="Z782" s="258"/>
      <c r="AA782" s="258"/>
      <c r="AB782" s="258"/>
      <c r="AC782" s="258"/>
      <c r="AD782" s="258"/>
      <c r="AE782" s="258"/>
      <c r="AF782" s="258"/>
      <c r="AG782" s="258"/>
      <c r="AH782" s="270"/>
      <c r="AI782" s="270"/>
      <c r="AQ782" s="259"/>
      <c r="AR782" s="259"/>
      <c r="AS782" s="259"/>
      <c r="AT782" s="259"/>
      <c r="AU782" s="259"/>
      <c r="AV782" s="259"/>
      <c r="AW782" s="259"/>
    </row>
    <row r="783" spans="2:49" ht="15" customHeight="1" x14ac:dyDescent="0.25">
      <c r="B783" s="260"/>
      <c r="D783" s="262"/>
      <c r="G783" s="289"/>
      <c r="H783" s="265"/>
      <c r="I783" s="266"/>
      <c r="K783" s="268"/>
      <c r="L783" s="273"/>
      <c r="M783" s="277"/>
      <c r="N783" s="258"/>
      <c r="O783" s="258"/>
      <c r="P783" s="258"/>
      <c r="Q783" s="276"/>
      <c r="R783" s="272"/>
      <c r="S783" s="272"/>
      <c r="T783" s="272"/>
      <c r="U783" s="272"/>
      <c r="V783" s="272"/>
      <c r="W783" s="272"/>
      <c r="X783" s="272"/>
      <c r="Y783" s="272"/>
      <c r="Z783" s="258"/>
      <c r="AA783" s="258"/>
      <c r="AB783" s="258"/>
      <c r="AC783" s="258"/>
      <c r="AD783" s="258"/>
      <c r="AE783" s="258"/>
      <c r="AF783" s="258"/>
      <c r="AG783" s="258"/>
      <c r="AH783" s="270"/>
      <c r="AI783" s="270"/>
      <c r="AQ783" s="259"/>
      <c r="AR783" s="259"/>
      <c r="AS783" s="259"/>
      <c r="AT783" s="259"/>
      <c r="AU783" s="259"/>
      <c r="AV783" s="259"/>
      <c r="AW783" s="259"/>
    </row>
    <row r="784" spans="2:49" ht="15" customHeight="1" x14ac:dyDescent="0.25">
      <c r="B784" s="260"/>
      <c r="D784" s="262"/>
      <c r="G784" s="289"/>
      <c r="H784" s="265"/>
      <c r="I784" s="266"/>
      <c r="K784" s="268"/>
      <c r="L784" s="278"/>
      <c r="M784" s="274"/>
      <c r="N784" s="258"/>
      <c r="O784" s="258"/>
      <c r="P784" s="258"/>
      <c r="Q784" s="276"/>
      <c r="R784" s="272"/>
      <c r="S784" s="272"/>
      <c r="T784" s="272"/>
      <c r="U784" s="272"/>
      <c r="V784" s="272"/>
      <c r="W784" s="272"/>
      <c r="X784" s="272"/>
      <c r="Y784" s="272"/>
      <c r="Z784" s="258"/>
      <c r="AA784" s="258"/>
      <c r="AB784" s="258"/>
      <c r="AC784" s="258"/>
      <c r="AD784" s="258"/>
      <c r="AE784" s="258"/>
      <c r="AF784" s="258"/>
      <c r="AG784" s="258"/>
      <c r="AH784" s="270"/>
      <c r="AI784" s="270"/>
      <c r="AQ784" s="259"/>
      <c r="AR784" s="259"/>
      <c r="AS784" s="259"/>
      <c r="AT784" s="259"/>
      <c r="AU784" s="259"/>
      <c r="AV784" s="259"/>
      <c r="AW784" s="259"/>
    </row>
    <row r="785" spans="2:49" ht="15" customHeight="1" x14ac:dyDescent="0.25">
      <c r="B785" s="260"/>
      <c r="D785" s="262"/>
      <c r="G785" s="289"/>
      <c r="H785" s="265"/>
      <c r="I785" s="266"/>
      <c r="K785" s="268"/>
      <c r="L785" s="278"/>
      <c r="M785" s="274"/>
      <c r="N785" s="258"/>
      <c r="O785" s="258"/>
      <c r="P785" s="258"/>
      <c r="Q785" s="276"/>
      <c r="R785" s="272"/>
      <c r="S785" s="272"/>
      <c r="T785" s="272"/>
      <c r="U785" s="272"/>
      <c r="V785" s="272"/>
      <c r="W785" s="272"/>
      <c r="X785" s="272"/>
      <c r="Y785" s="272"/>
      <c r="Z785" s="258"/>
      <c r="AA785" s="258"/>
      <c r="AB785" s="258"/>
      <c r="AC785" s="258"/>
      <c r="AD785" s="258"/>
      <c r="AE785" s="258"/>
      <c r="AF785" s="258"/>
      <c r="AG785" s="258"/>
      <c r="AH785" s="258"/>
      <c r="AQ785" s="259"/>
      <c r="AR785" s="259"/>
      <c r="AS785" s="259"/>
      <c r="AT785" s="259"/>
      <c r="AU785" s="259"/>
      <c r="AV785" s="259"/>
      <c r="AW785" s="259"/>
    </row>
    <row r="786" spans="2:49" ht="15" customHeight="1" x14ac:dyDescent="0.25">
      <c r="B786" s="260"/>
      <c r="D786" s="262"/>
      <c r="G786" s="289"/>
      <c r="H786" s="265"/>
      <c r="I786" s="266"/>
      <c r="K786" s="268"/>
      <c r="L786" s="278"/>
      <c r="M786" s="274"/>
      <c r="N786" s="258"/>
      <c r="O786" s="258"/>
      <c r="P786" s="258"/>
      <c r="Q786" s="276"/>
      <c r="R786" s="272"/>
      <c r="S786" s="272"/>
      <c r="T786" s="272"/>
      <c r="U786" s="272"/>
      <c r="V786" s="272"/>
      <c r="W786" s="272"/>
      <c r="X786" s="272"/>
      <c r="Y786" s="272"/>
      <c r="Z786" s="258"/>
      <c r="AA786" s="258"/>
      <c r="AB786" s="258"/>
      <c r="AC786" s="258"/>
      <c r="AD786" s="258"/>
      <c r="AE786" s="258"/>
      <c r="AF786" s="258"/>
      <c r="AG786" s="258"/>
      <c r="AH786" s="258"/>
      <c r="AQ786" s="259"/>
      <c r="AR786" s="259"/>
      <c r="AS786" s="259"/>
      <c r="AT786" s="259"/>
      <c r="AU786" s="259"/>
      <c r="AV786" s="259"/>
      <c r="AW786" s="259"/>
    </row>
    <row r="787" spans="2:49" ht="15" customHeight="1" x14ac:dyDescent="0.25">
      <c r="B787" s="260"/>
      <c r="D787" s="262"/>
      <c r="G787" s="289"/>
      <c r="H787" s="265"/>
      <c r="I787" s="266"/>
      <c r="K787" s="268"/>
      <c r="L787" s="278"/>
      <c r="M787" s="274"/>
      <c r="N787" s="258"/>
      <c r="O787" s="258"/>
      <c r="P787" s="258"/>
      <c r="Q787" s="276"/>
      <c r="R787" s="272"/>
      <c r="S787" s="272"/>
      <c r="T787" s="272"/>
      <c r="U787" s="272"/>
      <c r="V787" s="272"/>
      <c r="W787" s="272"/>
      <c r="X787" s="272"/>
      <c r="Y787" s="272"/>
      <c r="Z787" s="258"/>
      <c r="AA787" s="258"/>
      <c r="AB787" s="258"/>
      <c r="AC787" s="258"/>
      <c r="AD787" s="258"/>
      <c r="AE787" s="258"/>
      <c r="AF787" s="258"/>
      <c r="AG787" s="258"/>
      <c r="AH787" s="258"/>
      <c r="AQ787" s="259"/>
      <c r="AR787" s="259"/>
      <c r="AS787" s="259"/>
      <c r="AT787" s="259"/>
      <c r="AU787" s="259"/>
      <c r="AV787" s="259"/>
      <c r="AW787" s="259"/>
    </row>
    <row r="788" spans="2:49" ht="15" customHeight="1" x14ac:dyDescent="0.25">
      <c r="B788" s="260"/>
      <c r="D788" s="262"/>
      <c r="G788" s="288"/>
      <c r="H788" s="265"/>
      <c r="I788" s="266"/>
      <c r="K788" s="268"/>
      <c r="L788" s="278"/>
      <c r="M788" s="274"/>
      <c r="N788" s="258"/>
      <c r="O788" s="258"/>
      <c r="P788" s="258"/>
      <c r="Q788" s="276"/>
      <c r="R788" s="272"/>
      <c r="S788" s="272"/>
      <c r="T788" s="272"/>
      <c r="U788" s="272"/>
      <c r="V788" s="272"/>
      <c r="W788" s="272"/>
      <c r="X788" s="272"/>
      <c r="Y788" s="272"/>
      <c r="Z788" s="258"/>
      <c r="AA788" s="258"/>
      <c r="AB788" s="258"/>
      <c r="AC788" s="258"/>
      <c r="AD788" s="258"/>
      <c r="AE788" s="258"/>
      <c r="AF788" s="258"/>
      <c r="AG788" s="258"/>
      <c r="AH788" s="258"/>
      <c r="AQ788" s="259"/>
      <c r="AR788" s="259"/>
      <c r="AS788" s="259"/>
      <c r="AT788" s="259"/>
      <c r="AU788" s="259"/>
      <c r="AV788" s="259"/>
      <c r="AW788" s="259"/>
    </row>
    <row r="789" spans="2:49" ht="15" customHeight="1" x14ac:dyDescent="0.25">
      <c r="B789" s="260"/>
      <c r="D789" s="262"/>
      <c r="G789" s="289"/>
      <c r="H789" s="265"/>
      <c r="I789" s="266"/>
      <c r="K789" s="268"/>
      <c r="L789" s="278"/>
      <c r="M789" s="274"/>
      <c r="N789" s="258"/>
      <c r="O789" s="258"/>
      <c r="P789" s="258"/>
      <c r="Q789" s="276"/>
      <c r="W789" s="272"/>
      <c r="X789" s="272"/>
      <c r="Y789" s="272"/>
      <c r="Z789" s="258"/>
      <c r="AA789" s="258"/>
      <c r="AB789" s="258"/>
      <c r="AC789" s="258"/>
      <c r="AD789" s="258"/>
      <c r="AE789" s="258"/>
      <c r="AF789" s="258"/>
      <c r="AG789" s="258"/>
      <c r="AH789" s="258"/>
      <c r="AQ789" s="259"/>
      <c r="AR789" s="259"/>
      <c r="AS789" s="259"/>
      <c r="AT789" s="259"/>
      <c r="AU789" s="259"/>
      <c r="AV789" s="259"/>
      <c r="AW789" s="259"/>
    </row>
    <row r="790" spans="2:49" ht="15" customHeight="1" x14ac:dyDescent="0.25">
      <c r="B790" s="260"/>
      <c r="D790" s="262"/>
      <c r="G790" s="289"/>
      <c r="H790" s="265"/>
      <c r="I790" s="266"/>
      <c r="K790" s="268"/>
      <c r="L790" s="278"/>
      <c r="M790" s="274"/>
      <c r="N790" s="258"/>
      <c r="O790" s="258"/>
      <c r="P790" s="258"/>
      <c r="Q790" s="276"/>
      <c r="W790" s="272"/>
      <c r="X790" s="272"/>
      <c r="Y790" s="272"/>
      <c r="Z790" s="258"/>
      <c r="AA790" s="258"/>
      <c r="AB790" s="258"/>
      <c r="AC790" s="258"/>
      <c r="AD790" s="258"/>
      <c r="AE790" s="258"/>
      <c r="AF790" s="258"/>
      <c r="AG790" s="258"/>
      <c r="AH790" s="258"/>
      <c r="AQ790" s="259"/>
      <c r="AR790" s="259"/>
      <c r="AS790" s="259"/>
      <c r="AT790" s="259"/>
      <c r="AU790" s="259"/>
      <c r="AV790" s="259"/>
      <c r="AW790" s="259"/>
    </row>
    <row r="791" spans="2:49" ht="15" customHeight="1" x14ac:dyDescent="0.25">
      <c r="B791" s="260"/>
      <c r="D791" s="262"/>
      <c r="G791" s="288"/>
      <c r="H791" s="265"/>
      <c r="I791" s="266"/>
      <c r="K791" s="268"/>
      <c r="L791" s="278"/>
      <c r="M791" s="274"/>
      <c r="N791" s="258"/>
      <c r="O791" s="258"/>
      <c r="P791" s="258"/>
      <c r="Q791" s="276"/>
      <c r="W791" s="272"/>
      <c r="X791" s="272"/>
      <c r="Y791" s="272"/>
      <c r="Z791" s="258"/>
      <c r="AA791" s="258"/>
      <c r="AB791" s="258"/>
      <c r="AC791" s="258"/>
      <c r="AD791" s="258"/>
      <c r="AE791" s="258"/>
      <c r="AF791" s="258"/>
      <c r="AG791" s="258"/>
      <c r="AH791" s="258"/>
      <c r="AQ791" s="259"/>
      <c r="AR791" s="259"/>
      <c r="AS791" s="259"/>
      <c r="AT791" s="259"/>
      <c r="AU791" s="259"/>
      <c r="AV791" s="259"/>
      <c r="AW791" s="259"/>
    </row>
    <row r="792" spans="2:49" ht="15" customHeight="1" x14ac:dyDescent="0.25">
      <c r="B792" s="260"/>
      <c r="D792" s="262"/>
      <c r="E792" s="291"/>
      <c r="F792" s="293"/>
      <c r="G792" s="288"/>
      <c r="H792" s="265"/>
      <c r="I792" s="266"/>
      <c r="K792" s="268"/>
      <c r="L792" s="273"/>
      <c r="M792" s="274"/>
      <c r="N792" s="270"/>
      <c r="O792" s="270"/>
      <c r="P792" s="270"/>
      <c r="Q792" s="275"/>
      <c r="R792" s="272"/>
      <c r="S792" s="272"/>
      <c r="T792" s="272"/>
      <c r="U792" s="272"/>
      <c r="V792" s="272"/>
      <c r="W792" s="272"/>
      <c r="X792" s="272"/>
      <c r="Y792" s="272"/>
      <c r="Z792" s="258"/>
      <c r="AA792" s="258"/>
      <c r="AB792" s="258"/>
      <c r="AC792" s="258"/>
      <c r="AD792" s="258"/>
      <c r="AE792" s="258"/>
      <c r="AF792" s="258"/>
      <c r="AG792" s="258"/>
      <c r="AH792" s="258"/>
      <c r="AI792" s="258"/>
      <c r="AQ792" s="259"/>
      <c r="AR792" s="259"/>
      <c r="AS792" s="259"/>
      <c r="AT792" s="259"/>
      <c r="AU792" s="259"/>
      <c r="AV792" s="259"/>
      <c r="AW792" s="259"/>
    </row>
    <row r="793" spans="2:49" ht="15" customHeight="1" x14ac:dyDescent="0.25">
      <c r="B793" s="260"/>
      <c r="C793" s="290"/>
      <c r="D793" s="262"/>
      <c r="E793" s="291"/>
      <c r="F793" s="262"/>
      <c r="G793" s="289"/>
      <c r="H793" s="243"/>
      <c r="I793" s="266"/>
      <c r="K793" s="268"/>
      <c r="L793" s="273"/>
      <c r="M793" s="274"/>
      <c r="N793" s="258"/>
      <c r="O793" s="258"/>
      <c r="P793" s="258"/>
      <c r="Q793" s="276"/>
      <c r="R793" s="272"/>
      <c r="S793" s="272"/>
      <c r="T793" s="272"/>
      <c r="U793" s="272"/>
      <c r="V793" s="272"/>
      <c r="W793" s="272"/>
      <c r="X793" s="272"/>
      <c r="Y793" s="272"/>
      <c r="Z793" s="258"/>
      <c r="AA793" s="258"/>
      <c r="AB793" s="258"/>
      <c r="AC793" s="258"/>
      <c r="AD793" s="258"/>
      <c r="AE793" s="258"/>
      <c r="AF793" s="258"/>
      <c r="AG793" s="258"/>
      <c r="AH793" s="258"/>
      <c r="AI793" s="258"/>
      <c r="AQ793" s="259"/>
      <c r="AR793" s="259"/>
      <c r="AS793" s="259"/>
      <c r="AT793" s="259"/>
      <c r="AU793" s="259"/>
      <c r="AV793" s="259"/>
      <c r="AW793" s="259"/>
    </row>
    <row r="794" spans="2:49" ht="15" customHeight="1" x14ac:dyDescent="0.25">
      <c r="B794" s="260"/>
      <c r="D794" s="262"/>
      <c r="G794" s="289"/>
      <c r="H794" s="265"/>
      <c r="I794" s="266"/>
      <c r="K794" s="268"/>
      <c r="L794" s="273"/>
      <c r="M794" s="274"/>
      <c r="N794" s="258"/>
      <c r="O794" s="258"/>
      <c r="P794" s="258"/>
      <c r="Q794" s="276"/>
      <c r="R794" s="272"/>
      <c r="S794" s="272"/>
      <c r="T794" s="272"/>
      <c r="U794" s="272"/>
      <c r="V794" s="272"/>
      <c r="W794" s="272"/>
      <c r="X794" s="272"/>
      <c r="Y794" s="272"/>
      <c r="Z794" s="258"/>
      <c r="AA794" s="258"/>
      <c r="AB794" s="258"/>
      <c r="AC794" s="258"/>
      <c r="AD794" s="258"/>
      <c r="AE794" s="258"/>
      <c r="AF794" s="258"/>
      <c r="AG794" s="258"/>
      <c r="AH794" s="270"/>
      <c r="AI794" s="270"/>
      <c r="AQ794" s="259"/>
      <c r="AR794" s="259"/>
      <c r="AS794" s="259"/>
      <c r="AT794" s="259"/>
      <c r="AU794" s="259"/>
      <c r="AV794" s="259"/>
      <c r="AW794" s="259"/>
    </row>
    <row r="795" spans="2:49" ht="15" customHeight="1" x14ac:dyDescent="0.25">
      <c r="B795" s="260"/>
      <c r="D795" s="262"/>
      <c r="G795" s="289"/>
      <c r="H795" s="265"/>
      <c r="I795" s="266"/>
      <c r="K795" s="268"/>
      <c r="L795" s="273"/>
      <c r="M795" s="277"/>
      <c r="N795" s="258"/>
      <c r="O795" s="258"/>
      <c r="P795" s="258"/>
      <c r="Q795" s="276"/>
      <c r="R795" s="272"/>
      <c r="S795" s="272"/>
      <c r="T795" s="272"/>
      <c r="U795" s="272"/>
      <c r="V795" s="272"/>
      <c r="W795" s="272"/>
      <c r="X795" s="272"/>
      <c r="Y795" s="272"/>
      <c r="Z795" s="258"/>
      <c r="AA795" s="258"/>
      <c r="AB795" s="258"/>
      <c r="AC795" s="258"/>
      <c r="AD795" s="258"/>
      <c r="AE795" s="258"/>
      <c r="AF795" s="258"/>
      <c r="AG795" s="258"/>
      <c r="AH795" s="270"/>
      <c r="AI795" s="270"/>
      <c r="AQ795" s="259"/>
      <c r="AR795" s="259"/>
      <c r="AS795" s="259"/>
      <c r="AT795" s="259"/>
      <c r="AU795" s="259"/>
      <c r="AV795" s="259"/>
      <c r="AW795" s="259"/>
    </row>
    <row r="796" spans="2:49" ht="15" customHeight="1" x14ac:dyDescent="0.25">
      <c r="B796" s="260"/>
      <c r="D796" s="262"/>
      <c r="G796" s="289"/>
      <c r="H796" s="265"/>
      <c r="I796" s="266"/>
      <c r="K796" s="268"/>
      <c r="L796" s="278"/>
      <c r="M796" s="274"/>
      <c r="N796" s="258"/>
      <c r="O796" s="258"/>
      <c r="P796" s="258"/>
      <c r="Q796" s="276"/>
      <c r="R796" s="272"/>
      <c r="S796" s="272"/>
      <c r="T796" s="272"/>
      <c r="U796" s="272"/>
      <c r="V796" s="272"/>
      <c r="W796" s="272"/>
      <c r="X796" s="272"/>
      <c r="Y796" s="272"/>
      <c r="Z796" s="258"/>
      <c r="AA796" s="258"/>
      <c r="AB796" s="258"/>
      <c r="AC796" s="258"/>
      <c r="AD796" s="258"/>
      <c r="AE796" s="258"/>
      <c r="AF796" s="258"/>
      <c r="AG796" s="258"/>
      <c r="AH796" s="270"/>
      <c r="AI796" s="270"/>
      <c r="AQ796" s="259"/>
      <c r="AR796" s="259"/>
      <c r="AS796" s="259"/>
      <c r="AT796" s="259"/>
      <c r="AU796" s="259"/>
      <c r="AV796" s="259"/>
      <c r="AW796" s="259"/>
    </row>
    <row r="797" spans="2:49" ht="15" customHeight="1" x14ac:dyDescent="0.25">
      <c r="B797" s="260"/>
      <c r="D797" s="262"/>
      <c r="G797" s="289"/>
      <c r="H797" s="265"/>
      <c r="I797" s="266"/>
      <c r="K797" s="268"/>
      <c r="L797" s="278"/>
      <c r="M797" s="274"/>
      <c r="N797" s="258"/>
      <c r="O797" s="258"/>
      <c r="P797" s="258"/>
      <c r="Q797" s="276"/>
      <c r="R797" s="272"/>
      <c r="S797" s="272"/>
      <c r="T797" s="272"/>
      <c r="U797" s="272"/>
      <c r="V797" s="272"/>
      <c r="W797" s="272"/>
      <c r="X797" s="272"/>
      <c r="Y797" s="272"/>
      <c r="Z797" s="258"/>
      <c r="AA797" s="258"/>
      <c r="AB797" s="258"/>
      <c r="AC797" s="258"/>
      <c r="AD797" s="258"/>
      <c r="AE797" s="258"/>
      <c r="AF797" s="258"/>
      <c r="AG797" s="258"/>
      <c r="AH797" s="258"/>
      <c r="AQ797" s="259"/>
      <c r="AR797" s="259"/>
      <c r="AS797" s="259"/>
      <c r="AT797" s="259"/>
      <c r="AU797" s="259"/>
      <c r="AV797" s="259"/>
      <c r="AW797" s="259"/>
    </row>
    <row r="798" spans="2:49" ht="15" customHeight="1" x14ac:dyDescent="0.25">
      <c r="B798" s="260"/>
      <c r="D798" s="262"/>
      <c r="G798" s="289"/>
      <c r="H798" s="265"/>
      <c r="I798" s="266"/>
      <c r="K798" s="268"/>
      <c r="L798" s="278"/>
      <c r="M798" s="274"/>
      <c r="N798" s="258"/>
      <c r="O798" s="258"/>
      <c r="P798" s="258"/>
      <c r="Q798" s="276"/>
      <c r="R798" s="272"/>
      <c r="S798" s="272"/>
      <c r="T798" s="272"/>
      <c r="U798" s="272"/>
      <c r="V798" s="272"/>
      <c r="W798" s="272"/>
      <c r="X798" s="272"/>
      <c r="Y798" s="272"/>
      <c r="Z798" s="258"/>
      <c r="AA798" s="258"/>
      <c r="AB798" s="258"/>
      <c r="AC798" s="258"/>
      <c r="AD798" s="258"/>
      <c r="AE798" s="258"/>
      <c r="AF798" s="258"/>
      <c r="AG798" s="258"/>
      <c r="AH798" s="258"/>
      <c r="AQ798" s="259"/>
      <c r="AR798" s="259"/>
      <c r="AS798" s="259"/>
      <c r="AT798" s="259"/>
      <c r="AU798" s="259"/>
      <c r="AV798" s="259"/>
      <c r="AW798" s="259"/>
    </row>
    <row r="799" spans="2:49" ht="15" customHeight="1" x14ac:dyDescent="0.25">
      <c r="B799" s="260"/>
      <c r="D799" s="262"/>
      <c r="G799" s="289"/>
      <c r="H799" s="265"/>
      <c r="I799" s="266"/>
      <c r="K799" s="268"/>
      <c r="L799" s="278"/>
      <c r="M799" s="274"/>
      <c r="N799" s="258"/>
      <c r="O799" s="258"/>
      <c r="P799" s="258"/>
      <c r="Q799" s="276"/>
      <c r="R799" s="272"/>
      <c r="S799" s="272"/>
      <c r="T799" s="272"/>
      <c r="U799" s="272"/>
      <c r="V799" s="272"/>
      <c r="W799" s="272"/>
      <c r="X799" s="272"/>
      <c r="Y799" s="272"/>
      <c r="Z799" s="258"/>
      <c r="AA799" s="258"/>
      <c r="AB799" s="258"/>
      <c r="AC799" s="258"/>
      <c r="AD799" s="258"/>
      <c r="AE799" s="258"/>
      <c r="AF799" s="258"/>
      <c r="AG799" s="258"/>
      <c r="AH799" s="258"/>
      <c r="AQ799" s="259"/>
      <c r="AR799" s="259"/>
      <c r="AS799" s="259"/>
      <c r="AT799" s="259"/>
      <c r="AU799" s="259"/>
      <c r="AV799" s="259"/>
      <c r="AW799" s="259"/>
    </row>
    <row r="800" spans="2:49" ht="15" customHeight="1" x14ac:dyDescent="0.25">
      <c r="B800" s="260"/>
      <c r="D800" s="262"/>
      <c r="G800" s="288"/>
      <c r="H800" s="265"/>
      <c r="I800" s="266"/>
      <c r="K800" s="268"/>
      <c r="L800" s="278"/>
      <c r="M800" s="274"/>
      <c r="N800" s="258"/>
      <c r="O800" s="258"/>
      <c r="P800" s="258"/>
      <c r="Q800" s="276"/>
      <c r="R800" s="272"/>
      <c r="S800" s="272"/>
      <c r="T800" s="272"/>
      <c r="U800" s="272"/>
      <c r="V800" s="272"/>
      <c r="W800" s="272"/>
      <c r="X800" s="272"/>
      <c r="Y800" s="272"/>
      <c r="Z800" s="258"/>
      <c r="AA800" s="258"/>
      <c r="AB800" s="258"/>
      <c r="AC800" s="258"/>
      <c r="AD800" s="258"/>
      <c r="AE800" s="258"/>
      <c r="AF800" s="258"/>
      <c r="AG800" s="258"/>
      <c r="AH800" s="258"/>
      <c r="AQ800" s="259"/>
      <c r="AR800" s="259"/>
      <c r="AS800" s="259"/>
      <c r="AT800" s="259"/>
      <c r="AU800" s="259"/>
      <c r="AV800" s="259"/>
      <c r="AW800" s="259"/>
    </row>
    <row r="801" spans="2:49" ht="15" customHeight="1" x14ac:dyDescent="0.25">
      <c r="B801" s="260"/>
      <c r="D801" s="262"/>
      <c r="G801" s="288"/>
      <c r="H801" s="265"/>
      <c r="I801" s="266"/>
      <c r="K801" s="268"/>
      <c r="L801" s="278"/>
      <c r="M801" s="274"/>
      <c r="N801" s="258"/>
      <c r="O801" s="258"/>
      <c r="P801" s="258"/>
      <c r="Q801" s="276"/>
      <c r="W801" s="272"/>
      <c r="X801" s="272"/>
      <c r="Y801" s="272"/>
      <c r="Z801" s="258"/>
      <c r="AA801" s="258"/>
      <c r="AB801" s="258"/>
      <c r="AC801" s="258"/>
      <c r="AD801" s="258"/>
      <c r="AE801" s="258"/>
      <c r="AF801" s="258"/>
      <c r="AG801" s="258"/>
      <c r="AH801" s="258"/>
      <c r="AQ801" s="259"/>
      <c r="AR801" s="259"/>
      <c r="AS801" s="259"/>
      <c r="AT801" s="259"/>
      <c r="AU801" s="259"/>
      <c r="AV801" s="259"/>
      <c r="AW801" s="259"/>
    </row>
    <row r="802" spans="2:49" ht="15" customHeight="1" x14ac:dyDescent="0.25">
      <c r="B802" s="260"/>
      <c r="D802" s="262"/>
      <c r="G802" s="288"/>
      <c r="H802" s="265"/>
      <c r="I802" s="266"/>
      <c r="K802" s="268"/>
      <c r="L802" s="278"/>
      <c r="M802" s="274"/>
      <c r="N802" s="258"/>
      <c r="O802" s="258"/>
      <c r="P802" s="258"/>
      <c r="Q802" s="276"/>
      <c r="W802" s="272"/>
      <c r="X802" s="272"/>
      <c r="Y802" s="272"/>
      <c r="Z802" s="258"/>
      <c r="AA802" s="258"/>
      <c r="AB802" s="258"/>
      <c r="AC802" s="258"/>
      <c r="AD802" s="258"/>
      <c r="AE802" s="258"/>
      <c r="AF802" s="258"/>
      <c r="AG802" s="258"/>
      <c r="AH802" s="258"/>
      <c r="AQ802" s="259"/>
      <c r="AR802" s="259"/>
      <c r="AS802" s="259"/>
      <c r="AT802" s="259"/>
      <c r="AU802" s="259"/>
      <c r="AV802" s="259"/>
      <c r="AW802" s="259"/>
    </row>
    <row r="803" spans="2:49" ht="15" customHeight="1" x14ac:dyDescent="0.25">
      <c r="B803" s="260"/>
      <c r="D803" s="262"/>
      <c r="G803" s="288"/>
      <c r="H803" s="265"/>
      <c r="I803" s="266"/>
      <c r="K803" s="268"/>
      <c r="L803" s="278"/>
      <c r="M803" s="274"/>
      <c r="N803" s="258"/>
      <c r="O803" s="258"/>
      <c r="P803" s="258"/>
      <c r="Q803" s="276"/>
      <c r="W803" s="272"/>
      <c r="X803" s="272"/>
      <c r="Y803" s="272"/>
      <c r="Z803" s="258"/>
      <c r="AA803" s="258"/>
      <c r="AB803" s="258"/>
      <c r="AC803" s="258"/>
      <c r="AD803" s="258"/>
      <c r="AE803" s="258"/>
      <c r="AF803" s="258"/>
      <c r="AG803" s="258"/>
      <c r="AH803" s="258"/>
      <c r="AQ803" s="259"/>
      <c r="AR803" s="259"/>
      <c r="AS803" s="259"/>
      <c r="AT803" s="259"/>
      <c r="AU803" s="259"/>
      <c r="AV803" s="259"/>
      <c r="AW803" s="259"/>
    </row>
    <row r="804" spans="2:49" ht="15" customHeight="1" x14ac:dyDescent="0.25">
      <c r="B804" s="260"/>
      <c r="D804" s="262"/>
      <c r="E804" s="291"/>
      <c r="F804" s="293"/>
      <c r="G804" s="288"/>
      <c r="H804" s="265"/>
      <c r="I804" s="266"/>
      <c r="K804" s="268"/>
      <c r="L804" s="273"/>
      <c r="M804" s="274"/>
      <c r="N804" s="270"/>
      <c r="O804" s="270"/>
      <c r="P804" s="270"/>
      <c r="Q804" s="275"/>
      <c r="R804" s="272"/>
      <c r="S804" s="272"/>
      <c r="T804" s="272"/>
      <c r="U804" s="272"/>
      <c r="V804" s="272"/>
      <c r="W804" s="272"/>
      <c r="X804" s="272"/>
      <c r="Y804" s="272"/>
      <c r="Z804" s="258"/>
      <c r="AA804" s="258"/>
      <c r="AB804" s="258"/>
      <c r="AC804" s="258"/>
      <c r="AD804" s="258"/>
      <c r="AE804" s="258"/>
      <c r="AF804" s="258"/>
      <c r="AG804" s="258"/>
      <c r="AH804" s="258"/>
      <c r="AI804" s="258"/>
      <c r="AQ804" s="259"/>
      <c r="AR804" s="259"/>
      <c r="AS804" s="259"/>
      <c r="AT804" s="259"/>
      <c r="AU804" s="259"/>
      <c r="AV804" s="259"/>
      <c r="AW804" s="259"/>
    </row>
    <row r="805" spans="2:49" ht="15" customHeight="1" x14ac:dyDescent="0.25">
      <c r="B805" s="260"/>
      <c r="C805" s="290"/>
      <c r="D805" s="262"/>
      <c r="E805" s="291"/>
      <c r="F805" s="262"/>
      <c r="G805" s="289"/>
      <c r="H805" s="243"/>
      <c r="I805" s="266"/>
      <c r="K805" s="268"/>
      <c r="L805" s="273"/>
      <c r="M805" s="274"/>
      <c r="N805" s="258"/>
      <c r="O805" s="258"/>
      <c r="P805" s="258"/>
      <c r="Q805" s="276"/>
      <c r="R805" s="272"/>
      <c r="S805" s="272"/>
      <c r="T805" s="272"/>
      <c r="U805" s="272"/>
      <c r="V805" s="272"/>
      <c r="W805" s="272"/>
      <c r="X805" s="272"/>
      <c r="Y805" s="272"/>
      <c r="Z805" s="258"/>
      <c r="AA805" s="258"/>
      <c r="AB805" s="258"/>
      <c r="AC805" s="258"/>
      <c r="AD805" s="258"/>
      <c r="AE805" s="258"/>
      <c r="AF805" s="258"/>
      <c r="AG805" s="258"/>
      <c r="AH805" s="258"/>
      <c r="AI805" s="258"/>
      <c r="AQ805" s="259"/>
      <c r="AR805" s="259"/>
      <c r="AS805" s="259"/>
      <c r="AT805" s="259"/>
      <c r="AU805" s="259"/>
      <c r="AV805" s="259"/>
      <c r="AW805" s="259"/>
    </row>
    <row r="806" spans="2:49" ht="15" customHeight="1" x14ac:dyDescent="0.25">
      <c r="B806" s="260"/>
      <c r="D806" s="262"/>
      <c r="G806" s="289"/>
      <c r="H806" s="265"/>
      <c r="I806" s="266"/>
      <c r="K806" s="268"/>
      <c r="L806" s="273"/>
      <c r="M806" s="274"/>
      <c r="N806" s="258"/>
      <c r="O806" s="258"/>
      <c r="P806" s="258"/>
      <c r="Q806" s="276"/>
      <c r="R806" s="272"/>
      <c r="S806" s="272"/>
      <c r="T806" s="272"/>
      <c r="U806" s="272"/>
      <c r="V806" s="272"/>
      <c r="W806" s="272"/>
      <c r="X806" s="272"/>
      <c r="Y806" s="272"/>
      <c r="Z806" s="258"/>
      <c r="AA806" s="258"/>
      <c r="AB806" s="258"/>
      <c r="AC806" s="258"/>
      <c r="AD806" s="258"/>
      <c r="AE806" s="258"/>
      <c r="AF806" s="258"/>
      <c r="AG806" s="258"/>
      <c r="AH806" s="270"/>
      <c r="AI806" s="270"/>
      <c r="AQ806" s="259"/>
      <c r="AR806" s="259"/>
      <c r="AS806" s="259"/>
      <c r="AT806" s="259"/>
      <c r="AU806" s="259"/>
      <c r="AV806" s="259"/>
      <c r="AW806" s="259"/>
    </row>
    <row r="807" spans="2:49" ht="15" customHeight="1" x14ac:dyDescent="0.25">
      <c r="B807" s="260"/>
      <c r="D807" s="262"/>
      <c r="G807" s="289"/>
      <c r="H807" s="265"/>
      <c r="I807" s="266"/>
      <c r="K807" s="268"/>
      <c r="L807" s="273"/>
      <c r="M807" s="277"/>
      <c r="N807" s="258"/>
      <c r="O807" s="258"/>
      <c r="P807" s="258"/>
      <c r="Q807" s="276"/>
      <c r="R807" s="272"/>
      <c r="S807" s="272"/>
      <c r="T807" s="272"/>
      <c r="U807" s="272"/>
      <c r="V807" s="272"/>
      <c r="W807" s="272"/>
      <c r="X807" s="272"/>
      <c r="Y807" s="272"/>
      <c r="Z807" s="258"/>
      <c r="AA807" s="258"/>
      <c r="AB807" s="258"/>
      <c r="AC807" s="258"/>
      <c r="AD807" s="258"/>
      <c r="AE807" s="258"/>
      <c r="AF807" s="258"/>
      <c r="AG807" s="258"/>
      <c r="AH807" s="270"/>
      <c r="AI807" s="270"/>
      <c r="AQ807" s="259"/>
      <c r="AR807" s="259"/>
      <c r="AS807" s="259"/>
      <c r="AT807" s="259"/>
      <c r="AU807" s="259"/>
      <c r="AV807" s="259"/>
      <c r="AW807" s="259"/>
    </row>
    <row r="808" spans="2:49" ht="15" customHeight="1" x14ac:dyDescent="0.25">
      <c r="B808" s="260"/>
      <c r="D808" s="262"/>
      <c r="G808" s="289"/>
      <c r="H808" s="265"/>
      <c r="I808" s="266"/>
      <c r="K808" s="268"/>
      <c r="L808" s="278"/>
      <c r="M808" s="274"/>
      <c r="N808" s="258"/>
      <c r="O808" s="258"/>
      <c r="P808" s="258"/>
      <c r="Q808" s="276"/>
      <c r="R808" s="272"/>
      <c r="S808" s="272"/>
      <c r="T808" s="272"/>
      <c r="U808" s="272"/>
      <c r="V808" s="272"/>
      <c r="W808" s="272"/>
      <c r="X808" s="272"/>
      <c r="Y808" s="272"/>
      <c r="Z808" s="258"/>
      <c r="AA808" s="258"/>
      <c r="AB808" s="258"/>
      <c r="AC808" s="258"/>
      <c r="AD808" s="258"/>
      <c r="AE808" s="258"/>
      <c r="AF808" s="258"/>
      <c r="AG808" s="258"/>
      <c r="AH808" s="270"/>
      <c r="AI808" s="270"/>
      <c r="AQ808" s="259"/>
      <c r="AR808" s="259"/>
      <c r="AS808" s="259"/>
      <c r="AT808" s="259"/>
      <c r="AU808" s="259"/>
      <c r="AV808" s="259"/>
      <c r="AW808" s="259"/>
    </row>
    <row r="809" spans="2:49" ht="15" customHeight="1" x14ac:dyDescent="0.25">
      <c r="B809" s="260"/>
      <c r="D809" s="262"/>
      <c r="G809" s="289"/>
      <c r="H809" s="265"/>
      <c r="I809" s="266"/>
      <c r="K809" s="268"/>
      <c r="L809" s="278"/>
      <c r="M809" s="274"/>
      <c r="N809" s="258"/>
      <c r="O809" s="258"/>
      <c r="P809" s="258"/>
      <c r="Q809" s="276"/>
      <c r="R809" s="272"/>
      <c r="S809" s="272"/>
      <c r="T809" s="272"/>
      <c r="U809" s="272"/>
      <c r="V809" s="272"/>
      <c r="W809" s="272"/>
      <c r="X809" s="272"/>
      <c r="Y809" s="272"/>
      <c r="Z809" s="258"/>
      <c r="AA809" s="258"/>
      <c r="AB809" s="258"/>
      <c r="AC809" s="258"/>
      <c r="AD809" s="258"/>
      <c r="AE809" s="258"/>
      <c r="AF809" s="258"/>
      <c r="AG809" s="258"/>
      <c r="AH809" s="258"/>
      <c r="AQ809" s="259"/>
      <c r="AR809" s="259"/>
      <c r="AS809" s="259"/>
      <c r="AT809" s="259"/>
      <c r="AU809" s="259"/>
      <c r="AV809" s="259"/>
      <c r="AW809" s="259"/>
    </row>
    <row r="810" spans="2:49" ht="15" customHeight="1" x14ac:dyDescent="0.25">
      <c r="B810" s="260"/>
      <c r="D810" s="262"/>
      <c r="G810" s="289"/>
      <c r="H810" s="265"/>
      <c r="I810" s="266"/>
      <c r="K810" s="268"/>
      <c r="L810" s="278"/>
      <c r="M810" s="274"/>
      <c r="N810" s="258"/>
      <c r="O810" s="258"/>
      <c r="P810" s="258"/>
      <c r="Q810" s="276"/>
      <c r="R810" s="272"/>
      <c r="S810" s="272"/>
      <c r="T810" s="272"/>
      <c r="U810" s="272"/>
      <c r="V810" s="272"/>
      <c r="W810" s="272"/>
      <c r="X810" s="272"/>
      <c r="Y810" s="272"/>
      <c r="Z810" s="258"/>
      <c r="AA810" s="258"/>
      <c r="AB810" s="258"/>
      <c r="AC810" s="258"/>
      <c r="AD810" s="258"/>
      <c r="AE810" s="258"/>
      <c r="AF810" s="258"/>
      <c r="AG810" s="258"/>
      <c r="AH810" s="258"/>
      <c r="AQ810" s="259"/>
      <c r="AR810" s="259"/>
      <c r="AS810" s="259"/>
      <c r="AT810" s="259"/>
      <c r="AU810" s="259"/>
      <c r="AV810" s="259"/>
      <c r="AW810" s="259"/>
    </row>
    <row r="811" spans="2:49" ht="15" customHeight="1" x14ac:dyDescent="0.25">
      <c r="B811" s="260"/>
      <c r="D811" s="262"/>
      <c r="G811" s="289"/>
      <c r="H811" s="265"/>
      <c r="I811" s="266"/>
      <c r="K811" s="268"/>
      <c r="L811" s="278"/>
      <c r="M811" s="274"/>
      <c r="N811" s="258"/>
      <c r="O811" s="258"/>
      <c r="P811" s="258"/>
      <c r="Q811" s="276"/>
      <c r="R811" s="272"/>
      <c r="S811" s="272"/>
      <c r="T811" s="272"/>
      <c r="U811" s="272"/>
      <c r="V811" s="272"/>
      <c r="W811" s="272"/>
      <c r="X811" s="272"/>
      <c r="Y811" s="272"/>
      <c r="Z811" s="258"/>
      <c r="AA811" s="258"/>
      <c r="AB811" s="258"/>
      <c r="AC811" s="258"/>
      <c r="AD811" s="258"/>
      <c r="AE811" s="258"/>
      <c r="AF811" s="258"/>
      <c r="AG811" s="258"/>
      <c r="AH811" s="258"/>
      <c r="AQ811" s="259"/>
      <c r="AR811" s="259"/>
      <c r="AS811" s="259"/>
      <c r="AT811" s="259"/>
      <c r="AU811" s="259"/>
      <c r="AV811" s="259"/>
      <c r="AW811" s="259"/>
    </row>
    <row r="812" spans="2:49" ht="15" customHeight="1" x14ac:dyDescent="0.25">
      <c r="B812" s="260"/>
      <c r="D812" s="262"/>
      <c r="G812" s="288"/>
      <c r="H812" s="265"/>
      <c r="I812" s="266"/>
      <c r="K812" s="268"/>
      <c r="L812" s="278"/>
      <c r="M812" s="274"/>
      <c r="N812" s="258"/>
      <c r="O812" s="258"/>
      <c r="P812" s="258"/>
      <c r="Q812" s="276"/>
      <c r="R812" s="272"/>
      <c r="S812" s="272"/>
      <c r="T812" s="272"/>
      <c r="U812" s="272"/>
      <c r="V812" s="272"/>
      <c r="W812" s="272"/>
      <c r="X812" s="272"/>
      <c r="Y812" s="272"/>
      <c r="Z812" s="258"/>
      <c r="AA812" s="258"/>
      <c r="AB812" s="258"/>
      <c r="AC812" s="258"/>
      <c r="AD812" s="258"/>
      <c r="AE812" s="258"/>
      <c r="AF812" s="258"/>
      <c r="AG812" s="258"/>
      <c r="AH812" s="258"/>
      <c r="AQ812" s="259"/>
      <c r="AR812" s="259"/>
      <c r="AS812" s="259"/>
      <c r="AT812" s="259"/>
      <c r="AU812" s="259"/>
      <c r="AV812" s="259"/>
      <c r="AW812" s="259"/>
    </row>
    <row r="813" spans="2:49" ht="15" customHeight="1" x14ac:dyDescent="0.25">
      <c r="B813" s="260"/>
      <c r="D813" s="262"/>
      <c r="G813" s="288"/>
      <c r="H813" s="265"/>
      <c r="I813" s="266"/>
      <c r="K813" s="268"/>
      <c r="L813" s="278"/>
      <c r="M813" s="274"/>
      <c r="N813" s="258"/>
      <c r="O813" s="258"/>
      <c r="P813" s="258"/>
      <c r="Q813" s="276"/>
      <c r="W813" s="272"/>
      <c r="X813" s="272"/>
      <c r="Y813" s="272"/>
      <c r="Z813" s="258"/>
      <c r="AA813" s="258"/>
      <c r="AB813" s="258"/>
      <c r="AC813" s="258"/>
      <c r="AD813" s="258"/>
      <c r="AE813" s="258"/>
      <c r="AF813" s="258"/>
      <c r="AG813" s="258"/>
      <c r="AH813" s="258"/>
      <c r="AQ813" s="259"/>
      <c r="AR813" s="259"/>
      <c r="AS813" s="259"/>
      <c r="AT813" s="259"/>
      <c r="AU813" s="259"/>
      <c r="AV813" s="259"/>
      <c r="AW813" s="259"/>
    </row>
    <row r="814" spans="2:49" ht="15" customHeight="1" x14ac:dyDescent="0.25">
      <c r="B814" s="260"/>
      <c r="D814" s="262"/>
      <c r="G814" s="288"/>
      <c r="H814" s="265"/>
      <c r="I814" s="266"/>
      <c r="K814" s="268"/>
      <c r="L814" s="278"/>
      <c r="M814" s="274"/>
      <c r="N814" s="258"/>
      <c r="O814" s="258"/>
      <c r="P814" s="258"/>
      <c r="Q814" s="276"/>
      <c r="W814" s="272"/>
      <c r="X814" s="272"/>
      <c r="Y814" s="272"/>
      <c r="Z814" s="258"/>
      <c r="AA814" s="258"/>
      <c r="AB814" s="258"/>
      <c r="AC814" s="258"/>
      <c r="AD814" s="258"/>
      <c r="AE814" s="258"/>
      <c r="AF814" s="258"/>
      <c r="AG814" s="258"/>
      <c r="AH814" s="258"/>
      <c r="AQ814" s="259"/>
      <c r="AR814" s="259"/>
      <c r="AS814" s="259"/>
      <c r="AT814" s="259"/>
      <c r="AU814" s="259"/>
      <c r="AV814" s="259"/>
      <c r="AW814" s="259"/>
    </row>
    <row r="815" spans="2:49" ht="15" customHeight="1" x14ac:dyDescent="0.25">
      <c r="B815" s="260"/>
      <c r="D815" s="262"/>
      <c r="G815" s="288"/>
      <c r="H815" s="265"/>
      <c r="I815" s="266"/>
      <c r="K815" s="268"/>
      <c r="L815" s="278"/>
      <c r="M815" s="274"/>
      <c r="N815" s="258"/>
      <c r="O815" s="258"/>
      <c r="P815" s="258"/>
      <c r="Q815" s="276"/>
      <c r="W815" s="272"/>
      <c r="X815" s="272"/>
      <c r="Y815" s="272"/>
      <c r="Z815" s="258"/>
      <c r="AA815" s="258"/>
      <c r="AB815" s="258"/>
      <c r="AC815" s="258"/>
      <c r="AD815" s="258"/>
      <c r="AE815" s="258"/>
      <c r="AF815" s="258"/>
      <c r="AG815" s="258"/>
      <c r="AH815" s="258"/>
      <c r="AQ815" s="259"/>
      <c r="AR815" s="259"/>
      <c r="AS815" s="259"/>
      <c r="AT815" s="259"/>
      <c r="AU815" s="259"/>
      <c r="AV815" s="259"/>
      <c r="AW815" s="259"/>
    </row>
    <row r="816" spans="2:49" ht="15" customHeight="1" x14ac:dyDescent="0.25">
      <c r="B816" s="260"/>
      <c r="D816" s="262"/>
      <c r="E816" s="291"/>
      <c r="F816" s="293"/>
      <c r="G816" s="288"/>
      <c r="H816" s="265"/>
      <c r="I816" s="266"/>
      <c r="K816" s="268"/>
      <c r="L816" s="273"/>
      <c r="M816" s="274"/>
      <c r="N816" s="270"/>
      <c r="O816" s="270"/>
      <c r="P816" s="270"/>
      <c r="Q816" s="275"/>
      <c r="R816" s="272"/>
      <c r="S816" s="272"/>
      <c r="T816" s="272"/>
      <c r="U816" s="272"/>
      <c r="V816" s="272"/>
      <c r="W816" s="272"/>
      <c r="X816" s="272"/>
      <c r="Y816" s="272"/>
      <c r="Z816" s="258"/>
      <c r="AA816" s="258"/>
      <c r="AB816" s="258"/>
      <c r="AC816" s="258"/>
      <c r="AD816" s="258"/>
      <c r="AE816" s="258"/>
      <c r="AF816" s="258"/>
      <c r="AG816" s="258"/>
      <c r="AH816" s="258"/>
      <c r="AI816" s="258"/>
      <c r="AQ816" s="259"/>
      <c r="AR816" s="259"/>
      <c r="AS816" s="259"/>
      <c r="AT816" s="259"/>
      <c r="AU816" s="259"/>
      <c r="AV816" s="259"/>
      <c r="AW816" s="259"/>
    </row>
    <row r="817" spans="2:49" ht="15" customHeight="1" x14ac:dyDescent="0.25">
      <c r="B817" s="260"/>
      <c r="C817" s="290"/>
      <c r="D817" s="262"/>
      <c r="E817" s="291"/>
      <c r="F817" s="262"/>
      <c r="G817" s="289"/>
      <c r="H817" s="243"/>
      <c r="I817" s="266"/>
      <c r="K817" s="268"/>
      <c r="L817" s="273"/>
      <c r="M817" s="274"/>
      <c r="N817" s="258"/>
      <c r="O817" s="258"/>
      <c r="P817" s="258"/>
      <c r="Q817" s="276"/>
      <c r="R817" s="272"/>
      <c r="S817" s="272"/>
      <c r="T817" s="272"/>
      <c r="U817" s="272"/>
      <c r="V817" s="272"/>
      <c r="W817" s="272"/>
      <c r="X817" s="272"/>
      <c r="Y817" s="272"/>
      <c r="Z817" s="258"/>
      <c r="AA817" s="258"/>
      <c r="AB817" s="258"/>
      <c r="AC817" s="258"/>
      <c r="AD817" s="258"/>
      <c r="AE817" s="258"/>
      <c r="AF817" s="258"/>
      <c r="AG817" s="258"/>
      <c r="AH817" s="258"/>
      <c r="AI817" s="258"/>
      <c r="AQ817" s="259"/>
      <c r="AR817" s="259"/>
      <c r="AS817" s="259"/>
      <c r="AT817" s="259"/>
      <c r="AU817" s="259"/>
      <c r="AV817" s="259"/>
      <c r="AW817" s="259"/>
    </row>
    <row r="818" spans="2:49" ht="15" customHeight="1" x14ac:dyDescent="0.25">
      <c r="B818" s="260"/>
      <c r="D818" s="262"/>
      <c r="G818" s="289"/>
      <c r="H818" s="265"/>
      <c r="I818" s="266"/>
      <c r="K818" s="268"/>
      <c r="L818" s="273"/>
      <c r="M818" s="274"/>
      <c r="N818" s="258"/>
      <c r="O818" s="258"/>
      <c r="P818" s="258"/>
      <c r="Q818" s="276"/>
      <c r="R818" s="272"/>
      <c r="S818" s="272"/>
      <c r="T818" s="272"/>
      <c r="U818" s="272"/>
      <c r="V818" s="272"/>
      <c r="W818" s="272"/>
      <c r="X818" s="272"/>
      <c r="Y818" s="272"/>
      <c r="Z818" s="258"/>
      <c r="AA818" s="258"/>
      <c r="AB818" s="258"/>
      <c r="AC818" s="258"/>
      <c r="AD818" s="258"/>
      <c r="AE818" s="258"/>
      <c r="AF818" s="258"/>
      <c r="AG818" s="258"/>
      <c r="AH818" s="270"/>
      <c r="AI818" s="270"/>
      <c r="AQ818" s="259"/>
      <c r="AR818" s="259"/>
      <c r="AS818" s="259"/>
      <c r="AT818" s="259"/>
      <c r="AU818" s="259"/>
      <c r="AV818" s="259"/>
      <c r="AW818" s="259"/>
    </row>
    <row r="819" spans="2:49" ht="15" customHeight="1" x14ac:dyDescent="0.25">
      <c r="B819" s="260"/>
      <c r="D819" s="262"/>
      <c r="G819" s="289"/>
      <c r="H819" s="265"/>
      <c r="I819" s="266"/>
      <c r="K819" s="268"/>
      <c r="L819" s="273"/>
      <c r="M819" s="277"/>
      <c r="N819" s="258"/>
      <c r="O819" s="258"/>
      <c r="P819" s="258"/>
      <c r="Q819" s="276"/>
      <c r="R819" s="272"/>
      <c r="S819" s="272"/>
      <c r="T819" s="272"/>
      <c r="U819" s="272"/>
      <c r="V819" s="272"/>
      <c r="W819" s="272"/>
      <c r="X819" s="272"/>
      <c r="Y819" s="272"/>
      <c r="Z819" s="258"/>
      <c r="AA819" s="258"/>
      <c r="AB819" s="258"/>
      <c r="AC819" s="258"/>
      <c r="AD819" s="258"/>
      <c r="AE819" s="258"/>
      <c r="AF819" s="258"/>
      <c r="AG819" s="258"/>
      <c r="AH819" s="270"/>
      <c r="AI819" s="270"/>
      <c r="AQ819" s="259"/>
      <c r="AR819" s="259"/>
      <c r="AS819" s="259"/>
      <c r="AT819" s="259"/>
      <c r="AU819" s="259"/>
      <c r="AV819" s="259"/>
      <c r="AW819" s="259"/>
    </row>
    <row r="820" spans="2:49" ht="15" customHeight="1" x14ac:dyDescent="0.25">
      <c r="B820" s="260"/>
      <c r="D820" s="262"/>
      <c r="G820" s="289"/>
      <c r="H820" s="265"/>
      <c r="I820" s="266"/>
      <c r="K820" s="268"/>
      <c r="L820" s="278"/>
      <c r="M820" s="274"/>
      <c r="N820" s="258"/>
      <c r="O820" s="258"/>
      <c r="P820" s="258"/>
      <c r="Q820" s="276"/>
      <c r="R820" s="272"/>
      <c r="S820" s="272"/>
      <c r="T820" s="272"/>
      <c r="U820" s="272"/>
      <c r="V820" s="272"/>
      <c r="W820" s="272"/>
      <c r="X820" s="272"/>
      <c r="Y820" s="272"/>
      <c r="Z820" s="258"/>
      <c r="AA820" s="258"/>
      <c r="AB820" s="258"/>
      <c r="AC820" s="258"/>
      <c r="AD820" s="258"/>
      <c r="AE820" s="258"/>
      <c r="AF820" s="258"/>
      <c r="AG820" s="258"/>
      <c r="AH820" s="270"/>
      <c r="AI820" s="270"/>
      <c r="AQ820" s="259"/>
      <c r="AR820" s="259"/>
      <c r="AS820" s="259"/>
      <c r="AT820" s="259"/>
      <c r="AU820" s="259"/>
      <c r="AV820" s="259"/>
      <c r="AW820" s="259"/>
    </row>
    <row r="821" spans="2:49" ht="15" customHeight="1" x14ac:dyDescent="0.25">
      <c r="B821" s="260"/>
      <c r="D821" s="262"/>
      <c r="G821" s="289"/>
      <c r="H821" s="265"/>
      <c r="I821" s="266"/>
      <c r="K821" s="268"/>
      <c r="L821" s="278"/>
      <c r="M821" s="274"/>
      <c r="N821" s="258"/>
      <c r="O821" s="258"/>
      <c r="P821" s="258"/>
      <c r="Q821" s="276"/>
      <c r="R821" s="272"/>
      <c r="S821" s="272"/>
      <c r="T821" s="272"/>
      <c r="U821" s="272"/>
      <c r="V821" s="272"/>
      <c r="W821" s="272"/>
      <c r="X821" s="272"/>
      <c r="Y821" s="272"/>
      <c r="Z821" s="258"/>
      <c r="AA821" s="258"/>
      <c r="AB821" s="258"/>
      <c r="AC821" s="258"/>
      <c r="AD821" s="258"/>
      <c r="AE821" s="258"/>
      <c r="AF821" s="258"/>
      <c r="AG821" s="258"/>
      <c r="AH821" s="258"/>
      <c r="AQ821" s="259"/>
      <c r="AR821" s="259"/>
      <c r="AS821" s="259"/>
      <c r="AT821" s="259"/>
      <c r="AU821" s="259"/>
      <c r="AV821" s="259"/>
      <c r="AW821" s="259"/>
    </row>
    <row r="822" spans="2:49" ht="15" customHeight="1" x14ac:dyDescent="0.25">
      <c r="B822" s="260"/>
      <c r="D822" s="262"/>
      <c r="G822" s="289"/>
      <c r="H822" s="265"/>
      <c r="I822" s="266"/>
      <c r="K822" s="268"/>
      <c r="L822" s="278"/>
      <c r="M822" s="274"/>
      <c r="N822" s="258"/>
      <c r="O822" s="258"/>
      <c r="P822" s="258"/>
      <c r="Q822" s="276"/>
      <c r="R822" s="272"/>
      <c r="S822" s="272"/>
      <c r="T822" s="272"/>
      <c r="U822" s="272"/>
      <c r="V822" s="272"/>
      <c r="W822" s="272"/>
      <c r="X822" s="272"/>
      <c r="Y822" s="272"/>
      <c r="Z822" s="258"/>
      <c r="AA822" s="258"/>
      <c r="AB822" s="258"/>
      <c r="AC822" s="258"/>
      <c r="AD822" s="258"/>
      <c r="AE822" s="258"/>
      <c r="AF822" s="258"/>
      <c r="AG822" s="258"/>
      <c r="AH822" s="258"/>
      <c r="AQ822" s="259"/>
      <c r="AR822" s="259"/>
      <c r="AS822" s="259"/>
      <c r="AT822" s="259"/>
      <c r="AU822" s="259"/>
      <c r="AV822" s="259"/>
      <c r="AW822" s="259"/>
    </row>
    <row r="823" spans="2:49" ht="15" customHeight="1" x14ac:dyDescent="0.25">
      <c r="B823" s="260"/>
      <c r="D823" s="262"/>
      <c r="G823" s="289"/>
      <c r="H823" s="265"/>
      <c r="I823" s="266"/>
      <c r="K823" s="268"/>
      <c r="L823" s="278"/>
      <c r="M823" s="274"/>
      <c r="N823" s="258"/>
      <c r="O823" s="258"/>
      <c r="P823" s="258"/>
      <c r="Q823" s="276"/>
      <c r="R823" s="272"/>
      <c r="S823" s="272"/>
      <c r="T823" s="272"/>
      <c r="U823" s="272"/>
      <c r="V823" s="272"/>
      <c r="W823" s="272"/>
      <c r="X823" s="272"/>
      <c r="Y823" s="272"/>
      <c r="Z823" s="258"/>
      <c r="AA823" s="258"/>
      <c r="AB823" s="258"/>
      <c r="AC823" s="258"/>
      <c r="AD823" s="258"/>
      <c r="AE823" s="258"/>
      <c r="AF823" s="258"/>
      <c r="AG823" s="258"/>
      <c r="AH823" s="258"/>
      <c r="AQ823" s="259"/>
      <c r="AR823" s="259"/>
      <c r="AS823" s="259"/>
      <c r="AT823" s="259"/>
      <c r="AU823" s="259"/>
      <c r="AV823" s="259"/>
      <c r="AW823" s="259"/>
    </row>
    <row r="824" spans="2:49" ht="15" customHeight="1" x14ac:dyDescent="0.25">
      <c r="B824" s="260"/>
      <c r="D824" s="262"/>
      <c r="G824" s="288"/>
      <c r="H824" s="265"/>
      <c r="I824" s="266"/>
      <c r="K824" s="268"/>
      <c r="L824" s="278"/>
      <c r="M824" s="274"/>
      <c r="N824" s="258"/>
      <c r="O824" s="258"/>
      <c r="P824" s="258"/>
      <c r="Q824" s="276"/>
      <c r="R824" s="272"/>
      <c r="S824" s="272"/>
      <c r="T824" s="272"/>
      <c r="U824" s="272"/>
      <c r="V824" s="272"/>
      <c r="W824" s="272"/>
      <c r="X824" s="272"/>
      <c r="Y824" s="272"/>
      <c r="Z824" s="258"/>
      <c r="AA824" s="258"/>
      <c r="AB824" s="258"/>
      <c r="AC824" s="258"/>
      <c r="AD824" s="258"/>
      <c r="AE824" s="258"/>
      <c r="AF824" s="258"/>
      <c r="AG824" s="258"/>
      <c r="AH824" s="258"/>
      <c r="AQ824" s="259"/>
      <c r="AR824" s="259"/>
      <c r="AS824" s="259"/>
      <c r="AT824" s="259"/>
      <c r="AU824" s="259"/>
      <c r="AV824" s="259"/>
      <c r="AW824" s="259"/>
    </row>
    <row r="825" spans="2:49" ht="15" customHeight="1" x14ac:dyDescent="0.25">
      <c r="B825" s="260"/>
      <c r="D825" s="262"/>
      <c r="G825" s="288"/>
      <c r="H825" s="265"/>
      <c r="I825" s="266"/>
      <c r="K825" s="268"/>
      <c r="L825" s="278"/>
      <c r="M825" s="274"/>
      <c r="N825" s="258"/>
      <c r="O825" s="258"/>
      <c r="P825" s="258"/>
      <c r="Q825" s="276"/>
      <c r="W825" s="272"/>
      <c r="X825" s="272"/>
      <c r="Y825" s="272"/>
      <c r="Z825" s="258"/>
      <c r="AA825" s="258"/>
      <c r="AB825" s="258"/>
      <c r="AC825" s="258"/>
      <c r="AD825" s="258"/>
      <c r="AE825" s="258"/>
      <c r="AF825" s="258"/>
      <c r="AG825" s="258"/>
      <c r="AH825" s="258"/>
      <c r="AQ825" s="259"/>
      <c r="AR825" s="259"/>
      <c r="AS825" s="259"/>
      <c r="AT825" s="259"/>
      <c r="AU825" s="259"/>
      <c r="AV825" s="259"/>
      <c r="AW825" s="259"/>
    </row>
    <row r="826" spans="2:49" ht="15" customHeight="1" x14ac:dyDescent="0.25">
      <c r="B826" s="260"/>
      <c r="D826" s="262"/>
      <c r="G826" s="289"/>
      <c r="H826" s="265"/>
      <c r="I826" s="266"/>
      <c r="K826" s="268"/>
      <c r="L826" s="278"/>
      <c r="M826" s="274"/>
      <c r="N826" s="258"/>
      <c r="O826" s="258"/>
      <c r="P826" s="258"/>
      <c r="Q826" s="276"/>
      <c r="W826" s="272"/>
      <c r="X826" s="272"/>
      <c r="Y826" s="272"/>
      <c r="Z826" s="258"/>
      <c r="AA826" s="258"/>
      <c r="AB826" s="258"/>
      <c r="AC826" s="258"/>
      <c r="AD826" s="258"/>
      <c r="AE826" s="258"/>
      <c r="AF826" s="258"/>
      <c r="AG826" s="258"/>
      <c r="AH826" s="258"/>
      <c r="AQ826" s="259"/>
      <c r="AR826" s="259"/>
      <c r="AS826" s="259"/>
      <c r="AT826" s="259"/>
      <c r="AU826" s="259"/>
      <c r="AV826" s="259"/>
      <c r="AW826" s="259"/>
    </row>
    <row r="827" spans="2:49" ht="15" customHeight="1" x14ac:dyDescent="0.25">
      <c r="B827" s="260"/>
      <c r="D827" s="262"/>
      <c r="G827" s="288"/>
      <c r="H827" s="265"/>
      <c r="I827" s="266"/>
      <c r="K827" s="268"/>
      <c r="L827" s="278"/>
      <c r="M827" s="274"/>
      <c r="N827" s="258"/>
      <c r="O827" s="258"/>
      <c r="P827" s="258"/>
      <c r="Q827" s="276"/>
      <c r="W827" s="272"/>
      <c r="X827" s="272"/>
      <c r="Y827" s="272"/>
      <c r="Z827" s="258"/>
      <c r="AA827" s="258"/>
      <c r="AB827" s="258"/>
      <c r="AC827" s="258"/>
      <c r="AD827" s="258"/>
      <c r="AE827" s="258"/>
      <c r="AF827" s="258"/>
      <c r="AG827" s="258"/>
      <c r="AH827" s="258"/>
      <c r="AQ827" s="259"/>
      <c r="AR827" s="259"/>
      <c r="AS827" s="259"/>
      <c r="AT827" s="259"/>
      <c r="AU827" s="259"/>
      <c r="AV827" s="259"/>
      <c r="AW827" s="259"/>
    </row>
    <row r="828" spans="2:49" ht="15" customHeight="1" x14ac:dyDescent="0.25">
      <c r="B828" s="260"/>
      <c r="D828" s="262"/>
      <c r="G828" s="288"/>
      <c r="H828" s="265"/>
      <c r="I828" s="266"/>
      <c r="K828" s="268"/>
      <c r="L828" s="273"/>
      <c r="M828" s="274"/>
      <c r="N828" s="270"/>
      <c r="O828" s="270"/>
      <c r="P828" s="270"/>
      <c r="Q828" s="275"/>
      <c r="R828" s="272"/>
      <c r="S828" s="272"/>
      <c r="T828" s="272"/>
      <c r="U828" s="272"/>
      <c r="V828" s="272"/>
      <c r="W828" s="272"/>
      <c r="X828" s="272"/>
      <c r="Y828" s="272"/>
      <c r="Z828" s="258"/>
      <c r="AA828" s="258"/>
      <c r="AB828" s="258"/>
      <c r="AC828" s="258"/>
      <c r="AD828" s="258"/>
      <c r="AE828" s="258"/>
      <c r="AF828" s="258"/>
      <c r="AG828" s="258"/>
      <c r="AH828" s="258"/>
      <c r="AI828" s="258"/>
      <c r="AQ828" s="259"/>
      <c r="AR828" s="259"/>
      <c r="AS828" s="259"/>
      <c r="AT828" s="259"/>
      <c r="AU828" s="259"/>
      <c r="AV828" s="259"/>
      <c r="AW828" s="259"/>
    </row>
    <row r="829" spans="2:49" ht="15" customHeight="1" x14ac:dyDescent="0.25">
      <c r="B829" s="260"/>
      <c r="C829" s="290"/>
      <c r="D829" s="262"/>
      <c r="E829" s="291"/>
      <c r="F829" s="262"/>
      <c r="G829" s="289"/>
      <c r="H829" s="243"/>
      <c r="I829" s="266"/>
      <c r="K829" s="268"/>
      <c r="L829" s="273"/>
      <c r="M829" s="274"/>
      <c r="N829" s="258"/>
      <c r="O829" s="258"/>
      <c r="P829" s="258"/>
      <c r="Q829" s="276"/>
      <c r="R829" s="272"/>
      <c r="S829" s="272"/>
      <c r="T829" s="272"/>
      <c r="U829" s="272"/>
      <c r="V829" s="272"/>
      <c r="W829" s="272"/>
      <c r="X829" s="272"/>
      <c r="Y829" s="272"/>
      <c r="Z829" s="258"/>
      <c r="AA829" s="258"/>
      <c r="AB829" s="258"/>
      <c r="AC829" s="258"/>
      <c r="AD829" s="258"/>
      <c r="AE829" s="258"/>
      <c r="AF829" s="258"/>
      <c r="AG829" s="258"/>
      <c r="AH829" s="258"/>
      <c r="AI829" s="258"/>
      <c r="AQ829" s="259"/>
      <c r="AR829" s="259"/>
      <c r="AS829" s="259"/>
      <c r="AT829" s="259"/>
      <c r="AU829" s="259"/>
      <c r="AV829" s="259"/>
      <c r="AW829" s="259"/>
    </row>
    <row r="830" spans="2:49" ht="15" customHeight="1" x14ac:dyDescent="0.25">
      <c r="B830" s="260"/>
      <c r="D830" s="262"/>
      <c r="G830" s="289"/>
      <c r="H830" s="265"/>
      <c r="I830" s="266"/>
      <c r="K830" s="268"/>
      <c r="L830" s="273"/>
      <c r="M830" s="274"/>
      <c r="N830" s="258"/>
      <c r="O830" s="258"/>
      <c r="P830" s="258"/>
      <c r="Q830" s="276"/>
      <c r="R830" s="272"/>
      <c r="S830" s="272"/>
      <c r="T830" s="272"/>
      <c r="U830" s="272"/>
      <c r="V830" s="272"/>
      <c r="W830" s="272"/>
      <c r="X830" s="272"/>
      <c r="Y830" s="272"/>
      <c r="Z830" s="258"/>
      <c r="AA830" s="258"/>
      <c r="AB830" s="258"/>
      <c r="AC830" s="258"/>
      <c r="AD830" s="258"/>
      <c r="AE830" s="258"/>
      <c r="AF830" s="258"/>
      <c r="AG830" s="258"/>
      <c r="AH830" s="270"/>
      <c r="AI830" s="270"/>
      <c r="AQ830" s="259"/>
      <c r="AR830" s="259"/>
      <c r="AS830" s="259"/>
      <c r="AT830" s="259"/>
      <c r="AU830" s="259"/>
      <c r="AV830" s="259"/>
      <c r="AW830" s="259"/>
    </row>
    <row r="831" spans="2:49" ht="15" customHeight="1" x14ac:dyDescent="0.25">
      <c r="B831" s="260"/>
      <c r="D831" s="262"/>
      <c r="G831" s="289"/>
      <c r="H831" s="265"/>
      <c r="I831" s="266"/>
      <c r="K831" s="268"/>
      <c r="L831" s="273"/>
      <c r="M831" s="277"/>
      <c r="N831" s="258"/>
      <c r="O831" s="258"/>
      <c r="P831" s="258"/>
      <c r="Q831" s="276"/>
      <c r="R831" s="272"/>
      <c r="S831" s="272"/>
      <c r="T831" s="272"/>
      <c r="U831" s="272"/>
      <c r="V831" s="272"/>
      <c r="W831" s="272"/>
      <c r="X831" s="272"/>
      <c r="Y831" s="272"/>
      <c r="Z831" s="258"/>
      <c r="AA831" s="258"/>
      <c r="AB831" s="258"/>
      <c r="AC831" s="258"/>
      <c r="AD831" s="258"/>
      <c r="AE831" s="258"/>
      <c r="AF831" s="258"/>
      <c r="AG831" s="258"/>
      <c r="AH831" s="270"/>
      <c r="AI831" s="270"/>
      <c r="AQ831" s="259"/>
      <c r="AR831" s="259"/>
      <c r="AS831" s="259"/>
      <c r="AT831" s="259"/>
      <c r="AU831" s="259"/>
      <c r="AV831" s="259"/>
      <c r="AW831" s="259"/>
    </row>
    <row r="832" spans="2:49" ht="15" customHeight="1" x14ac:dyDescent="0.25">
      <c r="B832" s="260"/>
      <c r="D832" s="262"/>
      <c r="G832" s="289"/>
      <c r="H832" s="265"/>
      <c r="I832" s="266"/>
      <c r="K832" s="268"/>
      <c r="L832" s="278"/>
      <c r="M832" s="274"/>
      <c r="N832" s="258"/>
      <c r="O832" s="258"/>
      <c r="P832" s="258"/>
      <c r="Q832" s="276"/>
      <c r="R832" s="272"/>
      <c r="S832" s="272"/>
      <c r="T832" s="272"/>
      <c r="U832" s="272"/>
      <c r="V832" s="272"/>
      <c r="W832" s="272"/>
      <c r="X832" s="272"/>
      <c r="Y832" s="272"/>
      <c r="Z832" s="258"/>
      <c r="AA832" s="258"/>
      <c r="AB832" s="258"/>
      <c r="AC832" s="258"/>
      <c r="AD832" s="258"/>
      <c r="AE832" s="258"/>
      <c r="AF832" s="258"/>
      <c r="AG832" s="258"/>
      <c r="AH832" s="270"/>
      <c r="AI832" s="270"/>
      <c r="AQ832" s="259"/>
      <c r="AR832" s="259"/>
      <c r="AS832" s="259"/>
      <c r="AT832" s="259"/>
      <c r="AU832" s="259"/>
      <c r="AV832" s="259"/>
      <c r="AW832" s="259"/>
    </row>
    <row r="833" spans="2:49" ht="15" customHeight="1" x14ac:dyDescent="0.25">
      <c r="B833" s="260"/>
      <c r="D833" s="262"/>
      <c r="G833" s="289"/>
      <c r="H833" s="265"/>
      <c r="I833" s="266"/>
      <c r="K833" s="268"/>
      <c r="L833" s="278"/>
      <c r="M833" s="274"/>
      <c r="N833" s="258"/>
      <c r="O833" s="258"/>
      <c r="P833" s="258"/>
      <c r="Q833" s="276"/>
      <c r="R833" s="272"/>
      <c r="S833" s="272"/>
      <c r="T833" s="272"/>
      <c r="U833" s="272"/>
      <c r="V833" s="272"/>
      <c r="W833" s="272"/>
      <c r="X833" s="272"/>
      <c r="Y833" s="272"/>
      <c r="Z833" s="258"/>
      <c r="AA833" s="258"/>
      <c r="AB833" s="258"/>
      <c r="AC833" s="258"/>
      <c r="AD833" s="258"/>
      <c r="AE833" s="258"/>
      <c r="AF833" s="258"/>
      <c r="AG833" s="258"/>
      <c r="AH833" s="258"/>
      <c r="AQ833" s="259"/>
      <c r="AR833" s="259"/>
      <c r="AS833" s="259"/>
      <c r="AT833" s="259"/>
      <c r="AU833" s="259"/>
      <c r="AV833" s="259"/>
      <c r="AW833" s="259"/>
    </row>
    <row r="834" spans="2:49" ht="15" customHeight="1" x14ac:dyDescent="0.25">
      <c r="B834" s="260"/>
      <c r="D834" s="262"/>
      <c r="E834" s="291"/>
      <c r="F834" s="293"/>
      <c r="G834" s="288"/>
      <c r="H834" s="265"/>
      <c r="I834" s="266"/>
      <c r="K834" s="268"/>
      <c r="L834" s="278"/>
      <c r="M834" s="274"/>
      <c r="N834" s="258"/>
      <c r="O834" s="258"/>
      <c r="P834" s="258"/>
      <c r="Q834" s="276"/>
      <c r="R834" s="272"/>
      <c r="S834" s="272"/>
      <c r="T834" s="272"/>
      <c r="U834" s="272"/>
      <c r="V834" s="272"/>
      <c r="W834" s="272"/>
      <c r="X834" s="272"/>
      <c r="Y834" s="272"/>
      <c r="Z834" s="258"/>
      <c r="AA834" s="258"/>
      <c r="AB834" s="258"/>
      <c r="AC834" s="258"/>
      <c r="AD834" s="258"/>
      <c r="AE834" s="258"/>
      <c r="AF834" s="258"/>
      <c r="AG834" s="258"/>
      <c r="AH834" s="258"/>
      <c r="AQ834" s="259"/>
      <c r="AR834" s="259"/>
      <c r="AS834" s="259"/>
      <c r="AT834" s="259"/>
      <c r="AU834" s="259"/>
      <c r="AV834" s="259"/>
      <c r="AW834" s="259"/>
    </row>
    <row r="835" spans="2:49" ht="15" customHeight="1" x14ac:dyDescent="0.25">
      <c r="B835" s="260"/>
      <c r="C835" s="290"/>
      <c r="D835" s="262"/>
      <c r="E835" s="291"/>
      <c r="F835" s="262"/>
      <c r="G835" s="289"/>
      <c r="H835" s="243"/>
      <c r="I835" s="266"/>
      <c r="K835" s="268"/>
      <c r="L835" s="278"/>
      <c r="M835" s="274"/>
      <c r="N835" s="258"/>
      <c r="O835" s="258"/>
      <c r="P835" s="258"/>
      <c r="Q835" s="276"/>
      <c r="R835" s="272"/>
      <c r="S835" s="272"/>
      <c r="T835" s="272"/>
      <c r="U835" s="272"/>
      <c r="V835" s="272"/>
      <c r="W835" s="272"/>
      <c r="X835" s="272"/>
      <c r="Y835" s="272"/>
      <c r="Z835" s="258"/>
      <c r="AA835" s="258"/>
      <c r="AB835" s="258"/>
      <c r="AC835" s="258"/>
      <c r="AD835" s="258"/>
      <c r="AE835" s="258"/>
      <c r="AF835" s="258"/>
      <c r="AG835" s="258"/>
      <c r="AH835" s="258"/>
      <c r="AQ835" s="259"/>
      <c r="AR835" s="259"/>
      <c r="AS835" s="259"/>
      <c r="AT835" s="259"/>
      <c r="AU835" s="259"/>
      <c r="AV835" s="259"/>
      <c r="AW835" s="259"/>
    </row>
    <row r="836" spans="2:49" ht="15" customHeight="1" x14ac:dyDescent="0.25">
      <c r="B836" s="260"/>
      <c r="D836" s="262"/>
      <c r="G836" s="288"/>
      <c r="H836" s="265"/>
      <c r="I836" s="266"/>
      <c r="K836" s="268"/>
      <c r="L836" s="278"/>
      <c r="M836" s="274"/>
      <c r="N836" s="258"/>
      <c r="O836" s="258"/>
      <c r="P836" s="258"/>
      <c r="Q836" s="276"/>
      <c r="R836" s="272"/>
      <c r="S836" s="272"/>
      <c r="T836" s="272"/>
      <c r="U836" s="272"/>
      <c r="V836" s="272"/>
      <c r="W836" s="272"/>
      <c r="X836" s="272"/>
      <c r="Y836" s="272"/>
      <c r="Z836" s="258"/>
      <c r="AA836" s="258"/>
      <c r="AB836" s="258"/>
      <c r="AC836" s="258"/>
      <c r="AD836" s="258"/>
      <c r="AE836" s="258"/>
      <c r="AF836" s="258"/>
      <c r="AG836" s="258"/>
      <c r="AH836" s="258"/>
      <c r="AQ836" s="259"/>
      <c r="AR836" s="259"/>
      <c r="AS836" s="259"/>
      <c r="AT836" s="259"/>
      <c r="AU836" s="259"/>
      <c r="AV836" s="259"/>
      <c r="AW836" s="259"/>
    </row>
    <row r="837" spans="2:49" ht="15" customHeight="1" x14ac:dyDescent="0.25">
      <c r="B837" s="260"/>
      <c r="D837" s="262"/>
      <c r="G837" s="288"/>
      <c r="H837" s="265"/>
      <c r="I837" s="266"/>
      <c r="K837" s="268"/>
      <c r="L837" s="278"/>
      <c r="M837" s="274"/>
      <c r="N837" s="258"/>
      <c r="O837" s="258"/>
      <c r="P837" s="258"/>
      <c r="Q837" s="276"/>
      <c r="W837" s="272"/>
      <c r="X837" s="272"/>
      <c r="Y837" s="272"/>
      <c r="Z837" s="258"/>
      <c r="AA837" s="258"/>
      <c r="AB837" s="258"/>
      <c r="AC837" s="258"/>
      <c r="AD837" s="258"/>
      <c r="AE837" s="258"/>
      <c r="AF837" s="258"/>
      <c r="AG837" s="258"/>
      <c r="AH837" s="258"/>
      <c r="AQ837" s="259"/>
      <c r="AR837" s="259"/>
      <c r="AS837" s="259"/>
      <c r="AT837" s="259"/>
      <c r="AU837" s="259"/>
      <c r="AV837" s="259"/>
      <c r="AW837" s="259"/>
    </row>
    <row r="838" spans="2:49" ht="15" customHeight="1" x14ac:dyDescent="0.25">
      <c r="B838" s="260"/>
      <c r="D838" s="262"/>
      <c r="G838" s="289"/>
      <c r="H838" s="265"/>
      <c r="I838" s="266"/>
      <c r="K838" s="268"/>
      <c r="L838" s="278"/>
      <c r="M838" s="274"/>
      <c r="N838" s="258"/>
      <c r="O838" s="258"/>
      <c r="P838" s="258"/>
      <c r="Q838" s="276"/>
      <c r="W838" s="272"/>
      <c r="X838" s="272"/>
      <c r="Y838" s="272"/>
      <c r="Z838" s="258"/>
      <c r="AA838" s="258"/>
      <c r="AB838" s="258"/>
      <c r="AC838" s="258"/>
      <c r="AD838" s="258"/>
      <c r="AE838" s="258"/>
      <c r="AF838" s="258"/>
      <c r="AG838" s="258"/>
      <c r="AH838" s="258"/>
      <c r="AQ838" s="259"/>
      <c r="AR838" s="259"/>
      <c r="AS838" s="259"/>
      <c r="AT838" s="259"/>
      <c r="AU838" s="259"/>
      <c r="AV838" s="259"/>
      <c r="AW838" s="259"/>
    </row>
    <row r="839" spans="2:49" ht="15" customHeight="1" x14ac:dyDescent="0.25">
      <c r="B839" s="260"/>
      <c r="D839" s="262"/>
      <c r="G839" s="289"/>
      <c r="H839" s="265"/>
      <c r="I839" s="266"/>
      <c r="K839" s="268"/>
      <c r="L839" s="278"/>
      <c r="M839" s="274"/>
      <c r="N839" s="258"/>
      <c r="O839" s="258"/>
      <c r="P839" s="258"/>
      <c r="Q839" s="276"/>
      <c r="W839" s="272"/>
      <c r="X839" s="272"/>
      <c r="Y839" s="272"/>
      <c r="Z839" s="258"/>
      <c r="AA839" s="258"/>
      <c r="AB839" s="258"/>
      <c r="AC839" s="258"/>
      <c r="AD839" s="258"/>
      <c r="AE839" s="258"/>
      <c r="AF839" s="258"/>
      <c r="AG839" s="258"/>
      <c r="AH839" s="258"/>
      <c r="AQ839" s="259"/>
      <c r="AR839" s="259"/>
      <c r="AS839" s="259"/>
      <c r="AT839" s="259"/>
      <c r="AU839" s="259"/>
      <c r="AV839" s="259"/>
      <c r="AW839" s="259"/>
    </row>
    <row r="840" spans="2:49" ht="15" customHeight="1" x14ac:dyDescent="0.25">
      <c r="B840" s="260"/>
      <c r="D840" s="262"/>
      <c r="E840" s="291"/>
      <c r="F840" s="293"/>
      <c r="G840" s="288"/>
      <c r="H840" s="265"/>
      <c r="I840" s="266"/>
      <c r="K840" s="268"/>
      <c r="L840" s="273"/>
      <c r="M840" s="274"/>
      <c r="N840" s="270"/>
      <c r="O840" s="270"/>
      <c r="P840" s="270"/>
      <c r="Q840" s="275"/>
      <c r="R840" s="272"/>
      <c r="S840" s="272"/>
      <c r="T840" s="272"/>
      <c r="U840" s="272"/>
      <c r="V840" s="272"/>
      <c r="W840" s="272"/>
      <c r="X840" s="272"/>
      <c r="Y840" s="272"/>
      <c r="Z840" s="258"/>
      <c r="AA840" s="258"/>
      <c r="AB840" s="258"/>
      <c r="AC840" s="258"/>
      <c r="AD840" s="258"/>
      <c r="AE840" s="258"/>
      <c r="AF840" s="258"/>
      <c r="AG840" s="258"/>
      <c r="AH840" s="258"/>
      <c r="AI840" s="258"/>
      <c r="AQ840" s="259"/>
      <c r="AR840" s="259"/>
      <c r="AS840" s="259"/>
      <c r="AT840" s="259"/>
      <c r="AU840" s="259"/>
      <c r="AV840" s="259"/>
      <c r="AW840" s="259"/>
    </row>
    <row r="841" spans="2:49" ht="15" customHeight="1" x14ac:dyDescent="0.25">
      <c r="B841" s="260"/>
      <c r="D841" s="262"/>
      <c r="G841" s="289"/>
      <c r="H841" s="265"/>
      <c r="I841" s="266"/>
      <c r="K841" s="268"/>
      <c r="L841" s="273"/>
      <c r="M841" s="274"/>
      <c r="N841" s="258"/>
      <c r="O841" s="258"/>
      <c r="P841" s="258"/>
      <c r="Q841" s="276"/>
      <c r="R841" s="272"/>
      <c r="S841" s="272"/>
      <c r="T841" s="272"/>
      <c r="U841" s="272"/>
      <c r="V841" s="272"/>
      <c r="W841" s="272"/>
      <c r="X841" s="272"/>
      <c r="Y841" s="272"/>
      <c r="Z841" s="258"/>
      <c r="AA841" s="258"/>
      <c r="AB841" s="258"/>
      <c r="AC841" s="258"/>
      <c r="AD841" s="258"/>
      <c r="AE841" s="258"/>
      <c r="AF841" s="258"/>
      <c r="AG841" s="258"/>
      <c r="AH841" s="258"/>
      <c r="AI841" s="258"/>
      <c r="AQ841" s="259"/>
      <c r="AR841" s="259"/>
      <c r="AS841" s="259"/>
      <c r="AT841" s="259"/>
      <c r="AU841" s="259"/>
      <c r="AV841" s="259"/>
      <c r="AW841" s="259"/>
    </row>
    <row r="842" spans="2:49" ht="15" customHeight="1" x14ac:dyDescent="0.25">
      <c r="B842" s="260"/>
      <c r="C842" s="290"/>
      <c r="D842" s="262"/>
      <c r="E842" s="291"/>
      <c r="F842" s="262"/>
      <c r="G842" s="289"/>
      <c r="H842" s="243"/>
      <c r="I842" s="266"/>
      <c r="K842" s="268"/>
      <c r="L842" s="273"/>
      <c r="M842" s="274"/>
      <c r="N842" s="258"/>
      <c r="O842" s="258"/>
      <c r="P842" s="258"/>
      <c r="Q842" s="276"/>
      <c r="R842" s="272"/>
      <c r="S842" s="272"/>
      <c r="T842" s="272"/>
      <c r="U842" s="272"/>
      <c r="V842" s="272"/>
      <c r="W842" s="272"/>
      <c r="X842" s="272"/>
      <c r="Y842" s="272"/>
      <c r="Z842" s="258"/>
      <c r="AA842" s="258"/>
      <c r="AB842" s="258"/>
      <c r="AC842" s="258"/>
      <c r="AD842" s="258"/>
      <c r="AE842" s="258"/>
      <c r="AF842" s="258"/>
      <c r="AG842" s="258"/>
      <c r="AH842" s="270"/>
      <c r="AI842" s="270"/>
      <c r="AQ842" s="259"/>
      <c r="AR842" s="259"/>
      <c r="AS842" s="259"/>
      <c r="AT842" s="259"/>
      <c r="AU842" s="259"/>
      <c r="AV842" s="259"/>
      <c r="AW842" s="259"/>
    </row>
    <row r="843" spans="2:49" ht="15" customHeight="1" x14ac:dyDescent="0.25">
      <c r="B843" s="260"/>
      <c r="D843" s="262"/>
      <c r="G843" s="289"/>
      <c r="H843" s="265"/>
      <c r="I843" s="266"/>
      <c r="K843" s="268"/>
      <c r="L843" s="273"/>
      <c r="M843" s="277"/>
      <c r="N843" s="258"/>
      <c r="O843" s="258"/>
      <c r="P843" s="258"/>
      <c r="Q843" s="276"/>
      <c r="R843" s="272"/>
      <c r="S843" s="272"/>
      <c r="T843" s="272"/>
      <c r="U843" s="272"/>
      <c r="V843" s="272"/>
      <c r="W843" s="272"/>
      <c r="X843" s="272"/>
      <c r="Y843" s="272"/>
      <c r="Z843" s="258"/>
      <c r="AA843" s="258"/>
      <c r="AB843" s="258"/>
      <c r="AC843" s="258"/>
      <c r="AD843" s="258"/>
      <c r="AE843" s="258"/>
      <c r="AF843" s="258"/>
      <c r="AG843" s="258"/>
      <c r="AH843" s="270"/>
      <c r="AI843" s="270"/>
      <c r="AQ843" s="259"/>
      <c r="AR843" s="259"/>
      <c r="AS843" s="259"/>
      <c r="AT843" s="259"/>
      <c r="AU843" s="259"/>
      <c r="AV843" s="259"/>
      <c r="AW843" s="259"/>
    </row>
    <row r="844" spans="2:49" ht="15" customHeight="1" x14ac:dyDescent="0.25">
      <c r="B844" s="260"/>
      <c r="D844" s="262"/>
      <c r="G844" s="289"/>
      <c r="H844" s="265"/>
      <c r="I844" s="266"/>
      <c r="K844" s="268"/>
      <c r="L844" s="278"/>
      <c r="M844" s="274"/>
      <c r="N844" s="258"/>
      <c r="O844" s="258"/>
      <c r="P844" s="258"/>
      <c r="Q844" s="276"/>
      <c r="R844" s="272"/>
      <c r="S844" s="272"/>
      <c r="T844" s="272"/>
      <c r="U844" s="272"/>
      <c r="V844" s="272"/>
      <c r="W844" s="272"/>
      <c r="X844" s="272"/>
      <c r="Y844" s="272"/>
      <c r="Z844" s="258"/>
      <c r="AA844" s="258"/>
      <c r="AB844" s="258"/>
      <c r="AC844" s="258"/>
      <c r="AD844" s="258"/>
      <c r="AE844" s="258"/>
      <c r="AF844" s="258"/>
      <c r="AG844" s="258"/>
      <c r="AH844" s="270"/>
      <c r="AI844" s="270"/>
      <c r="AQ844" s="259"/>
      <c r="AR844" s="259"/>
      <c r="AS844" s="259"/>
      <c r="AT844" s="259"/>
      <c r="AU844" s="259"/>
      <c r="AV844" s="259"/>
      <c r="AW844" s="259"/>
    </row>
    <row r="845" spans="2:49" ht="15" customHeight="1" x14ac:dyDescent="0.25">
      <c r="B845" s="260"/>
      <c r="D845" s="262"/>
      <c r="G845" s="289"/>
      <c r="H845" s="265"/>
      <c r="I845" s="266"/>
      <c r="K845" s="268"/>
      <c r="L845" s="278"/>
      <c r="M845" s="274"/>
      <c r="N845" s="258"/>
      <c r="O845" s="258"/>
      <c r="P845" s="258"/>
      <c r="Q845" s="276"/>
      <c r="R845" s="272"/>
      <c r="S845" s="272"/>
      <c r="T845" s="272"/>
      <c r="U845" s="272"/>
      <c r="V845" s="272"/>
      <c r="W845" s="272"/>
      <c r="X845" s="272"/>
      <c r="Y845" s="272"/>
      <c r="Z845" s="258"/>
      <c r="AA845" s="258"/>
      <c r="AB845" s="258"/>
      <c r="AC845" s="258"/>
      <c r="AD845" s="258"/>
      <c r="AE845" s="258"/>
      <c r="AF845" s="258"/>
      <c r="AG845" s="258"/>
      <c r="AH845" s="258"/>
      <c r="AQ845" s="259"/>
      <c r="AR845" s="259"/>
      <c r="AS845" s="259"/>
      <c r="AT845" s="259"/>
      <c r="AU845" s="259"/>
      <c r="AV845" s="259"/>
      <c r="AW845" s="259"/>
    </row>
    <row r="846" spans="2:49" ht="15" customHeight="1" x14ac:dyDescent="0.25">
      <c r="B846" s="260"/>
      <c r="D846" s="262"/>
      <c r="G846" s="289"/>
      <c r="H846" s="265"/>
      <c r="I846" s="266"/>
      <c r="K846" s="268"/>
      <c r="L846" s="278"/>
      <c r="M846" s="274"/>
      <c r="N846" s="258"/>
      <c r="O846" s="258"/>
      <c r="P846" s="258"/>
      <c r="Q846" s="276"/>
      <c r="R846" s="272"/>
      <c r="S846" s="272"/>
      <c r="T846" s="272"/>
      <c r="U846" s="272"/>
      <c r="V846" s="272"/>
      <c r="W846" s="272"/>
      <c r="X846" s="272"/>
      <c r="Y846" s="272"/>
      <c r="Z846" s="258"/>
      <c r="AA846" s="258"/>
      <c r="AB846" s="258"/>
      <c r="AC846" s="258"/>
      <c r="AD846" s="258"/>
      <c r="AE846" s="258"/>
      <c r="AF846" s="258"/>
      <c r="AG846" s="258"/>
      <c r="AH846" s="258"/>
      <c r="AQ846" s="259"/>
      <c r="AR846" s="259"/>
      <c r="AS846" s="259"/>
      <c r="AT846" s="259"/>
      <c r="AU846" s="259"/>
      <c r="AV846" s="259"/>
      <c r="AW846" s="259"/>
    </row>
    <row r="847" spans="2:49" ht="15" customHeight="1" x14ac:dyDescent="0.25">
      <c r="B847" s="260"/>
      <c r="D847" s="262"/>
      <c r="G847" s="289"/>
      <c r="H847" s="265"/>
      <c r="I847" s="266"/>
      <c r="K847" s="268"/>
      <c r="L847" s="278"/>
      <c r="M847" s="274"/>
      <c r="N847" s="258"/>
      <c r="O847" s="258"/>
      <c r="P847" s="258"/>
      <c r="Q847" s="276"/>
      <c r="R847" s="272"/>
      <c r="S847" s="272"/>
      <c r="T847" s="272"/>
      <c r="U847" s="272"/>
      <c r="V847" s="272"/>
      <c r="W847" s="272"/>
      <c r="X847" s="272"/>
      <c r="Y847" s="272"/>
      <c r="Z847" s="258"/>
      <c r="AA847" s="258"/>
      <c r="AB847" s="258"/>
      <c r="AC847" s="258"/>
      <c r="AD847" s="258"/>
      <c r="AE847" s="258"/>
      <c r="AF847" s="258"/>
      <c r="AG847" s="258"/>
      <c r="AH847" s="258"/>
      <c r="AQ847" s="259"/>
      <c r="AR847" s="259"/>
      <c r="AS847" s="259"/>
      <c r="AT847" s="259"/>
      <c r="AU847" s="259"/>
      <c r="AV847" s="259"/>
      <c r="AW847" s="259"/>
    </row>
    <row r="848" spans="2:49" ht="15" customHeight="1" x14ac:dyDescent="0.25">
      <c r="B848" s="260"/>
      <c r="D848" s="262"/>
      <c r="G848" s="289"/>
      <c r="H848" s="265"/>
      <c r="I848" s="266"/>
      <c r="K848" s="268"/>
      <c r="L848" s="278"/>
      <c r="M848" s="274"/>
      <c r="N848" s="258"/>
      <c r="O848" s="258"/>
      <c r="P848" s="258"/>
      <c r="Q848" s="276"/>
      <c r="R848" s="272"/>
      <c r="S848" s="272"/>
      <c r="T848" s="272"/>
      <c r="U848" s="272"/>
      <c r="V848" s="272"/>
      <c r="W848" s="272"/>
      <c r="X848" s="272"/>
      <c r="Y848" s="272"/>
      <c r="Z848" s="258"/>
      <c r="AA848" s="258"/>
      <c r="AB848" s="258"/>
      <c r="AC848" s="258"/>
      <c r="AD848" s="258"/>
      <c r="AE848" s="258"/>
      <c r="AF848" s="258"/>
      <c r="AG848" s="258"/>
      <c r="AH848" s="258"/>
      <c r="AQ848" s="259"/>
      <c r="AR848" s="259"/>
      <c r="AS848" s="259"/>
      <c r="AT848" s="259"/>
      <c r="AU848" s="259"/>
      <c r="AV848" s="259"/>
      <c r="AW848" s="259"/>
    </row>
    <row r="849" spans="2:49" ht="15" customHeight="1" x14ac:dyDescent="0.25">
      <c r="B849" s="260"/>
      <c r="D849" s="262"/>
      <c r="G849" s="289"/>
      <c r="H849" s="265"/>
      <c r="I849" s="266"/>
      <c r="K849" s="268"/>
      <c r="L849" s="278"/>
      <c r="M849" s="274"/>
      <c r="N849" s="258"/>
      <c r="O849" s="258"/>
      <c r="P849" s="258"/>
      <c r="Q849" s="276"/>
      <c r="W849" s="272"/>
      <c r="X849" s="272"/>
      <c r="Y849" s="272"/>
      <c r="Z849" s="258"/>
      <c r="AA849" s="258"/>
      <c r="AB849" s="258"/>
      <c r="AC849" s="258"/>
      <c r="AD849" s="258"/>
      <c r="AE849" s="258"/>
      <c r="AF849" s="258"/>
      <c r="AG849" s="258"/>
      <c r="AH849" s="258"/>
      <c r="AQ849" s="259"/>
      <c r="AR849" s="259"/>
      <c r="AS849" s="259"/>
      <c r="AT849" s="259"/>
      <c r="AU849" s="259"/>
      <c r="AV849" s="259"/>
      <c r="AW849" s="259"/>
    </row>
    <row r="850" spans="2:49" ht="15" customHeight="1" x14ac:dyDescent="0.25">
      <c r="B850" s="260"/>
      <c r="D850" s="262"/>
      <c r="G850" s="288"/>
      <c r="H850" s="265"/>
      <c r="I850" s="266"/>
      <c r="K850" s="268"/>
      <c r="L850" s="278"/>
      <c r="M850" s="274"/>
      <c r="N850" s="258"/>
      <c r="O850" s="258"/>
      <c r="P850" s="258"/>
      <c r="Q850" s="276"/>
      <c r="W850" s="272"/>
      <c r="X850" s="272"/>
      <c r="Y850" s="272"/>
      <c r="Z850" s="258"/>
      <c r="AA850" s="258"/>
      <c r="AB850" s="258"/>
      <c r="AC850" s="258"/>
      <c r="AD850" s="258"/>
      <c r="AE850" s="258"/>
      <c r="AF850" s="258"/>
      <c r="AG850" s="258"/>
      <c r="AH850" s="258"/>
      <c r="AQ850" s="259"/>
      <c r="AR850" s="259"/>
      <c r="AS850" s="259"/>
      <c r="AT850" s="259"/>
      <c r="AU850" s="259"/>
      <c r="AV850" s="259"/>
      <c r="AW850" s="259"/>
    </row>
    <row r="851" spans="2:49" ht="15" customHeight="1" x14ac:dyDescent="0.25">
      <c r="B851" s="260"/>
      <c r="D851" s="262"/>
      <c r="G851" s="288"/>
      <c r="H851" s="265"/>
      <c r="I851" s="266"/>
      <c r="K851" s="268"/>
      <c r="L851" s="278"/>
      <c r="M851" s="274"/>
      <c r="N851" s="258"/>
      <c r="O851" s="258"/>
      <c r="P851" s="258"/>
      <c r="Q851" s="276"/>
      <c r="W851" s="272"/>
      <c r="X851" s="272"/>
      <c r="Y851" s="272"/>
      <c r="Z851" s="258"/>
      <c r="AA851" s="258"/>
      <c r="AB851" s="258"/>
      <c r="AC851" s="258"/>
      <c r="AD851" s="258"/>
      <c r="AE851" s="258"/>
      <c r="AF851" s="258"/>
      <c r="AG851" s="258"/>
      <c r="AH851" s="258"/>
      <c r="AQ851" s="259"/>
      <c r="AR851" s="259"/>
      <c r="AS851" s="259"/>
      <c r="AT851" s="259"/>
      <c r="AU851" s="259"/>
      <c r="AV851" s="259"/>
      <c r="AW851" s="259"/>
    </row>
    <row r="852" spans="2:49" ht="15" customHeight="1" x14ac:dyDescent="0.25">
      <c r="B852" s="260"/>
      <c r="D852" s="262"/>
      <c r="G852" s="289"/>
      <c r="H852" s="265"/>
      <c r="I852" s="266"/>
      <c r="K852" s="268"/>
      <c r="L852" s="273"/>
      <c r="M852" s="274"/>
      <c r="N852" s="270"/>
      <c r="O852" s="270"/>
      <c r="P852" s="270"/>
      <c r="Q852" s="275"/>
      <c r="R852" s="272"/>
      <c r="S852" s="272"/>
      <c r="T852" s="272"/>
      <c r="U852" s="272"/>
      <c r="V852" s="272"/>
      <c r="W852" s="272"/>
      <c r="X852" s="272"/>
      <c r="Y852" s="272"/>
      <c r="Z852" s="258"/>
      <c r="AA852" s="258"/>
      <c r="AB852" s="258"/>
      <c r="AC852" s="258"/>
      <c r="AD852" s="258"/>
      <c r="AE852" s="258"/>
      <c r="AF852" s="258"/>
      <c r="AG852" s="258"/>
      <c r="AH852" s="258"/>
      <c r="AI852" s="258"/>
      <c r="AQ852" s="259"/>
      <c r="AR852" s="259"/>
      <c r="AS852" s="259"/>
      <c r="AT852" s="259"/>
      <c r="AU852" s="259"/>
      <c r="AV852" s="259"/>
      <c r="AW852" s="259"/>
    </row>
    <row r="853" spans="2:49" ht="15" customHeight="1" x14ac:dyDescent="0.25">
      <c r="B853" s="260"/>
      <c r="D853" s="262"/>
      <c r="G853" s="289"/>
      <c r="H853" s="265"/>
      <c r="I853" s="266"/>
      <c r="K853" s="268"/>
      <c r="L853" s="273"/>
      <c r="M853" s="274"/>
      <c r="N853" s="258"/>
      <c r="O853" s="258"/>
      <c r="P853" s="258"/>
      <c r="Q853" s="276"/>
      <c r="R853" s="272"/>
      <c r="S853" s="272"/>
      <c r="T853" s="272"/>
      <c r="U853" s="272"/>
      <c r="V853" s="272"/>
      <c r="W853" s="272"/>
      <c r="X853" s="272"/>
      <c r="Y853" s="272"/>
      <c r="Z853" s="258"/>
      <c r="AA853" s="258"/>
      <c r="AB853" s="258"/>
      <c r="AC853" s="258"/>
      <c r="AD853" s="258"/>
      <c r="AE853" s="258"/>
      <c r="AF853" s="258"/>
      <c r="AG853" s="258"/>
      <c r="AH853" s="258"/>
      <c r="AI853" s="258"/>
      <c r="AQ853" s="259"/>
      <c r="AR853" s="259"/>
      <c r="AS853" s="259"/>
      <c r="AT853" s="259"/>
      <c r="AU853" s="259"/>
      <c r="AV853" s="259"/>
      <c r="AW853" s="259"/>
    </row>
    <row r="854" spans="2:49" ht="15" customHeight="1" x14ac:dyDescent="0.25">
      <c r="B854" s="260"/>
      <c r="D854" s="262"/>
      <c r="G854" s="289"/>
      <c r="H854" s="265"/>
      <c r="I854" s="266"/>
      <c r="K854" s="268"/>
      <c r="L854" s="273"/>
      <c r="M854" s="274"/>
      <c r="N854" s="258"/>
      <c r="O854" s="258"/>
      <c r="P854" s="258"/>
      <c r="Q854" s="276"/>
      <c r="R854" s="272"/>
      <c r="S854" s="272"/>
      <c r="T854" s="272"/>
      <c r="U854" s="272"/>
      <c r="V854" s="272"/>
      <c r="W854" s="272"/>
      <c r="X854" s="272"/>
      <c r="Y854" s="272"/>
      <c r="Z854" s="258"/>
      <c r="AA854" s="258"/>
      <c r="AB854" s="258"/>
      <c r="AC854" s="258"/>
      <c r="AD854" s="258"/>
      <c r="AE854" s="258"/>
      <c r="AF854" s="258"/>
      <c r="AG854" s="258"/>
      <c r="AH854" s="270"/>
      <c r="AI854" s="270"/>
      <c r="AQ854" s="259"/>
      <c r="AR854" s="259"/>
      <c r="AS854" s="259"/>
      <c r="AT854" s="259"/>
      <c r="AU854" s="259"/>
      <c r="AV854" s="259"/>
      <c r="AW854" s="259"/>
    </row>
    <row r="855" spans="2:49" ht="15" customHeight="1" x14ac:dyDescent="0.25">
      <c r="B855" s="260"/>
      <c r="D855" s="262"/>
      <c r="G855" s="288"/>
      <c r="H855" s="265"/>
      <c r="I855" s="266"/>
      <c r="K855" s="268"/>
      <c r="L855" s="273"/>
      <c r="M855" s="277"/>
      <c r="N855" s="258"/>
      <c r="O855" s="258"/>
      <c r="P855" s="258"/>
      <c r="Q855" s="276"/>
      <c r="R855" s="272"/>
      <c r="S855" s="272"/>
      <c r="T855" s="272"/>
      <c r="U855" s="272"/>
      <c r="V855" s="272"/>
      <c r="W855" s="272"/>
      <c r="X855" s="272"/>
      <c r="Y855" s="272"/>
      <c r="Z855" s="258"/>
      <c r="AA855" s="258"/>
      <c r="AB855" s="258"/>
      <c r="AC855" s="258"/>
      <c r="AD855" s="258"/>
      <c r="AE855" s="258"/>
      <c r="AF855" s="258"/>
      <c r="AG855" s="258"/>
      <c r="AH855" s="270"/>
      <c r="AI855" s="270"/>
      <c r="AQ855" s="259"/>
      <c r="AR855" s="259"/>
      <c r="AS855" s="259"/>
      <c r="AT855" s="259"/>
      <c r="AU855" s="259"/>
      <c r="AV855" s="259"/>
      <c r="AW855" s="259"/>
    </row>
    <row r="856" spans="2:49" ht="15" customHeight="1" x14ac:dyDescent="0.25">
      <c r="B856" s="260"/>
      <c r="D856" s="262"/>
      <c r="G856" s="289"/>
      <c r="H856" s="265"/>
      <c r="I856" s="266"/>
      <c r="K856" s="268"/>
      <c r="L856" s="278"/>
      <c r="M856" s="274"/>
      <c r="N856" s="258"/>
      <c r="O856" s="258"/>
      <c r="P856" s="258"/>
      <c r="Q856" s="276"/>
      <c r="R856" s="272"/>
      <c r="S856" s="272"/>
      <c r="T856" s="272"/>
      <c r="U856" s="272"/>
      <c r="V856" s="272"/>
      <c r="W856" s="272"/>
      <c r="X856" s="272"/>
      <c r="Y856" s="272"/>
      <c r="Z856" s="258"/>
      <c r="AA856" s="258"/>
      <c r="AB856" s="258"/>
      <c r="AC856" s="258"/>
      <c r="AD856" s="258"/>
      <c r="AE856" s="258"/>
      <c r="AF856" s="258"/>
      <c r="AG856" s="258"/>
      <c r="AH856" s="270"/>
      <c r="AI856" s="270"/>
      <c r="AQ856" s="259"/>
      <c r="AR856" s="259"/>
      <c r="AS856" s="259"/>
      <c r="AT856" s="259"/>
      <c r="AU856" s="259"/>
      <c r="AV856" s="259"/>
      <c r="AW856" s="259"/>
    </row>
    <row r="857" spans="2:49" ht="15" customHeight="1" x14ac:dyDescent="0.25">
      <c r="B857" s="260"/>
      <c r="D857" s="262"/>
      <c r="G857" s="289"/>
      <c r="H857" s="265"/>
      <c r="I857" s="266"/>
      <c r="K857" s="268"/>
      <c r="L857" s="278"/>
      <c r="M857" s="274"/>
      <c r="N857" s="258"/>
      <c r="O857" s="258"/>
      <c r="P857" s="258"/>
      <c r="Q857" s="276"/>
      <c r="R857" s="272"/>
      <c r="S857" s="272"/>
      <c r="T857" s="272"/>
      <c r="U857" s="272"/>
      <c r="V857" s="272"/>
      <c r="W857" s="272"/>
      <c r="X857" s="272"/>
      <c r="Y857" s="272"/>
      <c r="Z857" s="258"/>
      <c r="AA857" s="258"/>
      <c r="AB857" s="258"/>
      <c r="AC857" s="258"/>
      <c r="AD857" s="258"/>
      <c r="AE857" s="258"/>
      <c r="AF857" s="258"/>
      <c r="AG857" s="258"/>
      <c r="AH857" s="258"/>
      <c r="AQ857" s="259"/>
      <c r="AR857" s="259"/>
      <c r="AS857" s="259"/>
      <c r="AT857" s="259"/>
      <c r="AU857" s="259"/>
      <c r="AV857" s="259"/>
      <c r="AW857" s="259"/>
    </row>
    <row r="858" spans="2:49" ht="15" customHeight="1" x14ac:dyDescent="0.25">
      <c r="B858" s="260"/>
      <c r="D858" s="262"/>
      <c r="G858" s="289"/>
      <c r="H858" s="265"/>
      <c r="I858" s="266"/>
      <c r="K858" s="268"/>
      <c r="L858" s="278"/>
      <c r="M858" s="274"/>
      <c r="N858" s="258"/>
      <c r="O858" s="258"/>
      <c r="P858" s="258"/>
      <c r="Q858" s="276"/>
      <c r="R858" s="272"/>
      <c r="S858" s="272"/>
      <c r="T858" s="272"/>
      <c r="U858" s="272"/>
      <c r="V858" s="272"/>
      <c r="W858" s="272"/>
      <c r="X858" s="272"/>
      <c r="Y858" s="272"/>
      <c r="Z858" s="258"/>
      <c r="AA858" s="258"/>
      <c r="AB858" s="258"/>
      <c r="AC858" s="258"/>
      <c r="AD858" s="258"/>
      <c r="AE858" s="258"/>
      <c r="AF858" s="258"/>
      <c r="AG858" s="258"/>
      <c r="AH858" s="258"/>
      <c r="AQ858" s="259"/>
      <c r="AR858" s="259"/>
      <c r="AS858" s="259"/>
      <c r="AT858" s="259"/>
      <c r="AU858" s="259"/>
      <c r="AV858" s="259"/>
      <c r="AW858" s="259"/>
    </row>
    <row r="859" spans="2:49" ht="15" customHeight="1" x14ac:dyDescent="0.25">
      <c r="B859" s="260"/>
      <c r="D859" s="262"/>
      <c r="G859" s="289"/>
      <c r="H859" s="265"/>
      <c r="I859" s="266"/>
      <c r="K859" s="268"/>
      <c r="L859" s="278"/>
      <c r="M859" s="274"/>
      <c r="N859" s="258"/>
      <c r="O859" s="258"/>
      <c r="P859" s="258"/>
      <c r="Q859" s="276"/>
      <c r="R859" s="272"/>
      <c r="S859" s="272"/>
      <c r="T859" s="272"/>
      <c r="U859" s="272"/>
      <c r="V859" s="272"/>
      <c r="W859" s="272"/>
      <c r="X859" s="272"/>
      <c r="Y859" s="272"/>
      <c r="Z859" s="258"/>
      <c r="AA859" s="258"/>
      <c r="AB859" s="258"/>
      <c r="AC859" s="258"/>
      <c r="AD859" s="258"/>
      <c r="AE859" s="258"/>
      <c r="AF859" s="258"/>
      <c r="AG859" s="258"/>
      <c r="AH859" s="258"/>
      <c r="AQ859" s="259"/>
      <c r="AR859" s="259"/>
      <c r="AS859" s="259"/>
      <c r="AT859" s="259"/>
      <c r="AU859" s="259"/>
      <c r="AV859" s="259"/>
      <c r="AW859" s="259"/>
    </row>
    <row r="860" spans="2:49" ht="15" customHeight="1" x14ac:dyDescent="0.25">
      <c r="B860" s="260"/>
      <c r="D860" s="262"/>
      <c r="G860" s="289"/>
      <c r="H860" s="265"/>
      <c r="I860" s="266"/>
      <c r="K860" s="268"/>
      <c r="L860" s="278"/>
      <c r="M860" s="274"/>
      <c r="N860" s="258"/>
      <c r="O860" s="258"/>
      <c r="P860" s="258"/>
      <c r="Q860" s="276"/>
      <c r="R860" s="272"/>
      <c r="S860" s="272"/>
      <c r="T860" s="272"/>
      <c r="U860" s="272"/>
      <c r="V860" s="272"/>
      <c r="W860" s="272"/>
      <c r="X860" s="272"/>
      <c r="Y860" s="272"/>
      <c r="Z860" s="258"/>
      <c r="AA860" s="258"/>
      <c r="AB860" s="258"/>
      <c r="AC860" s="258"/>
      <c r="AD860" s="258"/>
      <c r="AE860" s="258"/>
      <c r="AF860" s="258"/>
      <c r="AG860" s="258"/>
      <c r="AH860" s="258"/>
      <c r="AQ860" s="259"/>
      <c r="AR860" s="259"/>
      <c r="AS860" s="259"/>
      <c r="AT860" s="259"/>
      <c r="AU860" s="259"/>
      <c r="AV860" s="259"/>
      <c r="AW860" s="259"/>
    </row>
    <row r="861" spans="2:49" ht="15" customHeight="1" x14ac:dyDescent="0.25">
      <c r="B861" s="260"/>
      <c r="D861" s="262"/>
      <c r="G861" s="289"/>
      <c r="H861" s="265"/>
      <c r="I861" s="266"/>
      <c r="K861" s="268"/>
      <c r="L861" s="278"/>
      <c r="M861" s="274"/>
      <c r="N861" s="258"/>
      <c r="O861" s="258"/>
      <c r="P861" s="258"/>
      <c r="Q861" s="276"/>
      <c r="W861" s="272"/>
      <c r="X861" s="272"/>
      <c r="Y861" s="272"/>
      <c r="Z861" s="258"/>
      <c r="AA861" s="258"/>
      <c r="AB861" s="258"/>
      <c r="AC861" s="258"/>
      <c r="AD861" s="258"/>
      <c r="AE861" s="258"/>
      <c r="AF861" s="258"/>
      <c r="AG861" s="258"/>
      <c r="AH861" s="258"/>
      <c r="AQ861" s="259"/>
      <c r="AR861" s="259"/>
      <c r="AS861" s="259"/>
      <c r="AT861" s="259"/>
      <c r="AU861" s="259"/>
      <c r="AV861" s="259"/>
      <c r="AW861" s="259"/>
    </row>
    <row r="862" spans="2:49" ht="15" customHeight="1" x14ac:dyDescent="0.25">
      <c r="B862" s="260"/>
      <c r="D862" s="262"/>
      <c r="G862" s="289"/>
      <c r="H862" s="265"/>
      <c r="I862" s="266"/>
      <c r="K862" s="268"/>
      <c r="L862" s="278"/>
      <c r="M862" s="274"/>
      <c r="N862" s="258"/>
      <c r="O862" s="258"/>
      <c r="P862" s="258"/>
      <c r="Q862" s="276"/>
      <c r="W862" s="272"/>
      <c r="X862" s="272"/>
      <c r="Y862" s="272"/>
      <c r="Z862" s="258"/>
      <c r="AA862" s="258"/>
      <c r="AB862" s="258"/>
      <c r="AC862" s="258"/>
      <c r="AD862" s="258"/>
      <c r="AE862" s="258"/>
      <c r="AF862" s="258"/>
      <c r="AG862" s="258"/>
      <c r="AH862" s="258"/>
      <c r="AQ862" s="259"/>
      <c r="AR862" s="259"/>
      <c r="AS862" s="259"/>
      <c r="AT862" s="259"/>
      <c r="AU862" s="259"/>
      <c r="AV862" s="259"/>
      <c r="AW862" s="259"/>
    </row>
    <row r="863" spans="2:49" ht="15" customHeight="1" x14ac:dyDescent="0.25">
      <c r="B863" s="260"/>
      <c r="D863" s="262"/>
      <c r="G863" s="288"/>
      <c r="H863" s="265"/>
      <c r="I863" s="266"/>
      <c r="K863" s="268"/>
      <c r="L863" s="278"/>
      <c r="M863" s="274"/>
      <c r="N863" s="258"/>
      <c r="O863" s="258"/>
      <c r="P863" s="258"/>
      <c r="Q863" s="276"/>
      <c r="W863" s="272"/>
      <c r="X863" s="272"/>
      <c r="Y863" s="272"/>
      <c r="Z863" s="258"/>
      <c r="AA863" s="258"/>
      <c r="AB863" s="258"/>
      <c r="AC863" s="258"/>
      <c r="AD863" s="258"/>
      <c r="AE863" s="258"/>
      <c r="AF863" s="258"/>
      <c r="AG863" s="258"/>
      <c r="AH863" s="258"/>
      <c r="AQ863" s="259"/>
      <c r="AR863" s="259"/>
      <c r="AS863" s="259"/>
      <c r="AT863" s="259"/>
      <c r="AU863" s="259"/>
      <c r="AV863" s="259"/>
      <c r="AW863" s="259"/>
    </row>
    <row r="864" spans="2:49" ht="15" customHeight="1" x14ac:dyDescent="0.25">
      <c r="B864" s="260"/>
      <c r="D864" s="262"/>
      <c r="G864" s="288"/>
      <c r="H864" s="265"/>
      <c r="I864" s="266"/>
      <c r="K864" s="268"/>
      <c r="L864" s="273"/>
      <c r="M864" s="274"/>
      <c r="N864" s="270"/>
      <c r="O864" s="270"/>
      <c r="P864" s="270"/>
      <c r="Q864" s="275"/>
      <c r="R864" s="272"/>
      <c r="S864" s="272"/>
      <c r="T864" s="272"/>
      <c r="U864" s="272"/>
      <c r="V864" s="272"/>
      <c r="W864" s="272"/>
      <c r="X864" s="272"/>
      <c r="Y864" s="272"/>
      <c r="Z864" s="258"/>
      <c r="AA864" s="258"/>
      <c r="AB864" s="258"/>
      <c r="AC864" s="258"/>
      <c r="AD864" s="258"/>
      <c r="AE864" s="258"/>
      <c r="AF864" s="258"/>
      <c r="AG864" s="258"/>
      <c r="AH864" s="258"/>
      <c r="AI864" s="258"/>
      <c r="AQ864" s="259"/>
      <c r="AR864" s="259"/>
      <c r="AS864" s="259"/>
      <c r="AT864" s="259"/>
      <c r="AU864" s="259"/>
      <c r="AV864" s="259"/>
      <c r="AW864" s="259"/>
    </row>
    <row r="865" spans="2:49" ht="15" customHeight="1" x14ac:dyDescent="0.25">
      <c r="B865" s="260"/>
      <c r="D865" s="262"/>
      <c r="G865" s="288"/>
      <c r="H865" s="265"/>
      <c r="I865" s="266"/>
      <c r="K865" s="268"/>
      <c r="L865" s="273"/>
      <c r="M865" s="274"/>
      <c r="N865" s="258"/>
      <c r="O865" s="258"/>
      <c r="P865" s="258"/>
      <c r="Q865" s="276"/>
      <c r="R865" s="272"/>
      <c r="S865" s="272"/>
      <c r="T865" s="272"/>
      <c r="U865" s="272"/>
      <c r="V865" s="272"/>
      <c r="W865" s="272"/>
      <c r="X865" s="272"/>
      <c r="Y865" s="272"/>
      <c r="Z865" s="258"/>
      <c r="AA865" s="258"/>
      <c r="AB865" s="258"/>
      <c r="AC865" s="258"/>
      <c r="AD865" s="258"/>
      <c r="AE865" s="258"/>
      <c r="AF865" s="258"/>
      <c r="AG865" s="258"/>
      <c r="AH865" s="258"/>
      <c r="AI865" s="258"/>
      <c r="AQ865" s="259"/>
      <c r="AR865" s="259"/>
      <c r="AS865" s="259"/>
      <c r="AT865" s="259"/>
      <c r="AU865" s="259"/>
      <c r="AV865" s="259"/>
      <c r="AW865" s="259"/>
    </row>
    <row r="866" spans="2:49" ht="15" customHeight="1" x14ac:dyDescent="0.25">
      <c r="B866" s="260"/>
      <c r="D866" s="262"/>
      <c r="G866" s="289"/>
      <c r="H866" s="265"/>
      <c r="I866" s="266"/>
      <c r="K866" s="268"/>
      <c r="L866" s="273"/>
      <c r="M866" s="274"/>
      <c r="N866" s="258"/>
      <c r="O866" s="258"/>
      <c r="P866" s="258"/>
      <c r="Q866" s="276"/>
      <c r="R866" s="272"/>
      <c r="S866" s="272"/>
      <c r="T866" s="272"/>
      <c r="U866" s="272"/>
      <c r="V866" s="272"/>
      <c r="W866" s="272"/>
      <c r="X866" s="272"/>
      <c r="Y866" s="272"/>
      <c r="Z866" s="258"/>
      <c r="AA866" s="258"/>
      <c r="AB866" s="258"/>
      <c r="AC866" s="258"/>
      <c r="AD866" s="258"/>
      <c r="AE866" s="258"/>
      <c r="AF866" s="258"/>
      <c r="AG866" s="258"/>
      <c r="AH866" s="270"/>
      <c r="AI866" s="270"/>
      <c r="AQ866" s="259"/>
      <c r="AR866" s="259"/>
      <c r="AS866" s="259"/>
      <c r="AT866" s="259"/>
      <c r="AU866" s="259"/>
      <c r="AV866" s="259"/>
      <c r="AW866" s="259"/>
    </row>
    <row r="867" spans="2:49" ht="15" customHeight="1" x14ac:dyDescent="0.25">
      <c r="B867" s="260"/>
      <c r="D867" s="262"/>
      <c r="G867" s="288"/>
      <c r="H867" s="265"/>
      <c r="I867" s="266"/>
      <c r="K867" s="268"/>
      <c r="L867" s="273"/>
      <c r="M867" s="277"/>
      <c r="N867" s="258"/>
      <c r="O867" s="258"/>
      <c r="P867" s="258"/>
      <c r="Q867" s="276"/>
      <c r="R867" s="272"/>
      <c r="S867" s="272"/>
      <c r="T867" s="272"/>
      <c r="U867" s="272"/>
      <c r="V867" s="272"/>
      <c r="W867" s="272"/>
      <c r="X867" s="272"/>
      <c r="Y867" s="272"/>
      <c r="Z867" s="258"/>
      <c r="AA867" s="258"/>
      <c r="AB867" s="258"/>
      <c r="AC867" s="258"/>
      <c r="AD867" s="258"/>
      <c r="AE867" s="258"/>
      <c r="AF867" s="258"/>
      <c r="AG867" s="258"/>
      <c r="AH867" s="270"/>
      <c r="AI867" s="270"/>
      <c r="AQ867" s="259"/>
      <c r="AR867" s="259"/>
      <c r="AS867" s="259"/>
      <c r="AT867" s="259"/>
      <c r="AU867" s="259"/>
      <c r="AV867" s="259"/>
      <c r="AW867" s="259"/>
    </row>
    <row r="868" spans="2:49" ht="15" customHeight="1" x14ac:dyDescent="0.25">
      <c r="B868" s="260"/>
      <c r="D868" s="262"/>
      <c r="G868" s="288"/>
      <c r="H868" s="265"/>
      <c r="I868" s="266"/>
      <c r="K868" s="268"/>
      <c r="L868" s="278"/>
      <c r="M868" s="274"/>
      <c r="N868" s="258"/>
      <c r="O868" s="258"/>
      <c r="P868" s="258"/>
      <c r="Q868" s="276"/>
      <c r="R868" s="272"/>
      <c r="S868" s="272"/>
      <c r="T868" s="272"/>
      <c r="U868" s="272"/>
      <c r="V868" s="272"/>
      <c r="W868" s="272"/>
      <c r="X868" s="272"/>
      <c r="Y868" s="272"/>
      <c r="Z868" s="258"/>
      <c r="AA868" s="258"/>
      <c r="AB868" s="258"/>
      <c r="AC868" s="258"/>
      <c r="AD868" s="258"/>
      <c r="AE868" s="258"/>
      <c r="AF868" s="258"/>
      <c r="AG868" s="258"/>
      <c r="AH868" s="270"/>
      <c r="AI868" s="270"/>
      <c r="AQ868" s="259"/>
      <c r="AR868" s="259"/>
      <c r="AS868" s="259"/>
      <c r="AT868" s="259"/>
      <c r="AU868" s="259"/>
      <c r="AV868" s="259"/>
      <c r="AW868" s="259"/>
    </row>
    <row r="869" spans="2:49" ht="15" customHeight="1" x14ac:dyDescent="0.25">
      <c r="B869" s="260"/>
      <c r="D869" s="262"/>
      <c r="G869" s="288"/>
      <c r="H869" s="265"/>
      <c r="I869" s="266"/>
      <c r="K869" s="268"/>
      <c r="L869" s="278"/>
      <c r="M869" s="274"/>
      <c r="N869" s="258"/>
      <c r="O869" s="258"/>
      <c r="P869" s="258"/>
      <c r="Q869" s="276"/>
      <c r="R869" s="272"/>
      <c r="S869" s="272"/>
      <c r="T869" s="272"/>
      <c r="U869" s="272"/>
      <c r="V869" s="272"/>
      <c r="W869" s="272"/>
      <c r="X869" s="272"/>
      <c r="Y869" s="272"/>
      <c r="Z869" s="258"/>
      <c r="AA869" s="258"/>
      <c r="AB869" s="258"/>
      <c r="AC869" s="258"/>
      <c r="AD869" s="258"/>
      <c r="AE869" s="258"/>
      <c r="AF869" s="258"/>
      <c r="AG869" s="258"/>
      <c r="AH869" s="258"/>
      <c r="AQ869" s="259"/>
      <c r="AR869" s="259"/>
      <c r="AS869" s="259"/>
      <c r="AT869" s="259"/>
      <c r="AU869" s="259"/>
      <c r="AV869" s="259"/>
      <c r="AW869" s="259"/>
    </row>
    <row r="870" spans="2:49" ht="15" customHeight="1" x14ac:dyDescent="0.25">
      <c r="B870" s="260"/>
      <c r="D870" s="262"/>
      <c r="E870" s="291"/>
      <c r="F870" s="293"/>
      <c r="G870" s="288"/>
      <c r="H870" s="265"/>
      <c r="I870" s="266"/>
      <c r="K870" s="268"/>
      <c r="L870" s="278"/>
      <c r="M870" s="274"/>
      <c r="N870" s="258"/>
      <c r="O870" s="258"/>
      <c r="P870" s="258"/>
      <c r="Q870" s="276"/>
      <c r="R870" s="272"/>
      <c r="S870" s="272"/>
      <c r="T870" s="272"/>
      <c r="U870" s="272"/>
      <c r="V870" s="272"/>
      <c r="W870" s="272"/>
      <c r="X870" s="272"/>
      <c r="Y870" s="272"/>
      <c r="Z870" s="258"/>
      <c r="AA870" s="258"/>
      <c r="AB870" s="258"/>
      <c r="AC870" s="258"/>
      <c r="AD870" s="258"/>
      <c r="AE870" s="258"/>
      <c r="AF870" s="258"/>
      <c r="AG870" s="258"/>
      <c r="AH870" s="258"/>
      <c r="AQ870" s="259"/>
      <c r="AR870" s="259"/>
      <c r="AS870" s="259"/>
      <c r="AT870" s="259"/>
      <c r="AU870" s="259"/>
      <c r="AV870" s="259"/>
      <c r="AW870" s="259"/>
    </row>
    <row r="871" spans="2:49" ht="15" customHeight="1" x14ac:dyDescent="0.25">
      <c r="B871" s="260"/>
      <c r="C871" s="290"/>
      <c r="D871" s="262"/>
      <c r="E871" s="291"/>
      <c r="F871" s="262"/>
      <c r="G871" s="289"/>
      <c r="H871" s="243"/>
      <c r="I871" s="266"/>
      <c r="K871" s="268"/>
      <c r="L871" s="278"/>
      <c r="M871" s="274"/>
      <c r="N871" s="258"/>
      <c r="O871" s="258"/>
      <c r="P871" s="258"/>
      <c r="Q871" s="276"/>
      <c r="R871" s="272"/>
      <c r="S871" s="272"/>
      <c r="T871" s="272"/>
      <c r="U871" s="272"/>
      <c r="V871" s="272"/>
      <c r="W871" s="272"/>
      <c r="X871" s="272"/>
      <c r="Y871" s="272"/>
      <c r="Z871" s="258"/>
      <c r="AA871" s="258"/>
      <c r="AB871" s="258"/>
      <c r="AC871" s="258"/>
      <c r="AD871" s="258"/>
      <c r="AE871" s="258"/>
      <c r="AF871" s="258"/>
      <c r="AG871" s="258"/>
      <c r="AH871" s="258"/>
      <c r="AQ871" s="259"/>
      <c r="AR871" s="259"/>
      <c r="AS871" s="259"/>
      <c r="AT871" s="259"/>
      <c r="AU871" s="259"/>
      <c r="AV871" s="259"/>
      <c r="AW871" s="259"/>
    </row>
    <row r="872" spans="2:49" ht="15" customHeight="1" x14ac:dyDescent="0.25">
      <c r="B872" s="260"/>
      <c r="D872" s="262"/>
      <c r="G872" s="289"/>
      <c r="H872" s="265"/>
      <c r="I872" s="266"/>
      <c r="K872" s="268"/>
      <c r="L872" s="278"/>
      <c r="M872" s="274"/>
      <c r="N872" s="258"/>
      <c r="O872" s="258"/>
      <c r="P872" s="258"/>
      <c r="Q872" s="276"/>
      <c r="R872" s="272"/>
      <c r="S872" s="272"/>
      <c r="T872" s="272"/>
      <c r="U872" s="272"/>
      <c r="V872" s="272"/>
      <c r="W872" s="272"/>
      <c r="X872" s="272"/>
      <c r="Y872" s="272"/>
      <c r="Z872" s="258"/>
      <c r="AA872" s="258"/>
      <c r="AB872" s="258"/>
      <c r="AC872" s="258"/>
      <c r="AD872" s="258"/>
      <c r="AE872" s="258"/>
      <c r="AF872" s="258"/>
      <c r="AG872" s="258"/>
      <c r="AH872" s="258"/>
      <c r="AQ872" s="259"/>
      <c r="AR872" s="259"/>
      <c r="AS872" s="259"/>
      <c r="AT872" s="259"/>
      <c r="AU872" s="259"/>
      <c r="AV872" s="259"/>
      <c r="AW872" s="259"/>
    </row>
    <row r="873" spans="2:49" ht="15" customHeight="1" x14ac:dyDescent="0.25">
      <c r="B873" s="260"/>
      <c r="D873" s="262"/>
      <c r="G873" s="289"/>
      <c r="H873" s="265"/>
      <c r="I873" s="266"/>
      <c r="K873" s="268"/>
      <c r="L873" s="278"/>
      <c r="M873" s="274"/>
      <c r="N873" s="258"/>
      <c r="O873" s="258"/>
      <c r="P873" s="258"/>
      <c r="Q873" s="276"/>
      <c r="W873" s="272"/>
      <c r="X873" s="272"/>
      <c r="Y873" s="272"/>
      <c r="Z873" s="258"/>
      <c r="AA873" s="258"/>
      <c r="AB873" s="258"/>
      <c r="AC873" s="258"/>
      <c r="AD873" s="258"/>
      <c r="AE873" s="258"/>
      <c r="AF873" s="258"/>
      <c r="AG873" s="258"/>
      <c r="AH873" s="258"/>
      <c r="AQ873" s="259"/>
      <c r="AR873" s="259"/>
      <c r="AS873" s="259"/>
      <c r="AT873" s="259"/>
      <c r="AU873" s="259"/>
      <c r="AV873" s="259"/>
      <c r="AW873" s="259"/>
    </row>
    <row r="874" spans="2:49" ht="15" customHeight="1" x14ac:dyDescent="0.25">
      <c r="B874" s="260"/>
      <c r="D874" s="262"/>
      <c r="G874" s="289"/>
      <c r="H874" s="265"/>
      <c r="I874" s="266"/>
      <c r="K874" s="268"/>
      <c r="L874" s="278"/>
      <c r="M874" s="274"/>
      <c r="N874" s="258"/>
      <c r="O874" s="258"/>
      <c r="P874" s="258"/>
      <c r="Q874" s="276"/>
      <c r="W874" s="272"/>
      <c r="X874" s="272"/>
      <c r="Y874" s="272"/>
      <c r="Z874" s="258"/>
      <c r="AA874" s="258"/>
      <c r="AB874" s="258"/>
      <c r="AC874" s="258"/>
      <c r="AD874" s="258"/>
      <c r="AE874" s="258"/>
      <c r="AF874" s="258"/>
      <c r="AG874" s="258"/>
      <c r="AH874" s="258"/>
      <c r="AQ874" s="259"/>
      <c r="AR874" s="259"/>
      <c r="AS874" s="259"/>
      <c r="AT874" s="259"/>
      <c r="AU874" s="259"/>
      <c r="AV874" s="259"/>
      <c r="AW874" s="259"/>
    </row>
    <row r="875" spans="2:49" ht="15" customHeight="1" x14ac:dyDescent="0.25">
      <c r="B875" s="260"/>
      <c r="D875" s="262"/>
      <c r="G875" s="289"/>
      <c r="H875" s="265"/>
      <c r="I875" s="266"/>
      <c r="K875" s="268"/>
      <c r="L875" s="278"/>
      <c r="M875" s="274"/>
      <c r="N875" s="258"/>
      <c r="O875" s="258"/>
      <c r="P875" s="258"/>
      <c r="Q875" s="276"/>
      <c r="W875" s="272"/>
      <c r="X875" s="272"/>
      <c r="Y875" s="272"/>
      <c r="Z875" s="258"/>
      <c r="AA875" s="258"/>
      <c r="AB875" s="258"/>
      <c r="AC875" s="258"/>
      <c r="AD875" s="258"/>
      <c r="AE875" s="258"/>
      <c r="AF875" s="258"/>
      <c r="AG875" s="258"/>
      <c r="AH875" s="258"/>
      <c r="AQ875" s="259"/>
      <c r="AR875" s="259"/>
      <c r="AS875" s="259"/>
      <c r="AT875" s="259"/>
      <c r="AU875" s="259"/>
      <c r="AV875" s="259"/>
      <c r="AW875" s="259"/>
    </row>
    <row r="876" spans="2:49" ht="15" customHeight="1" x14ac:dyDescent="0.25">
      <c r="B876" s="260"/>
      <c r="D876" s="262"/>
      <c r="G876" s="289"/>
      <c r="H876" s="265"/>
      <c r="I876" s="266"/>
      <c r="K876" s="268"/>
      <c r="L876" s="273"/>
      <c r="M876" s="274"/>
      <c r="N876" s="270"/>
      <c r="O876" s="270"/>
      <c r="P876" s="270"/>
      <c r="Q876" s="275"/>
      <c r="R876" s="272"/>
      <c r="S876" s="272"/>
      <c r="T876" s="272"/>
      <c r="U876" s="272"/>
      <c r="V876" s="272"/>
      <c r="W876" s="272"/>
      <c r="X876" s="272"/>
      <c r="Y876" s="272"/>
      <c r="Z876" s="258"/>
      <c r="AA876" s="258"/>
      <c r="AB876" s="258"/>
      <c r="AC876" s="258"/>
      <c r="AD876" s="258"/>
      <c r="AE876" s="258"/>
      <c r="AF876" s="258"/>
      <c r="AG876" s="258"/>
      <c r="AH876" s="258"/>
      <c r="AI876" s="258"/>
      <c r="AQ876" s="259"/>
      <c r="AR876" s="259"/>
      <c r="AS876" s="259"/>
      <c r="AT876" s="259"/>
      <c r="AU876" s="259"/>
      <c r="AV876" s="259"/>
      <c r="AW876" s="259"/>
    </row>
    <row r="877" spans="2:49" ht="15" customHeight="1" x14ac:dyDescent="0.25">
      <c r="B877" s="260"/>
      <c r="D877" s="262"/>
      <c r="E877" s="291"/>
      <c r="F877" s="293"/>
      <c r="G877" s="288"/>
      <c r="H877" s="265"/>
      <c r="I877" s="266"/>
      <c r="K877" s="268"/>
      <c r="L877" s="273"/>
      <c r="M877" s="274"/>
      <c r="N877" s="258"/>
      <c r="O877" s="258"/>
      <c r="P877" s="258"/>
      <c r="Q877" s="276"/>
      <c r="R877" s="272"/>
      <c r="S877" s="272"/>
      <c r="T877" s="272"/>
      <c r="U877" s="272"/>
      <c r="V877" s="272"/>
      <c r="W877" s="272"/>
      <c r="X877" s="272"/>
      <c r="Y877" s="272"/>
      <c r="Z877" s="258"/>
      <c r="AA877" s="258"/>
      <c r="AB877" s="258"/>
      <c r="AC877" s="258"/>
      <c r="AD877" s="258"/>
      <c r="AE877" s="258"/>
      <c r="AF877" s="258"/>
      <c r="AG877" s="258"/>
      <c r="AH877" s="258"/>
      <c r="AI877" s="258"/>
      <c r="AQ877" s="259"/>
      <c r="AR877" s="259"/>
      <c r="AS877" s="259"/>
      <c r="AT877" s="259"/>
      <c r="AU877" s="259"/>
      <c r="AV877" s="259"/>
      <c r="AW877" s="259"/>
    </row>
    <row r="878" spans="2:49" ht="15" customHeight="1" x14ac:dyDescent="0.25">
      <c r="B878" s="260"/>
      <c r="C878" s="290"/>
      <c r="D878" s="262"/>
      <c r="E878" s="291"/>
      <c r="F878" s="262"/>
      <c r="G878" s="289"/>
      <c r="H878" s="243"/>
      <c r="I878" s="266"/>
      <c r="K878" s="268"/>
      <c r="L878" s="273"/>
      <c r="M878" s="274"/>
      <c r="N878" s="258"/>
      <c r="O878" s="258"/>
      <c r="P878" s="258"/>
      <c r="Q878" s="276"/>
      <c r="R878" s="272"/>
      <c r="S878" s="272"/>
      <c r="T878" s="272"/>
      <c r="U878" s="272"/>
      <c r="V878" s="272"/>
      <c r="W878" s="272"/>
      <c r="X878" s="272"/>
      <c r="Y878" s="272"/>
      <c r="Z878" s="258"/>
      <c r="AA878" s="258"/>
      <c r="AB878" s="258"/>
      <c r="AC878" s="258"/>
      <c r="AD878" s="258"/>
      <c r="AE878" s="258"/>
      <c r="AF878" s="258"/>
      <c r="AG878" s="258"/>
      <c r="AH878" s="270"/>
      <c r="AI878" s="270"/>
      <c r="AQ878" s="259"/>
      <c r="AR878" s="259"/>
      <c r="AS878" s="259"/>
      <c r="AT878" s="259"/>
      <c r="AU878" s="259"/>
      <c r="AV878" s="259"/>
      <c r="AW878" s="259"/>
    </row>
    <row r="879" spans="2:49" ht="15" customHeight="1" x14ac:dyDescent="0.25">
      <c r="B879" s="260"/>
      <c r="D879" s="262"/>
      <c r="G879" s="289"/>
      <c r="H879" s="265"/>
      <c r="I879" s="266"/>
      <c r="K879" s="268"/>
      <c r="L879" s="273"/>
      <c r="M879" s="277"/>
      <c r="N879" s="258"/>
      <c r="O879" s="258"/>
      <c r="P879" s="258"/>
      <c r="Q879" s="276"/>
      <c r="R879" s="272"/>
      <c r="S879" s="272"/>
      <c r="T879" s="272"/>
      <c r="U879" s="272"/>
      <c r="V879" s="272"/>
      <c r="W879" s="272"/>
      <c r="X879" s="272"/>
      <c r="Y879" s="272"/>
      <c r="Z879" s="258"/>
      <c r="AA879" s="258"/>
      <c r="AB879" s="258"/>
      <c r="AC879" s="258"/>
      <c r="AD879" s="258"/>
      <c r="AE879" s="258"/>
      <c r="AF879" s="258"/>
      <c r="AG879" s="258"/>
      <c r="AH879" s="270"/>
      <c r="AI879" s="270"/>
      <c r="AQ879" s="259"/>
      <c r="AR879" s="259"/>
      <c r="AS879" s="259"/>
      <c r="AT879" s="259"/>
      <c r="AU879" s="259"/>
      <c r="AV879" s="259"/>
      <c r="AW879" s="259"/>
    </row>
    <row r="880" spans="2:49" ht="15" customHeight="1" x14ac:dyDescent="0.25">
      <c r="B880" s="260"/>
      <c r="D880" s="262"/>
      <c r="G880" s="289"/>
      <c r="H880" s="265"/>
      <c r="I880" s="266"/>
      <c r="K880" s="268"/>
      <c r="L880" s="278"/>
      <c r="M880" s="274"/>
      <c r="N880" s="258"/>
      <c r="O880" s="258"/>
      <c r="P880" s="258"/>
      <c r="Q880" s="276"/>
      <c r="R880" s="272"/>
      <c r="S880" s="272"/>
      <c r="T880" s="272"/>
      <c r="U880" s="272"/>
      <c r="V880" s="272"/>
      <c r="W880" s="272"/>
      <c r="X880" s="272"/>
      <c r="Y880" s="272"/>
      <c r="Z880" s="258"/>
      <c r="AA880" s="258"/>
      <c r="AB880" s="258"/>
      <c r="AC880" s="258"/>
      <c r="AD880" s="258"/>
      <c r="AE880" s="258"/>
      <c r="AF880" s="258"/>
      <c r="AG880" s="258"/>
      <c r="AH880" s="270"/>
      <c r="AI880" s="270"/>
      <c r="AQ880" s="259"/>
      <c r="AR880" s="259"/>
      <c r="AS880" s="259"/>
      <c r="AT880" s="259"/>
      <c r="AU880" s="259"/>
      <c r="AV880" s="259"/>
      <c r="AW880" s="259"/>
    </row>
    <row r="881" spans="2:49" ht="15" customHeight="1" x14ac:dyDescent="0.25">
      <c r="B881" s="260"/>
      <c r="D881" s="262"/>
      <c r="G881" s="289"/>
      <c r="H881" s="265"/>
      <c r="I881" s="266"/>
      <c r="K881" s="268"/>
      <c r="L881" s="278"/>
      <c r="M881" s="274"/>
      <c r="N881" s="258"/>
      <c r="O881" s="258"/>
      <c r="P881" s="258"/>
      <c r="Q881" s="276"/>
      <c r="R881" s="272"/>
      <c r="S881" s="272"/>
      <c r="T881" s="272"/>
      <c r="U881" s="272"/>
      <c r="V881" s="272"/>
      <c r="W881" s="272"/>
      <c r="X881" s="272"/>
      <c r="Y881" s="272"/>
      <c r="Z881" s="258"/>
      <c r="AA881" s="258"/>
      <c r="AB881" s="258"/>
      <c r="AC881" s="258"/>
      <c r="AD881" s="258"/>
      <c r="AE881" s="258"/>
      <c r="AF881" s="258"/>
      <c r="AG881" s="258"/>
      <c r="AH881" s="258"/>
      <c r="AQ881" s="259"/>
      <c r="AR881" s="259"/>
      <c r="AS881" s="259"/>
      <c r="AT881" s="259"/>
      <c r="AU881" s="259"/>
      <c r="AV881" s="259"/>
      <c r="AW881" s="259"/>
    </row>
    <row r="882" spans="2:49" ht="15" customHeight="1" x14ac:dyDescent="0.25">
      <c r="B882" s="260"/>
      <c r="D882" s="262"/>
      <c r="G882" s="289"/>
      <c r="H882" s="265"/>
      <c r="I882" s="266"/>
      <c r="K882" s="268"/>
      <c r="L882" s="278"/>
      <c r="M882" s="274"/>
      <c r="N882" s="258"/>
      <c r="O882" s="258"/>
      <c r="P882" s="258"/>
      <c r="Q882" s="276"/>
      <c r="R882" s="272"/>
      <c r="S882" s="272"/>
      <c r="T882" s="272"/>
      <c r="U882" s="272"/>
      <c r="V882" s="272"/>
      <c r="W882" s="272"/>
      <c r="X882" s="272"/>
      <c r="Y882" s="272"/>
      <c r="Z882" s="258"/>
      <c r="AA882" s="258"/>
      <c r="AB882" s="258"/>
      <c r="AC882" s="258"/>
      <c r="AD882" s="258"/>
      <c r="AE882" s="258"/>
      <c r="AF882" s="258"/>
      <c r="AG882" s="258"/>
      <c r="AH882" s="258"/>
      <c r="AQ882" s="259"/>
      <c r="AR882" s="259"/>
      <c r="AS882" s="259"/>
      <c r="AT882" s="259"/>
      <c r="AU882" s="259"/>
      <c r="AV882" s="259"/>
      <c r="AW882" s="259"/>
    </row>
    <row r="883" spans="2:49" ht="15" customHeight="1" x14ac:dyDescent="0.25">
      <c r="B883" s="260"/>
      <c r="D883" s="262"/>
      <c r="G883" s="288"/>
      <c r="H883" s="265"/>
      <c r="I883" s="266"/>
      <c r="K883" s="268"/>
      <c r="L883" s="278"/>
      <c r="M883" s="274"/>
      <c r="N883" s="258"/>
      <c r="O883" s="258"/>
      <c r="P883" s="258"/>
      <c r="Q883" s="276"/>
      <c r="R883" s="272"/>
      <c r="S883" s="272"/>
      <c r="T883" s="272"/>
      <c r="U883" s="272"/>
      <c r="V883" s="272"/>
      <c r="W883" s="272"/>
      <c r="X883" s="272"/>
      <c r="Y883" s="272"/>
      <c r="Z883" s="258"/>
      <c r="AA883" s="258"/>
      <c r="AB883" s="258"/>
      <c r="AC883" s="258"/>
      <c r="AD883" s="258"/>
      <c r="AE883" s="258"/>
      <c r="AF883" s="258"/>
      <c r="AG883" s="258"/>
      <c r="AH883" s="258"/>
      <c r="AQ883" s="259"/>
      <c r="AR883" s="259"/>
      <c r="AS883" s="259"/>
      <c r="AT883" s="259"/>
      <c r="AU883" s="259"/>
      <c r="AV883" s="259"/>
      <c r="AW883" s="259"/>
    </row>
    <row r="884" spans="2:49" ht="15" customHeight="1" x14ac:dyDescent="0.25">
      <c r="B884" s="260"/>
      <c r="D884" s="262"/>
      <c r="G884" s="288"/>
      <c r="H884" s="265"/>
      <c r="I884" s="266"/>
      <c r="K884" s="268"/>
      <c r="L884" s="278"/>
      <c r="M884" s="274"/>
      <c r="N884" s="258"/>
      <c r="O884" s="258"/>
      <c r="P884" s="258"/>
      <c r="Q884" s="276"/>
      <c r="R884" s="272"/>
      <c r="S884" s="272"/>
      <c r="T884" s="272"/>
      <c r="U884" s="272"/>
      <c r="V884" s="272"/>
      <c r="W884" s="272"/>
      <c r="X884" s="272"/>
      <c r="Y884" s="272"/>
      <c r="Z884" s="258"/>
      <c r="AA884" s="258"/>
      <c r="AB884" s="258"/>
      <c r="AC884" s="258"/>
      <c r="AD884" s="258"/>
      <c r="AE884" s="258"/>
      <c r="AF884" s="258"/>
      <c r="AG884" s="258"/>
      <c r="AH884" s="258"/>
      <c r="AQ884" s="259"/>
      <c r="AR884" s="259"/>
      <c r="AS884" s="259"/>
      <c r="AT884" s="259"/>
      <c r="AU884" s="259"/>
      <c r="AV884" s="259"/>
      <c r="AW884" s="259"/>
    </row>
    <row r="885" spans="2:49" ht="15" customHeight="1" x14ac:dyDescent="0.25">
      <c r="B885" s="260"/>
      <c r="D885" s="262"/>
      <c r="E885" s="291"/>
      <c r="F885" s="293"/>
      <c r="G885" s="288"/>
      <c r="H885" s="265"/>
      <c r="I885" s="266"/>
      <c r="K885" s="268"/>
      <c r="L885" s="278"/>
      <c r="M885" s="274"/>
      <c r="N885" s="258"/>
      <c r="O885" s="258"/>
      <c r="P885" s="258"/>
      <c r="Q885" s="276"/>
      <c r="W885" s="272"/>
      <c r="X885" s="272"/>
      <c r="Y885" s="272"/>
      <c r="Z885" s="258"/>
      <c r="AA885" s="258"/>
      <c r="AB885" s="258"/>
      <c r="AC885" s="258"/>
      <c r="AD885" s="258"/>
      <c r="AE885" s="258"/>
      <c r="AF885" s="258"/>
      <c r="AG885" s="258"/>
      <c r="AH885" s="258"/>
      <c r="AQ885" s="259"/>
      <c r="AR885" s="259"/>
      <c r="AS885" s="259"/>
      <c r="AT885" s="259"/>
      <c r="AU885" s="259"/>
      <c r="AV885" s="259"/>
      <c r="AW885" s="259"/>
    </row>
    <row r="886" spans="2:49" ht="15" customHeight="1" x14ac:dyDescent="0.25">
      <c r="B886" s="260"/>
      <c r="C886" s="290"/>
      <c r="D886" s="262"/>
      <c r="E886" s="291"/>
      <c r="F886" s="262"/>
      <c r="G886" s="289"/>
      <c r="H886" s="243"/>
      <c r="I886" s="266"/>
      <c r="K886" s="268"/>
      <c r="L886" s="278"/>
      <c r="M886" s="274"/>
      <c r="N886" s="258"/>
      <c r="O886" s="258"/>
      <c r="P886" s="258"/>
      <c r="Q886" s="276"/>
      <c r="W886" s="272"/>
      <c r="X886" s="272"/>
      <c r="Y886" s="272"/>
      <c r="Z886" s="258"/>
      <c r="AA886" s="258"/>
      <c r="AB886" s="258"/>
      <c r="AC886" s="258"/>
      <c r="AD886" s="258"/>
      <c r="AE886" s="258"/>
      <c r="AF886" s="258"/>
      <c r="AG886" s="258"/>
      <c r="AH886" s="258"/>
      <c r="AQ886" s="259"/>
      <c r="AR886" s="259"/>
      <c r="AS886" s="259"/>
      <c r="AT886" s="259"/>
      <c r="AU886" s="259"/>
      <c r="AV886" s="259"/>
      <c r="AW886" s="259"/>
    </row>
    <row r="887" spans="2:49" ht="15" customHeight="1" x14ac:dyDescent="0.25">
      <c r="B887" s="260"/>
      <c r="D887" s="262"/>
      <c r="G887" s="289"/>
      <c r="H887" s="265"/>
      <c r="I887" s="266"/>
      <c r="K887" s="268"/>
      <c r="L887" s="278"/>
      <c r="M887" s="274"/>
      <c r="N887" s="258"/>
      <c r="O887" s="258"/>
      <c r="P887" s="258"/>
      <c r="Q887" s="276"/>
      <c r="W887" s="272"/>
      <c r="X887" s="272"/>
      <c r="Y887" s="272"/>
      <c r="Z887" s="258"/>
      <c r="AA887" s="258"/>
      <c r="AB887" s="258"/>
      <c r="AC887" s="258"/>
      <c r="AD887" s="258"/>
      <c r="AE887" s="258"/>
      <c r="AF887" s="258"/>
      <c r="AG887" s="258"/>
      <c r="AH887" s="258"/>
      <c r="AQ887" s="259"/>
      <c r="AR887" s="259"/>
      <c r="AS887" s="259"/>
      <c r="AT887" s="259"/>
      <c r="AU887" s="259"/>
      <c r="AV887" s="259"/>
      <c r="AW887" s="259"/>
    </row>
    <row r="888" spans="2:49" ht="15" customHeight="1" x14ac:dyDescent="0.25">
      <c r="B888" s="260"/>
      <c r="D888" s="262"/>
      <c r="G888" s="289"/>
      <c r="H888" s="265"/>
      <c r="I888" s="266"/>
      <c r="K888" s="268"/>
      <c r="L888" s="273"/>
      <c r="M888" s="274"/>
      <c r="N888" s="270"/>
      <c r="O888" s="270"/>
      <c r="P888" s="270"/>
      <c r="Q888" s="275"/>
      <c r="R888" s="272"/>
      <c r="S888" s="272"/>
      <c r="T888" s="272"/>
      <c r="U888" s="272"/>
      <c r="V888" s="272"/>
      <c r="W888" s="272"/>
      <c r="X888" s="272"/>
      <c r="Y888" s="272"/>
      <c r="Z888" s="258"/>
      <c r="AA888" s="258"/>
      <c r="AB888" s="258"/>
      <c r="AC888" s="258"/>
      <c r="AD888" s="258"/>
      <c r="AE888" s="258"/>
      <c r="AF888" s="258"/>
      <c r="AG888" s="258"/>
      <c r="AH888" s="258"/>
      <c r="AI888" s="258"/>
      <c r="AQ888" s="259"/>
      <c r="AR888" s="259"/>
      <c r="AS888" s="259"/>
      <c r="AT888" s="259"/>
      <c r="AU888" s="259"/>
      <c r="AV888" s="259"/>
      <c r="AW888" s="259"/>
    </row>
    <row r="889" spans="2:49" ht="15" customHeight="1" x14ac:dyDescent="0.25">
      <c r="B889" s="260"/>
      <c r="D889" s="262"/>
      <c r="G889" s="289"/>
      <c r="H889" s="265"/>
      <c r="I889" s="266"/>
      <c r="K889" s="268"/>
      <c r="L889" s="273"/>
      <c r="M889" s="274"/>
      <c r="N889" s="258"/>
      <c r="O889" s="258"/>
      <c r="P889" s="258"/>
      <c r="Q889" s="276"/>
      <c r="R889" s="272"/>
      <c r="S889" s="272"/>
      <c r="T889" s="272"/>
      <c r="U889" s="272"/>
      <c r="V889" s="272"/>
      <c r="W889" s="272"/>
      <c r="X889" s="272"/>
      <c r="Y889" s="272"/>
      <c r="Z889" s="258"/>
      <c r="AA889" s="258"/>
      <c r="AB889" s="258"/>
      <c r="AC889" s="258"/>
      <c r="AD889" s="258"/>
      <c r="AE889" s="258"/>
      <c r="AF889" s="258"/>
      <c r="AG889" s="258"/>
      <c r="AH889" s="258"/>
      <c r="AI889" s="258"/>
      <c r="AQ889" s="259"/>
      <c r="AR889" s="259"/>
      <c r="AS889" s="259"/>
      <c r="AT889" s="259"/>
      <c r="AU889" s="259"/>
      <c r="AV889" s="259"/>
      <c r="AW889" s="259"/>
    </row>
    <row r="890" spans="2:49" ht="15" customHeight="1" x14ac:dyDescent="0.25">
      <c r="B890" s="260"/>
      <c r="D890" s="262"/>
      <c r="G890" s="289"/>
      <c r="H890" s="265"/>
      <c r="I890" s="266"/>
      <c r="K890" s="268"/>
      <c r="L890" s="273"/>
      <c r="M890" s="274"/>
      <c r="N890" s="258"/>
      <c r="O890" s="258"/>
      <c r="P890" s="258"/>
      <c r="Q890" s="276"/>
      <c r="R890" s="272"/>
      <c r="S890" s="272"/>
      <c r="T890" s="272"/>
      <c r="U890" s="272"/>
      <c r="V890" s="272"/>
      <c r="W890" s="272"/>
      <c r="X890" s="272"/>
      <c r="Y890" s="272"/>
      <c r="Z890" s="258"/>
      <c r="AA890" s="258"/>
      <c r="AB890" s="258"/>
      <c r="AC890" s="258"/>
      <c r="AD890" s="258"/>
      <c r="AE890" s="258"/>
      <c r="AF890" s="258"/>
      <c r="AG890" s="258"/>
      <c r="AH890" s="270"/>
      <c r="AI890" s="270"/>
      <c r="AQ890" s="259"/>
      <c r="AR890" s="259"/>
      <c r="AS890" s="259"/>
      <c r="AT890" s="259"/>
      <c r="AU890" s="259"/>
      <c r="AV890" s="259"/>
      <c r="AW890" s="259"/>
    </row>
    <row r="891" spans="2:49" ht="15" customHeight="1" x14ac:dyDescent="0.25">
      <c r="B891" s="260"/>
      <c r="D891" s="262"/>
      <c r="G891" s="288"/>
      <c r="H891" s="265"/>
      <c r="I891" s="266"/>
      <c r="K891" s="268"/>
      <c r="L891" s="273"/>
      <c r="M891" s="277"/>
      <c r="N891" s="258"/>
      <c r="O891" s="258"/>
      <c r="P891" s="258"/>
      <c r="Q891" s="276"/>
      <c r="R891" s="272"/>
      <c r="S891" s="272"/>
      <c r="T891" s="272"/>
      <c r="U891" s="272"/>
      <c r="V891" s="272"/>
      <c r="W891" s="272"/>
      <c r="X891" s="272"/>
      <c r="Y891" s="272"/>
      <c r="Z891" s="258"/>
      <c r="AA891" s="258"/>
      <c r="AB891" s="258"/>
      <c r="AC891" s="258"/>
      <c r="AD891" s="258"/>
      <c r="AE891" s="258"/>
      <c r="AF891" s="258"/>
      <c r="AG891" s="258"/>
      <c r="AH891" s="270"/>
      <c r="AI891" s="270"/>
      <c r="AQ891" s="259"/>
      <c r="AR891" s="259"/>
      <c r="AS891" s="259"/>
      <c r="AT891" s="259"/>
      <c r="AU891" s="259"/>
      <c r="AV891" s="259"/>
      <c r="AW891" s="259"/>
    </row>
    <row r="892" spans="2:49" ht="15" customHeight="1" x14ac:dyDescent="0.25">
      <c r="B892" s="260"/>
      <c r="D892" s="262"/>
      <c r="G892" s="289"/>
      <c r="H892" s="265"/>
      <c r="I892" s="266"/>
      <c r="K892" s="268"/>
      <c r="L892" s="278"/>
      <c r="M892" s="274"/>
      <c r="N892" s="258"/>
      <c r="O892" s="258"/>
      <c r="P892" s="258"/>
      <c r="Q892" s="276"/>
      <c r="R892" s="272"/>
      <c r="S892" s="272"/>
      <c r="T892" s="272"/>
      <c r="U892" s="272"/>
      <c r="V892" s="272"/>
      <c r="W892" s="272"/>
      <c r="X892" s="272"/>
      <c r="Y892" s="272"/>
      <c r="Z892" s="258"/>
      <c r="AA892" s="258"/>
      <c r="AB892" s="258"/>
      <c r="AC892" s="258"/>
      <c r="AD892" s="258"/>
      <c r="AE892" s="258"/>
      <c r="AF892" s="258"/>
      <c r="AG892" s="258"/>
      <c r="AH892" s="270"/>
      <c r="AI892" s="270"/>
      <c r="AQ892" s="259"/>
      <c r="AR892" s="259"/>
      <c r="AS892" s="259"/>
      <c r="AT892" s="259"/>
      <c r="AU892" s="259"/>
      <c r="AV892" s="259"/>
      <c r="AW892" s="259"/>
    </row>
    <row r="893" spans="2:49" ht="15" customHeight="1" x14ac:dyDescent="0.25">
      <c r="B893" s="260"/>
      <c r="D893" s="262"/>
      <c r="G893" s="289"/>
      <c r="H893" s="265"/>
      <c r="I893" s="266"/>
      <c r="K893" s="268"/>
      <c r="L893" s="278"/>
      <c r="M893" s="274"/>
      <c r="N893" s="258"/>
      <c r="O893" s="258"/>
      <c r="P893" s="258"/>
      <c r="Q893" s="276"/>
      <c r="R893" s="272"/>
      <c r="S893" s="272"/>
      <c r="T893" s="272"/>
      <c r="U893" s="272"/>
      <c r="V893" s="272"/>
      <c r="W893" s="272"/>
      <c r="X893" s="272"/>
      <c r="Y893" s="272"/>
      <c r="Z893" s="258"/>
      <c r="AA893" s="258"/>
      <c r="AB893" s="258"/>
      <c r="AC893" s="258"/>
      <c r="AD893" s="258"/>
      <c r="AE893" s="258"/>
      <c r="AF893" s="258"/>
      <c r="AG893" s="258"/>
      <c r="AH893" s="258"/>
      <c r="AQ893" s="259"/>
      <c r="AR893" s="259"/>
      <c r="AS893" s="259"/>
      <c r="AT893" s="259"/>
      <c r="AU893" s="259"/>
      <c r="AV893" s="259"/>
      <c r="AW893" s="259"/>
    </row>
    <row r="894" spans="2:49" ht="15" customHeight="1" x14ac:dyDescent="0.25">
      <c r="B894" s="260"/>
      <c r="D894" s="262"/>
      <c r="G894" s="289"/>
      <c r="H894" s="265"/>
      <c r="I894" s="266"/>
      <c r="K894" s="268"/>
      <c r="L894" s="278"/>
      <c r="M894" s="274"/>
      <c r="N894" s="258"/>
      <c r="O894" s="258"/>
      <c r="P894" s="258"/>
      <c r="Q894" s="276"/>
      <c r="R894" s="272"/>
      <c r="S894" s="272"/>
      <c r="T894" s="272"/>
      <c r="U894" s="272"/>
      <c r="V894" s="272"/>
      <c r="W894" s="272"/>
      <c r="X894" s="272"/>
      <c r="Y894" s="272"/>
      <c r="Z894" s="258"/>
      <c r="AA894" s="258"/>
      <c r="AB894" s="258"/>
      <c r="AC894" s="258"/>
      <c r="AD894" s="258"/>
      <c r="AE894" s="258"/>
      <c r="AF894" s="258"/>
      <c r="AG894" s="258"/>
      <c r="AH894" s="258"/>
      <c r="AQ894" s="259"/>
      <c r="AR894" s="259"/>
      <c r="AS894" s="259"/>
      <c r="AT894" s="259"/>
      <c r="AU894" s="259"/>
      <c r="AV894" s="259"/>
      <c r="AW894" s="259"/>
    </row>
    <row r="895" spans="2:49" ht="15" customHeight="1" x14ac:dyDescent="0.25">
      <c r="B895" s="260"/>
      <c r="D895" s="262"/>
      <c r="G895" s="289"/>
      <c r="H895" s="265"/>
      <c r="I895" s="266"/>
      <c r="K895" s="268"/>
      <c r="L895" s="278"/>
      <c r="M895" s="274"/>
      <c r="N895" s="258"/>
      <c r="O895" s="258"/>
      <c r="P895" s="258"/>
      <c r="Q895" s="276"/>
      <c r="R895" s="272"/>
      <c r="S895" s="272"/>
      <c r="T895" s="272"/>
      <c r="U895" s="272"/>
      <c r="V895" s="272"/>
      <c r="W895" s="272"/>
      <c r="X895" s="272"/>
      <c r="Y895" s="272"/>
      <c r="Z895" s="258"/>
      <c r="AA895" s="258"/>
      <c r="AB895" s="258"/>
      <c r="AC895" s="258"/>
      <c r="AD895" s="258"/>
      <c r="AE895" s="258"/>
      <c r="AF895" s="258"/>
      <c r="AG895" s="258"/>
      <c r="AH895" s="258"/>
      <c r="AQ895" s="259"/>
      <c r="AR895" s="259"/>
      <c r="AS895" s="259"/>
      <c r="AT895" s="259"/>
      <c r="AU895" s="259"/>
      <c r="AV895" s="259"/>
      <c r="AW895" s="259"/>
    </row>
    <row r="896" spans="2:49" ht="15" customHeight="1" x14ac:dyDescent="0.25">
      <c r="B896" s="260"/>
      <c r="D896" s="262"/>
      <c r="G896" s="288"/>
      <c r="H896" s="265"/>
      <c r="I896" s="266"/>
      <c r="K896" s="268"/>
      <c r="L896" s="278"/>
      <c r="M896" s="274"/>
      <c r="N896" s="258"/>
      <c r="O896" s="258"/>
      <c r="P896" s="258"/>
      <c r="Q896" s="276"/>
      <c r="R896" s="272"/>
      <c r="S896" s="272"/>
      <c r="T896" s="272"/>
      <c r="U896" s="272"/>
      <c r="V896" s="272"/>
      <c r="W896" s="272"/>
      <c r="X896" s="272"/>
      <c r="Y896" s="272"/>
      <c r="Z896" s="258"/>
      <c r="AA896" s="258"/>
      <c r="AB896" s="258"/>
      <c r="AC896" s="258"/>
      <c r="AD896" s="258"/>
      <c r="AE896" s="258"/>
      <c r="AF896" s="258"/>
      <c r="AG896" s="258"/>
      <c r="AH896" s="258"/>
      <c r="AQ896" s="259"/>
      <c r="AR896" s="259"/>
      <c r="AS896" s="259"/>
      <c r="AT896" s="259"/>
      <c r="AU896" s="259"/>
      <c r="AV896" s="259"/>
      <c r="AW896" s="259"/>
    </row>
    <row r="897" spans="2:49" ht="15" customHeight="1" x14ac:dyDescent="0.25">
      <c r="B897" s="260"/>
      <c r="D897" s="262"/>
      <c r="G897" s="289"/>
      <c r="H897" s="265"/>
      <c r="I897" s="266"/>
      <c r="K897" s="268"/>
      <c r="L897" s="278"/>
      <c r="M897" s="274"/>
      <c r="N897" s="258"/>
      <c r="O897" s="258"/>
      <c r="P897" s="258"/>
      <c r="Q897" s="276"/>
      <c r="W897" s="272"/>
      <c r="X897" s="272"/>
      <c r="Y897" s="272"/>
      <c r="Z897" s="258"/>
      <c r="AA897" s="258"/>
      <c r="AB897" s="258"/>
      <c r="AC897" s="258"/>
      <c r="AD897" s="258"/>
      <c r="AE897" s="258"/>
      <c r="AF897" s="258"/>
      <c r="AG897" s="258"/>
      <c r="AH897" s="258"/>
      <c r="AQ897" s="259"/>
      <c r="AR897" s="259"/>
      <c r="AS897" s="259"/>
      <c r="AT897" s="259"/>
      <c r="AU897" s="259"/>
      <c r="AV897" s="259"/>
      <c r="AW897" s="259"/>
    </row>
    <row r="898" spans="2:49" ht="15" customHeight="1" x14ac:dyDescent="0.25">
      <c r="B898" s="260"/>
      <c r="D898" s="262"/>
      <c r="G898" s="289"/>
      <c r="H898" s="265"/>
      <c r="I898" s="266"/>
      <c r="K898" s="268"/>
      <c r="L898" s="278"/>
      <c r="M898" s="274"/>
      <c r="N898" s="258"/>
      <c r="O898" s="258"/>
      <c r="P898" s="258"/>
      <c r="Q898" s="276"/>
      <c r="W898" s="272"/>
      <c r="X898" s="272"/>
      <c r="Y898" s="272"/>
      <c r="Z898" s="258"/>
      <c r="AA898" s="258"/>
      <c r="AB898" s="258"/>
      <c r="AC898" s="258"/>
      <c r="AD898" s="258"/>
      <c r="AE898" s="258"/>
      <c r="AF898" s="258"/>
      <c r="AG898" s="258"/>
      <c r="AH898" s="258"/>
      <c r="AQ898" s="259"/>
      <c r="AR898" s="259"/>
      <c r="AS898" s="259"/>
      <c r="AT898" s="259"/>
      <c r="AU898" s="259"/>
      <c r="AV898" s="259"/>
      <c r="AW898" s="259"/>
    </row>
    <row r="899" spans="2:49" ht="15" customHeight="1" x14ac:dyDescent="0.25">
      <c r="B899" s="260"/>
      <c r="D899" s="262"/>
      <c r="G899" s="288"/>
      <c r="H899" s="265"/>
      <c r="I899" s="266"/>
      <c r="K899" s="268"/>
      <c r="L899" s="278"/>
      <c r="M899" s="274"/>
      <c r="N899" s="258"/>
      <c r="O899" s="258"/>
      <c r="P899" s="258"/>
      <c r="Q899" s="276"/>
      <c r="W899" s="272"/>
      <c r="X899" s="272"/>
      <c r="Y899" s="272"/>
      <c r="Z899" s="258"/>
      <c r="AA899" s="258"/>
      <c r="AB899" s="258"/>
      <c r="AC899" s="258"/>
      <c r="AD899" s="258"/>
      <c r="AE899" s="258"/>
      <c r="AF899" s="258"/>
      <c r="AG899" s="258"/>
      <c r="AH899" s="258"/>
      <c r="AQ899" s="259"/>
      <c r="AR899" s="259"/>
      <c r="AS899" s="259"/>
      <c r="AT899" s="259"/>
      <c r="AU899" s="259"/>
      <c r="AV899" s="259"/>
      <c r="AW899" s="259"/>
    </row>
    <row r="900" spans="2:49" ht="15" customHeight="1" x14ac:dyDescent="0.25">
      <c r="B900" s="260"/>
      <c r="D900" s="262"/>
      <c r="G900" s="288"/>
      <c r="H900" s="265"/>
      <c r="I900" s="266"/>
      <c r="K900" s="268"/>
      <c r="L900" s="273"/>
      <c r="M900" s="274"/>
      <c r="N900" s="270"/>
      <c r="O900" s="270"/>
      <c r="P900" s="270"/>
      <c r="Q900" s="275"/>
      <c r="R900" s="272"/>
      <c r="S900" s="272"/>
      <c r="T900" s="272"/>
      <c r="U900" s="272"/>
      <c r="V900" s="272"/>
      <c r="W900" s="272"/>
      <c r="X900" s="272"/>
      <c r="Y900" s="272"/>
      <c r="Z900" s="258"/>
      <c r="AA900" s="258"/>
      <c r="AB900" s="258"/>
      <c r="AC900" s="258"/>
      <c r="AD900" s="258"/>
      <c r="AE900" s="258"/>
      <c r="AF900" s="258"/>
      <c r="AG900" s="258"/>
      <c r="AH900" s="258"/>
      <c r="AI900" s="258"/>
      <c r="AQ900" s="259"/>
      <c r="AR900" s="259"/>
      <c r="AS900" s="259"/>
      <c r="AT900" s="259"/>
      <c r="AU900" s="259"/>
      <c r="AV900" s="259"/>
      <c r="AW900" s="259"/>
    </row>
    <row r="901" spans="2:49" ht="15" customHeight="1" x14ac:dyDescent="0.25">
      <c r="B901" s="260"/>
      <c r="D901" s="262"/>
      <c r="G901" s="288"/>
      <c r="H901" s="265"/>
      <c r="I901" s="266"/>
      <c r="K901" s="268"/>
      <c r="L901" s="273"/>
      <c r="M901" s="274"/>
      <c r="N901" s="258"/>
      <c r="O901" s="258"/>
      <c r="P901" s="258"/>
      <c r="Q901" s="276"/>
      <c r="R901" s="272"/>
      <c r="S901" s="272"/>
      <c r="T901" s="272"/>
      <c r="U901" s="272"/>
      <c r="V901" s="272"/>
      <c r="W901" s="272"/>
      <c r="X901" s="272"/>
      <c r="Y901" s="272"/>
      <c r="Z901" s="258"/>
      <c r="AA901" s="258"/>
      <c r="AB901" s="258"/>
      <c r="AC901" s="258"/>
      <c r="AD901" s="258"/>
      <c r="AE901" s="258"/>
      <c r="AF901" s="258"/>
      <c r="AG901" s="258"/>
      <c r="AH901" s="258"/>
      <c r="AI901" s="258"/>
      <c r="AQ901" s="259"/>
      <c r="AR901" s="259"/>
      <c r="AS901" s="259"/>
      <c r="AT901" s="259"/>
      <c r="AU901" s="259"/>
      <c r="AV901" s="259"/>
      <c r="AW901" s="259"/>
    </row>
    <row r="902" spans="2:49" ht="15" customHeight="1" x14ac:dyDescent="0.25">
      <c r="B902" s="260"/>
      <c r="D902" s="262"/>
      <c r="E902" s="291"/>
      <c r="F902" s="293"/>
      <c r="G902" s="288"/>
      <c r="H902" s="265"/>
      <c r="I902" s="266"/>
      <c r="K902" s="268"/>
      <c r="L902" s="273"/>
      <c r="M902" s="274"/>
      <c r="N902" s="258"/>
      <c r="O902" s="258"/>
      <c r="P902" s="258"/>
      <c r="Q902" s="276"/>
      <c r="R902" s="272"/>
      <c r="S902" s="272"/>
      <c r="T902" s="272"/>
      <c r="U902" s="272"/>
      <c r="V902" s="272"/>
      <c r="W902" s="272"/>
      <c r="X902" s="272"/>
      <c r="Y902" s="272"/>
      <c r="Z902" s="258"/>
      <c r="AA902" s="258"/>
      <c r="AB902" s="258"/>
      <c r="AC902" s="258"/>
      <c r="AD902" s="258"/>
      <c r="AE902" s="258"/>
      <c r="AF902" s="258"/>
      <c r="AG902" s="258"/>
      <c r="AH902" s="270"/>
      <c r="AI902" s="270"/>
      <c r="AQ902" s="259"/>
      <c r="AR902" s="259"/>
      <c r="AS902" s="259"/>
      <c r="AT902" s="259"/>
      <c r="AU902" s="259"/>
      <c r="AV902" s="259"/>
      <c r="AW902" s="259"/>
    </row>
    <row r="903" spans="2:49" ht="15" customHeight="1" x14ac:dyDescent="0.25">
      <c r="B903" s="260"/>
      <c r="D903" s="262"/>
      <c r="G903" s="288"/>
      <c r="H903" s="265"/>
      <c r="I903" s="266"/>
      <c r="K903" s="268"/>
      <c r="L903" s="273"/>
      <c r="M903" s="277"/>
      <c r="N903" s="258"/>
      <c r="O903" s="258"/>
      <c r="P903" s="258"/>
      <c r="Q903" s="276"/>
      <c r="R903" s="272"/>
      <c r="S903" s="272"/>
      <c r="T903" s="272"/>
      <c r="U903" s="272"/>
      <c r="V903" s="272"/>
      <c r="W903" s="272"/>
      <c r="X903" s="272"/>
      <c r="Y903" s="272"/>
      <c r="Z903" s="258"/>
      <c r="AA903" s="258"/>
      <c r="AB903" s="258"/>
      <c r="AC903" s="258"/>
      <c r="AD903" s="258"/>
      <c r="AE903" s="258"/>
      <c r="AF903" s="258"/>
      <c r="AG903" s="258"/>
      <c r="AH903" s="270"/>
      <c r="AI903" s="270"/>
      <c r="AQ903" s="259"/>
      <c r="AR903" s="259"/>
      <c r="AS903" s="259"/>
      <c r="AT903" s="259"/>
      <c r="AU903" s="259"/>
      <c r="AV903" s="259"/>
      <c r="AW903" s="259"/>
    </row>
    <row r="904" spans="2:49" ht="15" customHeight="1" x14ac:dyDescent="0.25">
      <c r="B904" s="260"/>
      <c r="D904" s="262"/>
      <c r="G904" s="289"/>
      <c r="H904" s="265"/>
      <c r="I904" s="266"/>
      <c r="K904" s="268"/>
      <c r="L904" s="278"/>
      <c r="M904" s="274"/>
      <c r="N904" s="258"/>
      <c r="O904" s="258"/>
      <c r="P904" s="258"/>
      <c r="Q904" s="276"/>
      <c r="R904" s="272"/>
      <c r="S904" s="272"/>
      <c r="T904" s="272"/>
      <c r="U904" s="272"/>
      <c r="V904" s="272"/>
      <c r="W904" s="272"/>
      <c r="X904" s="272"/>
      <c r="Y904" s="272"/>
      <c r="Z904" s="258"/>
      <c r="AA904" s="258"/>
      <c r="AB904" s="258"/>
      <c r="AC904" s="258"/>
      <c r="AD904" s="258"/>
      <c r="AE904" s="258"/>
      <c r="AF904" s="258"/>
      <c r="AG904" s="258"/>
      <c r="AH904" s="270"/>
      <c r="AI904" s="270"/>
      <c r="AQ904" s="259"/>
      <c r="AR904" s="259"/>
      <c r="AS904" s="259"/>
      <c r="AT904" s="259"/>
      <c r="AU904" s="259"/>
      <c r="AV904" s="259"/>
      <c r="AW904" s="259"/>
    </row>
    <row r="905" spans="2:49" ht="15" customHeight="1" x14ac:dyDescent="0.25">
      <c r="B905" s="260"/>
      <c r="C905" s="290"/>
      <c r="D905" s="262"/>
      <c r="E905" s="291"/>
      <c r="F905" s="262"/>
      <c r="G905" s="289"/>
      <c r="H905" s="243"/>
      <c r="I905" s="266"/>
      <c r="K905" s="268"/>
      <c r="L905" s="278"/>
      <c r="M905" s="274"/>
      <c r="N905" s="258"/>
      <c r="O905" s="258"/>
      <c r="P905" s="258"/>
      <c r="Q905" s="276"/>
      <c r="R905" s="272"/>
      <c r="S905" s="272"/>
      <c r="T905" s="272"/>
      <c r="U905" s="272"/>
      <c r="V905" s="272"/>
      <c r="W905" s="272"/>
      <c r="X905" s="272"/>
      <c r="Y905" s="272"/>
      <c r="Z905" s="258"/>
      <c r="AA905" s="258"/>
      <c r="AB905" s="258"/>
      <c r="AC905" s="258"/>
      <c r="AD905" s="258"/>
      <c r="AE905" s="258"/>
      <c r="AF905" s="258"/>
      <c r="AG905" s="258"/>
      <c r="AH905" s="258"/>
      <c r="AQ905" s="259"/>
      <c r="AR905" s="259"/>
      <c r="AS905" s="259"/>
      <c r="AT905" s="259"/>
      <c r="AU905" s="259"/>
      <c r="AV905" s="259"/>
      <c r="AW905" s="259"/>
    </row>
    <row r="906" spans="2:49" ht="15" customHeight="1" x14ac:dyDescent="0.25">
      <c r="B906" s="260"/>
      <c r="D906" s="262"/>
      <c r="G906" s="289"/>
      <c r="H906" s="265"/>
      <c r="I906" s="266"/>
      <c r="K906" s="268"/>
      <c r="L906" s="278"/>
      <c r="M906" s="274"/>
      <c r="N906" s="258"/>
      <c r="O906" s="258"/>
      <c r="P906" s="258"/>
      <c r="Q906" s="276"/>
      <c r="R906" s="272"/>
      <c r="S906" s="272"/>
      <c r="T906" s="272"/>
      <c r="U906" s="272"/>
      <c r="V906" s="272"/>
      <c r="W906" s="272"/>
      <c r="X906" s="272"/>
      <c r="Y906" s="272"/>
      <c r="Z906" s="258"/>
      <c r="AA906" s="258"/>
      <c r="AB906" s="258"/>
      <c r="AC906" s="258"/>
      <c r="AD906" s="258"/>
      <c r="AE906" s="258"/>
      <c r="AF906" s="258"/>
      <c r="AG906" s="258"/>
      <c r="AH906" s="258"/>
      <c r="AQ906" s="259"/>
      <c r="AR906" s="259"/>
      <c r="AS906" s="259"/>
      <c r="AT906" s="259"/>
      <c r="AU906" s="259"/>
      <c r="AV906" s="259"/>
      <c r="AW906" s="259"/>
    </row>
    <row r="907" spans="2:49" ht="15" customHeight="1" x14ac:dyDescent="0.25">
      <c r="B907" s="260"/>
      <c r="D907" s="262"/>
      <c r="G907" s="288"/>
      <c r="H907" s="265"/>
      <c r="I907" s="266"/>
      <c r="K907" s="268"/>
      <c r="L907" s="278"/>
      <c r="M907" s="274"/>
      <c r="N907" s="258"/>
      <c r="O907" s="258"/>
      <c r="P907" s="258"/>
      <c r="Q907" s="276"/>
      <c r="R907" s="272"/>
      <c r="S907" s="272"/>
      <c r="T907" s="272"/>
      <c r="U907" s="272"/>
      <c r="V907" s="272"/>
      <c r="W907" s="272"/>
      <c r="X907" s="272"/>
      <c r="Y907" s="272"/>
      <c r="Z907" s="258"/>
      <c r="AA907" s="258"/>
      <c r="AB907" s="258"/>
      <c r="AC907" s="258"/>
      <c r="AD907" s="258"/>
      <c r="AE907" s="258"/>
      <c r="AF907" s="258"/>
      <c r="AG907" s="258"/>
      <c r="AH907" s="258"/>
      <c r="AQ907" s="259"/>
      <c r="AR907" s="259"/>
      <c r="AS907" s="259"/>
      <c r="AT907" s="259"/>
      <c r="AU907" s="259"/>
      <c r="AV907" s="259"/>
      <c r="AW907" s="259"/>
    </row>
    <row r="908" spans="2:49" ht="15" customHeight="1" x14ac:dyDescent="0.25">
      <c r="B908" s="260"/>
      <c r="D908" s="262"/>
      <c r="G908" s="288"/>
      <c r="H908" s="265"/>
      <c r="I908" s="266"/>
      <c r="K908" s="268"/>
      <c r="L908" s="278"/>
      <c r="M908" s="274"/>
      <c r="N908" s="258"/>
      <c r="O908" s="258"/>
      <c r="P908" s="258"/>
      <c r="Q908" s="276"/>
      <c r="R908" s="272"/>
      <c r="S908" s="272"/>
      <c r="T908" s="272"/>
      <c r="U908" s="272"/>
      <c r="V908" s="272"/>
      <c r="W908" s="272"/>
      <c r="X908" s="272"/>
      <c r="Y908" s="272"/>
      <c r="Z908" s="258"/>
      <c r="AA908" s="258"/>
      <c r="AB908" s="258"/>
      <c r="AC908" s="258"/>
      <c r="AD908" s="258"/>
      <c r="AE908" s="258"/>
      <c r="AF908" s="258"/>
      <c r="AG908" s="258"/>
      <c r="AH908" s="258"/>
      <c r="AQ908" s="259"/>
      <c r="AR908" s="259"/>
      <c r="AS908" s="259"/>
      <c r="AT908" s="259"/>
      <c r="AU908" s="259"/>
      <c r="AV908" s="259"/>
      <c r="AW908" s="259"/>
    </row>
    <row r="909" spans="2:49" ht="15" customHeight="1" x14ac:dyDescent="0.25">
      <c r="B909" s="260"/>
      <c r="D909" s="262"/>
      <c r="G909" s="289"/>
      <c r="H909" s="265"/>
      <c r="I909" s="266"/>
      <c r="K909" s="268"/>
      <c r="L909" s="278"/>
      <c r="M909" s="274"/>
      <c r="N909" s="258"/>
      <c r="O909" s="258"/>
      <c r="P909" s="258"/>
      <c r="Q909" s="276"/>
      <c r="W909" s="272"/>
      <c r="X909" s="272"/>
      <c r="Y909" s="272"/>
      <c r="Z909" s="258"/>
      <c r="AA909" s="258"/>
      <c r="AB909" s="258"/>
      <c r="AC909" s="258"/>
      <c r="AD909" s="258"/>
      <c r="AE909" s="258"/>
      <c r="AF909" s="258"/>
      <c r="AG909" s="258"/>
      <c r="AH909" s="258"/>
      <c r="AQ909" s="259"/>
      <c r="AR909" s="259"/>
      <c r="AS909" s="259"/>
      <c r="AT909" s="259"/>
      <c r="AU909" s="259"/>
      <c r="AV909" s="259"/>
      <c r="AW909" s="259"/>
    </row>
    <row r="910" spans="2:49" ht="15" customHeight="1" x14ac:dyDescent="0.25">
      <c r="B910" s="260"/>
      <c r="D910" s="262"/>
      <c r="G910" s="289"/>
      <c r="H910" s="265"/>
      <c r="I910" s="266"/>
      <c r="K910" s="268"/>
      <c r="L910" s="278"/>
      <c r="M910" s="274"/>
      <c r="N910" s="258"/>
      <c r="O910" s="258"/>
      <c r="P910" s="258"/>
      <c r="Q910" s="276"/>
      <c r="W910" s="272"/>
      <c r="X910" s="272"/>
      <c r="Y910" s="272"/>
      <c r="Z910" s="258"/>
      <c r="AA910" s="258"/>
      <c r="AB910" s="258"/>
      <c r="AC910" s="258"/>
      <c r="AD910" s="258"/>
      <c r="AE910" s="258"/>
      <c r="AF910" s="258"/>
      <c r="AG910" s="258"/>
      <c r="AH910" s="258"/>
      <c r="AQ910" s="259"/>
      <c r="AR910" s="259"/>
      <c r="AS910" s="259"/>
      <c r="AT910" s="259"/>
      <c r="AU910" s="259"/>
      <c r="AV910" s="259"/>
      <c r="AW910" s="259"/>
    </row>
    <row r="911" spans="2:49" ht="15" customHeight="1" x14ac:dyDescent="0.25">
      <c r="B911" s="260"/>
      <c r="D911" s="262"/>
      <c r="G911" s="288"/>
      <c r="H911" s="265"/>
      <c r="I911" s="266"/>
      <c r="K911" s="268"/>
      <c r="L911" s="278"/>
      <c r="M911" s="274"/>
      <c r="N911" s="258"/>
      <c r="O911" s="258"/>
      <c r="P911" s="258"/>
      <c r="Q911" s="276"/>
      <c r="W911" s="272"/>
      <c r="X911" s="272"/>
      <c r="Y911" s="272"/>
      <c r="Z911" s="258"/>
      <c r="AA911" s="258"/>
      <c r="AB911" s="258"/>
      <c r="AC911" s="258"/>
      <c r="AD911" s="258"/>
      <c r="AE911" s="258"/>
      <c r="AF911" s="258"/>
      <c r="AG911" s="258"/>
      <c r="AH911" s="258"/>
      <c r="AQ911" s="259"/>
      <c r="AR911" s="259"/>
      <c r="AS911" s="259"/>
      <c r="AT911" s="259"/>
      <c r="AU911" s="259"/>
      <c r="AV911" s="259"/>
      <c r="AW911" s="259"/>
    </row>
    <row r="912" spans="2:49" ht="15" customHeight="1" x14ac:dyDescent="0.25">
      <c r="B912" s="260"/>
      <c r="D912" s="262"/>
      <c r="G912" s="288"/>
      <c r="H912" s="265"/>
      <c r="I912" s="266"/>
      <c r="K912" s="268"/>
      <c r="L912" s="273"/>
      <c r="M912" s="274"/>
      <c r="N912" s="270"/>
      <c r="O912" s="270"/>
      <c r="P912" s="270"/>
      <c r="Q912" s="275"/>
      <c r="R912" s="272"/>
      <c r="S912" s="272"/>
      <c r="T912" s="272"/>
      <c r="U912" s="272"/>
      <c r="V912" s="272"/>
      <c r="W912" s="272"/>
      <c r="X912" s="272"/>
      <c r="Y912" s="272"/>
      <c r="Z912" s="258"/>
      <c r="AA912" s="258"/>
      <c r="AB912" s="258"/>
      <c r="AC912" s="258"/>
      <c r="AD912" s="258"/>
      <c r="AE912" s="258"/>
      <c r="AF912" s="258"/>
      <c r="AG912" s="258"/>
      <c r="AH912" s="258"/>
      <c r="AI912" s="258"/>
      <c r="AQ912" s="259"/>
      <c r="AR912" s="259"/>
      <c r="AS912" s="259"/>
      <c r="AT912" s="259"/>
      <c r="AU912" s="259"/>
      <c r="AV912" s="259"/>
      <c r="AW912" s="259"/>
    </row>
    <row r="913" spans="2:49" ht="15" customHeight="1" x14ac:dyDescent="0.25">
      <c r="B913" s="260"/>
      <c r="D913" s="262"/>
      <c r="G913" s="288"/>
      <c r="H913" s="265"/>
      <c r="I913" s="266"/>
      <c r="K913" s="268"/>
      <c r="L913" s="273"/>
      <c r="M913" s="274"/>
      <c r="N913" s="258"/>
      <c r="O913" s="258"/>
      <c r="P913" s="258"/>
      <c r="Q913" s="276"/>
      <c r="R913" s="272"/>
      <c r="S913" s="272"/>
      <c r="T913" s="272"/>
      <c r="U913" s="272"/>
      <c r="V913" s="272"/>
      <c r="W913" s="272"/>
      <c r="X913" s="272"/>
      <c r="Y913" s="272"/>
      <c r="Z913" s="258"/>
      <c r="AA913" s="258"/>
      <c r="AB913" s="258"/>
      <c r="AC913" s="258"/>
      <c r="AD913" s="258"/>
      <c r="AE913" s="258"/>
      <c r="AF913" s="258"/>
      <c r="AG913" s="258"/>
      <c r="AH913" s="258"/>
      <c r="AI913" s="258"/>
      <c r="AQ913" s="259"/>
      <c r="AR913" s="259"/>
      <c r="AS913" s="259"/>
      <c r="AT913" s="259"/>
      <c r="AU913" s="259"/>
      <c r="AV913" s="259"/>
      <c r="AW913" s="259"/>
    </row>
    <row r="914" spans="2:49" ht="15" customHeight="1" x14ac:dyDescent="0.25">
      <c r="B914" s="260"/>
      <c r="D914" s="262"/>
      <c r="G914" s="288"/>
      <c r="H914" s="265"/>
      <c r="I914" s="266"/>
      <c r="K914" s="268"/>
      <c r="L914" s="273"/>
      <c r="M914" s="274"/>
      <c r="N914" s="258"/>
      <c r="O914" s="258"/>
      <c r="P914" s="258"/>
      <c r="Q914" s="276"/>
      <c r="R914" s="272"/>
      <c r="S914" s="272"/>
      <c r="T914" s="272"/>
      <c r="U914" s="272"/>
      <c r="V914" s="272"/>
      <c r="W914" s="272"/>
      <c r="X914" s="272"/>
      <c r="Y914" s="272"/>
      <c r="Z914" s="258"/>
      <c r="AA914" s="258"/>
      <c r="AB914" s="258"/>
      <c r="AC914" s="258"/>
      <c r="AD914" s="258"/>
      <c r="AE914" s="258"/>
      <c r="AF914" s="258"/>
      <c r="AG914" s="258"/>
      <c r="AH914" s="270"/>
      <c r="AI914" s="270"/>
      <c r="AQ914" s="259"/>
      <c r="AR914" s="259"/>
      <c r="AS914" s="259"/>
      <c r="AT914" s="259"/>
      <c r="AU914" s="259"/>
      <c r="AV914" s="259"/>
      <c r="AW914" s="259"/>
    </row>
    <row r="915" spans="2:49" ht="15" customHeight="1" x14ac:dyDescent="0.25">
      <c r="B915" s="260"/>
      <c r="D915" s="262"/>
      <c r="G915" s="289"/>
      <c r="H915" s="265"/>
      <c r="I915" s="266"/>
      <c r="K915" s="268"/>
      <c r="L915" s="273"/>
      <c r="M915" s="277"/>
      <c r="N915" s="258"/>
      <c r="O915" s="258"/>
      <c r="P915" s="258"/>
      <c r="Q915" s="276"/>
      <c r="R915" s="272"/>
      <c r="S915" s="272"/>
      <c r="T915" s="272"/>
      <c r="U915" s="272"/>
      <c r="V915" s="272"/>
      <c r="W915" s="272"/>
      <c r="X915" s="272"/>
      <c r="Y915" s="272"/>
      <c r="Z915" s="258"/>
      <c r="AA915" s="258"/>
      <c r="AB915" s="258"/>
      <c r="AC915" s="258"/>
      <c r="AD915" s="258"/>
      <c r="AE915" s="258"/>
      <c r="AF915" s="258"/>
      <c r="AG915" s="258"/>
      <c r="AH915" s="270"/>
      <c r="AI915" s="270"/>
      <c r="AQ915" s="259"/>
      <c r="AR915" s="259"/>
      <c r="AS915" s="259"/>
      <c r="AT915" s="259"/>
      <c r="AU915" s="259"/>
      <c r="AV915" s="259"/>
      <c r="AW915" s="259"/>
    </row>
    <row r="916" spans="2:49" ht="15" customHeight="1" x14ac:dyDescent="0.25">
      <c r="B916" s="260"/>
      <c r="D916" s="262"/>
      <c r="G916" s="288"/>
      <c r="H916" s="265"/>
      <c r="I916" s="266"/>
      <c r="K916" s="268"/>
      <c r="L916" s="278"/>
      <c r="M916" s="274"/>
      <c r="N916" s="258"/>
      <c r="O916" s="258"/>
      <c r="P916" s="258"/>
      <c r="Q916" s="276"/>
      <c r="R916" s="272"/>
      <c r="S916" s="272"/>
      <c r="T916" s="272"/>
      <c r="U916" s="272"/>
      <c r="V916" s="272"/>
      <c r="W916" s="272"/>
      <c r="X916" s="272"/>
      <c r="Y916" s="272"/>
      <c r="Z916" s="258"/>
      <c r="AA916" s="258"/>
      <c r="AB916" s="258"/>
      <c r="AC916" s="258"/>
      <c r="AD916" s="258"/>
      <c r="AE916" s="258"/>
      <c r="AF916" s="258"/>
      <c r="AG916" s="258"/>
      <c r="AH916" s="270"/>
      <c r="AI916" s="270"/>
      <c r="AQ916" s="259"/>
      <c r="AR916" s="259"/>
      <c r="AS916" s="259"/>
      <c r="AT916" s="259"/>
      <c r="AU916" s="259"/>
      <c r="AV916" s="259"/>
      <c r="AW916" s="259"/>
    </row>
    <row r="917" spans="2:49" ht="15" customHeight="1" x14ac:dyDescent="0.25">
      <c r="B917" s="260"/>
      <c r="D917" s="262"/>
      <c r="G917" s="288"/>
      <c r="H917" s="265"/>
      <c r="I917" s="266"/>
      <c r="K917" s="268"/>
      <c r="L917" s="278"/>
      <c r="M917" s="274"/>
      <c r="N917" s="258"/>
      <c r="O917" s="258"/>
      <c r="P917" s="258"/>
      <c r="Q917" s="276"/>
      <c r="R917" s="272"/>
      <c r="S917" s="272"/>
      <c r="T917" s="272"/>
      <c r="U917" s="272"/>
      <c r="V917" s="272"/>
      <c r="W917" s="272"/>
      <c r="X917" s="272"/>
      <c r="Y917" s="272"/>
      <c r="Z917" s="258"/>
      <c r="AA917" s="258"/>
      <c r="AB917" s="258"/>
      <c r="AC917" s="258"/>
      <c r="AD917" s="258"/>
      <c r="AE917" s="258"/>
      <c r="AF917" s="258"/>
      <c r="AG917" s="258"/>
      <c r="AH917" s="258"/>
      <c r="AQ917" s="259"/>
      <c r="AR917" s="259"/>
      <c r="AS917" s="259"/>
      <c r="AT917" s="259"/>
      <c r="AU917" s="259"/>
      <c r="AV917" s="259"/>
      <c r="AW917" s="259"/>
    </row>
    <row r="918" spans="2:49" ht="15" customHeight="1" x14ac:dyDescent="0.25">
      <c r="B918" s="260"/>
      <c r="D918" s="262"/>
      <c r="G918" s="288"/>
      <c r="H918" s="265"/>
      <c r="I918" s="266"/>
      <c r="K918" s="268"/>
      <c r="L918" s="278"/>
      <c r="M918" s="274"/>
      <c r="N918" s="258"/>
      <c r="O918" s="258"/>
      <c r="P918" s="258"/>
      <c r="Q918" s="276"/>
      <c r="R918" s="272"/>
      <c r="S918" s="272"/>
      <c r="T918" s="272"/>
      <c r="U918" s="272"/>
      <c r="V918" s="272"/>
      <c r="W918" s="272"/>
      <c r="X918" s="272"/>
      <c r="Y918" s="272"/>
      <c r="Z918" s="258"/>
      <c r="AA918" s="258"/>
      <c r="AB918" s="258"/>
      <c r="AC918" s="258"/>
      <c r="AD918" s="258"/>
      <c r="AE918" s="258"/>
      <c r="AF918" s="258"/>
      <c r="AG918" s="258"/>
      <c r="AH918" s="258"/>
      <c r="AQ918" s="259"/>
      <c r="AR918" s="259"/>
      <c r="AS918" s="259"/>
      <c r="AT918" s="259"/>
      <c r="AU918" s="259"/>
      <c r="AV918" s="259"/>
      <c r="AW918" s="259"/>
    </row>
    <row r="919" spans="2:49" ht="15" customHeight="1" x14ac:dyDescent="0.25">
      <c r="B919" s="260"/>
      <c r="D919" s="262"/>
      <c r="G919" s="288"/>
      <c r="H919" s="265"/>
      <c r="I919" s="266"/>
      <c r="K919" s="268"/>
      <c r="L919" s="278"/>
      <c r="M919" s="274"/>
      <c r="N919" s="258"/>
      <c r="O919" s="258"/>
      <c r="P919" s="258"/>
      <c r="Q919" s="276"/>
      <c r="R919" s="272"/>
      <c r="S919" s="272"/>
      <c r="T919" s="272"/>
      <c r="U919" s="272"/>
      <c r="V919" s="272"/>
      <c r="W919" s="272"/>
      <c r="X919" s="272"/>
      <c r="Y919" s="272"/>
      <c r="Z919" s="258"/>
      <c r="AA919" s="258"/>
      <c r="AB919" s="258"/>
      <c r="AC919" s="258"/>
      <c r="AD919" s="258"/>
      <c r="AE919" s="258"/>
      <c r="AF919" s="258"/>
      <c r="AG919" s="258"/>
      <c r="AH919" s="258"/>
      <c r="AQ919" s="259"/>
      <c r="AR919" s="259"/>
      <c r="AS919" s="259"/>
      <c r="AT919" s="259"/>
      <c r="AU919" s="259"/>
      <c r="AV919" s="259"/>
      <c r="AW919" s="259"/>
    </row>
    <row r="920" spans="2:49" ht="15" customHeight="1" x14ac:dyDescent="0.25">
      <c r="B920" s="260"/>
      <c r="D920" s="262"/>
      <c r="G920" s="288"/>
      <c r="H920" s="265"/>
      <c r="I920" s="266"/>
      <c r="K920" s="268"/>
      <c r="L920" s="278"/>
      <c r="M920" s="274"/>
      <c r="N920" s="258"/>
      <c r="O920" s="258"/>
      <c r="P920" s="258"/>
      <c r="Q920" s="276"/>
      <c r="R920" s="272"/>
      <c r="S920" s="272"/>
      <c r="T920" s="272"/>
      <c r="U920" s="272"/>
      <c r="V920" s="272"/>
      <c r="W920" s="272"/>
      <c r="X920" s="272"/>
      <c r="Y920" s="272"/>
      <c r="Z920" s="258"/>
      <c r="AA920" s="258"/>
      <c r="AB920" s="258"/>
      <c r="AC920" s="258"/>
      <c r="AD920" s="258"/>
      <c r="AE920" s="258"/>
      <c r="AF920" s="258"/>
      <c r="AG920" s="258"/>
      <c r="AH920" s="258"/>
      <c r="AQ920" s="259"/>
      <c r="AR920" s="259"/>
      <c r="AS920" s="259"/>
      <c r="AT920" s="259"/>
      <c r="AU920" s="259"/>
      <c r="AV920" s="259"/>
      <c r="AW920" s="259"/>
    </row>
    <row r="921" spans="2:49" ht="15" customHeight="1" x14ac:dyDescent="0.25">
      <c r="B921" s="260"/>
      <c r="D921" s="262"/>
      <c r="G921" s="288"/>
      <c r="H921" s="265"/>
      <c r="I921" s="266"/>
      <c r="K921" s="268"/>
      <c r="L921" s="278"/>
      <c r="M921" s="274"/>
      <c r="N921" s="258"/>
      <c r="O921" s="258"/>
      <c r="P921" s="258"/>
      <c r="Q921" s="276"/>
      <c r="W921" s="272"/>
      <c r="X921" s="272"/>
      <c r="Y921" s="272"/>
      <c r="Z921" s="258"/>
      <c r="AA921" s="258"/>
      <c r="AB921" s="258"/>
      <c r="AC921" s="258"/>
      <c r="AD921" s="258"/>
      <c r="AE921" s="258"/>
      <c r="AF921" s="258"/>
      <c r="AG921" s="258"/>
      <c r="AH921" s="258"/>
      <c r="AQ921" s="259"/>
      <c r="AR921" s="259"/>
      <c r="AS921" s="259"/>
      <c r="AT921" s="259"/>
      <c r="AU921" s="259"/>
      <c r="AV921" s="259"/>
      <c r="AW921" s="259"/>
    </row>
    <row r="922" spans="2:49" ht="15" customHeight="1" x14ac:dyDescent="0.25">
      <c r="B922" s="260"/>
      <c r="D922" s="262"/>
      <c r="G922" s="288"/>
      <c r="H922" s="265"/>
      <c r="I922" s="266"/>
      <c r="K922" s="268"/>
      <c r="L922" s="278"/>
      <c r="M922" s="274"/>
      <c r="N922" s="258"/>
      <c r="O922" s="258"/>
      <c r="P922" s="258"/>
      <c r="Q922" s="276"/>
      <c r="W922" s="272"/>
      <c r="X922" s="272"/>
      <c r="Y922" s="272"/>
      <c r="Z922" s="258"/>
      <c r="AA922" s="258"/>
      <c r="AB922" s="258"/>
      <c r="AC922" s="258"/>
      <c r="AD922" s="258"/>
      <c r="AE922" s="258"/>
      <c r="AF922" s="258"/>
      <c r="AG922" s="258"/>
      <c r="AH922" s="258"/>
      <c r="AQ922" s="259"/>
      <c r="AR922" s="259"/>
      <c r="AS922" s="259"/>
      <c r="AT922" s="259"/>
      <c r="AU922" s="259"/>
      <c r="AV922" s="259"/>
      <c r="AW922" s="259"/>
    </row>
    <row r="923" spans="2:49" ht="15" customHeight="1" x14ac:dyDescent="0.25">
      <c r="B923" s="260"/>
      <c r="D923" s="262"/>
      <c r="E923" s="291"/>
      <c r="F923" s="293"/>
      <c r="G923" s="288"/>
      <c r="H923" s="265"/>
      <c r="I923" s="266"/>
      <c r="K923" s="268"/>
      <c r="L923" s="278"/>
      <c r="M923" s="274"/>
      <c r="N923" s="258"/>
      <c r="O923" s="258"/>
      <c r="P923" s="258"/>
      <c r="Q923" s="276"/>
      <c r="W923" s="272"/>
      <c r="X923" s="272"/>
      <c r="Y923" s="272"/>
      <c r="Z923" s="258"/>
      <c r="AA923" s="258"/>
      <c r="AB923" s="258"/>
      <c r="AC923" s="258"/>
      <c r="AD923" s="258"/>
      <c r="AE923" s="258"/>
      <c r="AF923" s="258"/>
      <c r="AG923" s="258"/>
      <c r="AH923" s="258"/>
      <c r="AQ923" s="259"/>
      <c r="AR923" s="259"/>
      <c r="AS923" s="259"/>
      <c r="AT923" s="259"/>
      <c r="AU923" s="259"/>
      <c r="AV923" s="259"/>
      <c r="AW923" s="259"/>
    </row>
    <row r="924" spans="2:49" ht="15" customHeight="1" x14ac:dyDescent="0.25">
      <c r="B924" s="260"/>
      <c r="D924" s="262"/>
      <c r="G924" s="289"/>
      <c r="H924" s="265"/>
      <c r="I924" s="266"/>
      <c r="K924" s="268"/>
      <c r="L924" s="273"/>
      <c r="M924" s="274"/>
      <c r="N924" s="270"/>
      <c r="O924" s="270"/>
      <c r="P924" s="270"/>
      <c r="Q924" s="275"/>
      <c r="R924" s="272"/>
      <c r="S924" s="272"/>
      <c r="T924" s="272"/>
      <c r="U924" s="272"/>
      <c r="V924" s="272"/>
      <c r="W924" s="272"/>
      <c r="X924" s="272"/>
      <c r="Y924" s="272"/>
      <c r="Z924" s="258"/>
      <c r="AA924" s="258"/>
      <c r="AB924" s="258"/>
      <c r="AC924" s="258"/>
      <c r="AD924" s="258"/>
      <c r="AE924" s="258"/>
      <c r="AF924" s="258"/>
      <c r="AG924" s="258"/>
      <c r="AH924" s="258"/>
      <c r="AI924" s="258"/>
      <c r="AQ924" s="259"/>
      <c r="AR924" s="259"/>
      <c r="AS924" s="259"/>
      <c r="AT924" s="259"/>
      <c r="AU924" s="259"/>
      <c r="AV924" s="259"/>
      <c r="AW924" s="259"/>
    </row>
    <row r="925" spans="2:49" ht="15" customHeight="1" x14ac:dyDescent="0.25">
      <c r="B925" s="260"/>
      <c r="D925" s="262"/>
      <c r="G925" s="289"/>
      <c r="H925" s="265"/>
      <c r="I925" s="266"/>
      <c r="K925" s="268"/>
      <c r="L925" s="273"/>
      <c r="M925" s="274"/>
      <c r="N925" s="258"/>
      <c r="O925" s="258"/>
      <c r="P925" s="258"/>
      <c r="Q925" s="276"/>
      <c r="R925" s="272"/>
      <c r="S925" s="272"/>
      <c r="T925" s="272"/>
      <c r="U925" s="272"/>
      <c r="V925" s="272"/>
      <c r="W925" s="272"/>
      <c r="X925" s="272"/>
      <c r="Y925" s="272"/>
      <c r="Z925" s="258"/>
      <c r="AA925" s="258"/>
      <c r="AB925" s="258"/>
      <c r="AC925" s="258"/>
      <c r="AD925" s="258"/>
      <c r="AE925" s="258"/>
      <c r="AF925" s="258"/>
      <c r="AG925" s="258"/>
      <c r="AH925" s="258"/>
      <c r="AI925" s="258"/>
      <c r="AQ925" s="259"/>
      <c r="AR925" s="259"/>
      <c r="AS925" s="259"/>
      <c r="AT925" s="259"/>
      <c r="AU925" s="259"/>
      <c r="AV925" s="259"/>
      <c r="AW925" s="259"/>
    </row>
    <row r="926" spans="2:49" ht="15" customHeight="1" x14ac:dyDescent="0.25">
      <c r="B926" s="260"/>
      <c r="D926" s="262"/>
      <c r="E926" s="291"/>
      <c r="F926" s="293"/>
      <c r="G926" s="288"/>
      <c r="H926" s="265"/>
      <c r="I926" s="266"/>
      <c r="K926" s="268"/>
      <c r="L926" s="273"/>
      <c r="M926" s="274"/>
      <c r="N926" s="258"/>
      <c r="O926" s="258"/>
      <c r="P926" s="258"/>
      <c r="Q926" s="276"/>
      <c r="R926" s="272"/>
      <c r="S926" s="272"/>
      <c r="T926" s="272"/>
      <c r="U926" s="272"/>
      <c r="V926" s="272"/>
      <c r="W926" s="272"/>
      <c r="X926" s="272"/>
      <c r="Y926" s="272"/>
      <c r="Z926" s="258"/>
      <c r="AA926" s="258"/>
      <c r="AB926" s="258"/>
      <c r="AC926" s="258"/>
      <c r="AD926" s="258"/>
      <c r="AE926" s="258"/>
      <c r="AF926" s="258"/>
      <c r="AG926" s="258"/>
      <c r="AH926" s="270"/>
      <c r="AI926" s="270"/>
      <c r="AQ926" s="259"/>
      <c r="AR926" s="259"/>
      <c r="AS926" s="259"/>
      <c r="AT926" s="259"/>
      <c r="AU926" s="259"/>
      <c r="AV926" s="259"/>
      <c r="AW926" s="259"/>
    </row>
    <row r="927" spans="2:49" ht="15" customHeight="1" x14ac:dyDescent="0.25">
      <c r="B927" s="260"/>
      <c r="C927" s="290"/>
      <c r="D927" s="262"/>
      <c r="E927" s="291"/>
      <c r="F927" s="262"/>
      <c r="G927" s="289"/>
      <c r="H927" s="243"/>
      <c r="I927" s="266"/>
      <c r="K927" s="268"/>
      <c r="L927" s="273"/>
      <c r="M927" s="277"/>
      <c r="N927" s="258"/>
      <c r="O927" s="258"/>
      <c r="P927" s="258"/>
      <c r="Q927" s="276"/>
      <c r="R927" s="272"/>
      <c r="S927" s="272"/>
      <c r="T927" s="272"/>
      <c r="U927" s="272"/>
      <c r="V927" s="272"/>
      <c r="W927" s="272"/>
      <c r="X927" s="272"/>
      <c r="Y927" s="272"/>
      <c r="Z927" s="258"/>
      <c r="AA927" s="258"/>
      <c r="AB927" s="258"/>
      <c r="AC927" s="258"/>
      <c r="AD927" s="258"/>
      <c r="AE927" s="258"/>
      <c r="AF927" s="258"/>
      <c r="AG927" s="258"/>
      <c r="AH927" s="270"/>
      <c r="AI927" s="270"/>
      <c r="AQ927" s="259"/>
      <c r="AR927" s="259"/>
      <c r="AS927" s="259"/>
      <c r="AT927" s="259"/>
      <c r="AU927" s="259"/>
      <c r="AV927" s="259"/>
      <c r="AW927" s="259"/>
    </row>
    <row r="928" spans="2:49" ht="15" customHeight="1" x14ac:dyDescent="0.25">
      <c r="B928" s="260"/>
      <c r="D928" s="262"/>
      <c r="E928" s="291"/>
      <c r="F928" s="293"/>
      <c r="G928" s="288"/>
      <c r="H928" s="265"/>
      <c r="I928" s="266"/>
      <c r="K928" s="268"/>
      <c r="L928" s="278"/>
      <c r="M928" s="274"/>
      <c r="N928" s="258"/>
      <c r="O928" s="258"/>
      <c r="P928" s="258"/>
      <c r="Q928" s="276"/>
      <c r="R928" s="272"/>
      <c r="S928" s="272"/>
      <c r="T928" s="272"/>
      <c r="U928" s="272"/>
      <c r="V928" s="272"/>
      <c r="W928" s="272"/>
      <c r="X928" s="272"/>
      <c r="Y928" s="272"/>
      <c r="Z928" s="258"/>
      <c r="AA928" s="258"/>
      <c r="AB928" s="258"/>
      <c r="AC928" s="258"/>
      <c r="AD928" s="258"/>
      <c r="AE928" s="258"/>
      <c r="AF928" s="258"/>
      <c r="AG928" s="258"/>
      <c r="AH928" s="270"/>
      <c r="AI928" s="270"/>
      <c r="AQ928" s="259"/>
      <c r="AR928" s="259"/>
      <c r="AS928" s="259"/>
      <c r="AT928" s="259"/>
      <c r="AU928" s="259"/>
      <c r="AV928" s="259"/>
      <c r="AW928" s="259"/>
    </row>
    <row r="929" spans="2:49" ht="15" customHeight="1" x14ac:dyDescent="0.25">
      <c r="B929" s="260"/>
      <c r="C929" s="290"/>
      <c r="D929" s="262"/>
      <c r="E929" s="291"/>
      <c r="F929" s="262"/>
      <c r="G929" s="289"/>
      <c r="H929" s="243"/>
      <c r="I929" s="266"/>
      <c r="K929" s="268"/>
      <c r="L929" s="278"/>
      <c r="M929" s="274"/>
      <c r="N929" s="258"/>
      <c r="O929" s="258"/>
      <c r="P929" s="258"/>
      <c r="Q929" s="276"/>
      <c r="R929" s="272"/>
      <c r="S929" s="272"/>
      <c r="T929" s="272"/>
      <c r="U929" s="272"/>
      <c r="V929" s="272"/>
      <c r="W929" s="272"/>
      <c r="X929" s="272"/>
      <c r="Y929" s="272"/>
      <c r="Z929" s="258"/>
      <c r="AA929" s="258"/>
      <c r="AB929" s="258"/>
      <c r="AC929" s="258"/>
      <c r="AD929" s="258"/>
      <c r="AE929" s="258"/>
      <c r="AF929" s="258"/>
      <c r="AG929" s="258"/>
      <c r="AH929" s="258"/>
      <c r="AQ929" s="259"/>
      <c r="AR929" s="259"/>
      <c r="AS929" s="259"/>
      <c r="AT929" s="259"/>
      <c r="AU929" s="259"/>
      <c r="AV929" s="259"/>
      <c r="AW929" s="259"/>
    </row>
    <row r="930" spans="2:49" ht="15" customHeight="1" x14ac:dyDescent="0.25">
      <c r="B930" s="260"/>
      <c r="D930" s="262"/>
      <c r="G930" s="289"/>
      <c r="H930" s="265"/>
      <c r="I930" s="266"/>
      <c r="K930" s="268"/>
      <c r="L930" s="278"/>
      <c r="M930" s="274"/>
      <c r="N930" s="258"/>
      <c r="O930" s="258"/>
      <c r="P930" s="258"/>
      <c r="Q930" s="276"/>
      <c r="R930" s="272"/>
      <c r="S930" s="272"/>
      <c r="T930" s="272"/>
      <c r="U930" s="272"/>
      <c r="V930" s="272"/>
      <c r="W930" s="272"/>
      <c r="X930" s="272"/>
      <c r="Y930" s="272"/>
      <c r="Z930" s="258"/>
      <c r="AA930" s="258"/>
      <c r="AB930" s="258"/>
      <c r="AC930" s="258"/>
      <c r="AD930" s="258"/>
      <c r="AE930" s="258"/>
      <c r="AF930" s="258"/>
      <c r="AG930" s="258"/>
      <c r="AH930" s="258"/>
      <c r="AQ930" s="259"/>
      <c r="AR930" s="259"/>
      <c r="AS930" s="259"/>
      <c r="AT930" s="259"/>
      <c r="AU930" s="259"/>
      <c r="AV930" s="259"/>
      <c r="AW930" s="259"/>
    </row>
    <row r="931" spans="2:49" ht="15" customHeight="1" x14ac:dyDescent="0.25">
      <c r="B931" s="260"/>
      <c r="D931" s="262"/>
      <c r="G931" s="289"/>
      <c r="H931" s="265"/>
      <c r="I931" s="266"/>
      <c r="K931" s="268"/>
      <c r="L931" s="278"/>
      <c r="M931" s="274"/>
      <c r="N931" s="258"/>
      <c r="O931" s="258"/>
      <c r="P931" s="258"/>
      <c r="Q931" s="276"/>
      <c r="R931" s="272"/>
      <c r="S931" s="272"/>
      <c r="T931" s="272"/>
      <c r="U931" s="272"/>
      <c r="V931" s="272"/>
      <c r="W931" s="272"/>
      <c r="X931" s="272"/>
      <c r="Y931" s="272"/>
      <c r="Z931" s="258"/>
      <c r="AA931" s="258"/>
      <c r="AB931" s="258"/>
      <c r="AC931" s="258"/>
      <c r="AD931" s="258"/>
      <c r="AE931" s="258"/>
      <c r="AF931" s="258"/>
      <c r="AG931" s="258"/>
      <c r="AH931" s="258"/>
      <c r="AQ931" s="259"/>
      <c r="AR931" s="259"/>
      <c r="AS931" s="259"/>
      <c r="AT931" s="259"/>
      <c r="AU931" s="259"/>
      <c r="AV931" s="259"/>
      <c r="AW931" s="259"/>
    </row>
    <row r="932" spans="2:49" ht="15" customHeight="1" x14ac:dyDescent="0.25">
      <c r="B932" s="260"/>
      <c r="D932" s="262"/>
      <c r="G932" s="289"/>
      <c r="H932" s="265"/>
      <c r="I932" s="266"/>
      <c r="K932" s="268"/>
      <c r="L932" s="278"/>
      <c r="M932" s="274"/>
      <c r="N932" s="258"/>
      <c r="O932" s="258"/>
      <c r="P932" s="258"/>
      <c r="Q932" s="276"/>
      <c r="R932" s="272"/>
      <c r="S932" s="272"/>
      <c r="T932" s="272"/>
      <c r="U932" s="272"/>
      <c r="V932" s="272"/>
      <c r="W932" s="272"/>
      <c r="X932" s="272"/>
      <c r="Y932" s="272"/>
      <c r="Z932" s="258"/>
      <c r="AA932" s="258"/>
      <c r="AB932" s="258"/>
      <c r="AC932" s="258"/>
      <c r="AD932" s="258"/>
      <c r="AE932" s="258"/>
      <c r="AF932" s="258"/>
      <c r="AG932" s="258"/>
      <c r="AH932" s="258"/>
      <c r="AQ932" s="259"/>
      <c r="AR932" s="259"/>
      <c r="AS932" s="259"/>
      <c r="AT932" s="259"/>
      <c r="AU932" s="259"/>
      <c r="AV932" s="259"/>
      <c r="AW932" s="259"/>
    </row>
    <row r="933" spans="2:49" ht="15" customHeight="1" x14ac:dyDescent="0.25">
      <c r="B933" s="260"/>
      <c r="D933" s="262"/>
      <c r="G933" s="289"/>
      <c r="H933" s="265"/>
      <c r="I933" s="266"/>
      <c r="K933" s="268"/>
      <c r="L933" s="278"/>
      <c r="M933" s="274"/>
      <c r="N933" s="258"/>
      <c r="O933" s="258"/>
      <c r="P933" s="258"/>
      <c r="Q933" s="276"/>
      <c r="W933" s="272"/>
      <c r="X933" s="272"/>
      <c r="Y933" s="272"/>
      <c r="Z933" s="258"/>
      <c r="AA933" s="258"/>
      <c r="AB933" s="258"/>
      <c r="AC933" s="258"/>
      <c r="AD933" s="258"/>
      <c r="AE933" s="258"/>
      <c r="AF933" s="258"/>
      <c r="AG933" s="258"/>
      <c r="AH933" s="258"/>
      <c r="AQ933" s="259"/>
      <c r="AR933" s="259"/>
      <c r="AS933" s="259"/>
      <c r="AT933" s="259"/>
      <c r="AU933" s="259"/>
      <c r="AV933" s="259"/>
      <c r="AW933" s="259"/>
    </row>
    <row r="934" spans="2:49" ht="15" customHeight="1" x14ac:dyDescent="0.25">
      <c r="B934" s="260"/>
      <c r="D934" s="262"/>
      <c r="G934" s="289"/>
      <c r="H934" s="265"/>
      <c r="I934" s="266"/>
      <c r="K934" s="268"/>
      <c r="L934" s="278"/>
      <c r="M934" s="274"/>
      <c r="N934" s="258"/>
      <c r="O934" s="258"/>
      <c r="P934" s="258"/>
      <c r="Q934" s="276"/>
      <c r="W934" s="272"/>
      <c r="X934" s="272"/>
      <c r="Y934" s="272"/>
      <c r="Z934" s="258"/>
      <c r="AA934" s="258"/>
      <c r="AB934" s="258"/>
      <c r="AC934" s="258"/>
      <c r="AD934" s="258"/>
      <c r="AE934" s="258"/>
      <c r="AF934" s="258"/>
      <c r="AG934" s="258"/>
      <c r="AH934" s="258"/>
      <c r="AQ934" s="259"/>
      <c r="AR934" s="259"/>
      <c r="AS934" s="259"/>
      <c r="AT934" s="259"/>
      <c r="AU934" s="259"/>
      <c r="AV934" s="259"/>
      <c r="AW934" s="259"/>
    </row>
    <row r="935" spans="2:49" ht="15" customHeight="1" x14ac:dyDescent="0.25">
      <c r="B935" s="260"/>
      <c r="D935" s="262"/>
      <c r="G935" s="289"/>
      <c r="H935" s="265"/>
      <c r="I935" s="266"/>
      <c r="K935" s="268"/>
      <c r="L935" s="278"/>
      <c r="M935" s="274"/>
      <c r="N935" s="258"/>
      <c r="O935" s="258"/>
      <c r="P935" s="258"/>
      <c r="Q935" s="276"/>
      <c r="W935" s="272"/>
      <c r="X935" s="272"/>
      <c r="Y935" s="272"/>
      <c r="Z935" s="258"/>
      <c r="AA935" s="258"/>
      <c r="AB935" s="258"/>
      <c r="AC935" s="258"/>
      <c r="AD935" s="258"/>
      <c r="AE935" s="258"/>
      <c r="AF935" s="258"/>
      <c r="AG935" s="258"/>
      <c r="AH935" s="258"/>
      <c r="AQ935" s="259"/>
      <c r="AR935" s="259"/>
      <c r="AS935" s="259"/>
      <c r="AT935" s="259"/>
      <c r="AU935" s="259"/>
      <c r="AV935" s="259"/>
      <c r="AW935" s="259"/>
    </row>
    <row r="936" spans="2:49" ht="15" customHeight="1" x14ac:dyDescent="0.25">
      <c r="B936" s="260"/>
      <c r="D936" s="262"/>
      <c r="G936" s="289"/>
      <c r="H936" s="265"/>
      <c r="I936" s="266"/>
      <c r="K936" s="268"/>
      <c r="L936" s="273"/>
      <c r="M936" s="274"/>
      <c r="N936" s="270"/>
      <c r="O936" s="270"/>
      <c r="P936" s="270"/>
      <c r="Q936" s="275"/>
      <c r="R936" s="272"/>
      <c r="S936" s="272"/>
      <c r="T936" s="272"/>
      <c r="U936" s="272"/>
      <c r="V936" s="272"/>
      <c r="W936" s="272"/>
      <c r="X936" s="272"/>
      <c r="Y936" s="272"/>
      <c r="Z936" s="258"/>
      <c r="AA936" s="258"/>
      <c r="AB936" s="258"/>
      <c r="AC936" s="258"/>
      <c r="AD936" s="258"/>
      <c r="AE936" s="258"/>
      <c r="AF936" s="258"/>
      <c r="AG936" s="258"/>
      <c r="AH936" s="258"/>
      <c r="AI936" s="258"/>
      <c r="AQ936" s="259"/>
      <c r="AR936" s="259"/>
      <c r="AS936" s="259"/>
      <c r="AT936" s="259"/>
      <c r="AU936" s="259"/>
      <c r="AV936" s="259"/>
      <c r="AW936" s="259"/>
    </row>
    <row r="937" spans="2:49" ht="15" customHeight="1" x14ac:dyDescent="0.25">
      <c r="B937" s="260"/>
      <c r="D937" s="262"/>
      <c r="G937" s="289"/>
      <c r="H937" s="265"/>
      <c r="I937" s="266"/>
      <c r="K937" s="268"/>
      <c r="L937" s="273"/>
      <c r="M937" s="274"/>
      <c r="N937" s="258"/>
      <c r="O937" s="258"/>
      <c r="P937" s="258"/>
      <c r="Q937" s="276"/>
      <c r="R937" s="272"/>
      <c r="S937" s="272"/>
      <c r="T937" s="272"/>
      <c r="U937" s="272"/>
      <c r="V937" s="272"/>
      <c r="W937" s="272"/>
      <c r="X937" s="272"/>
      <c r="Y937" s="272"/>
      <c r="Z937" s="258"/>
      <c r="AA937" s="258"/>
      <c r="AB937" s="258"/>
      <c r="AC937" s="258"/>
      <c r="AD937" s="258"/>
      <c r="AE937" s="258"/>
      <c r="AF937" s="258"/>
      <c r="AG937" s="258"/>
      <c r="AH937" s="258"/>
      <c r="AI937" s="258"/>
      <c r="AQ937" s="259"/>
      <c r="AR937" s="259"/>
      <c r="AS937" s="259"/>
      <c r="AT937" s="259"/>
      <c r="AU937" s="259"/>
      <c r="AV937" s="259"/>
      <c r="AW937" s="259"/>
    </row>
    <row r="938" spans="2:49" ht="15" customHeight="1" x14ac:dyDescent="0.25">
      <c r="B938" s="260"/>
      <c r="D938" s="262"/>
      <c r="G938" s="289"/>
      <c r="H938" s="265"/>
      <c r="I938" s="266"/>
      <c r="K938" s="268"/>
      <c r="L938" s="273"/>
      <c r="M938" s="274"/>
      <c r="N938" s="258"/>
      <c r="O938" s="258"/>
      <c r="P938" s="258"/>
      <c r="Q938" s="276"/>
      <c r="R938" s="272"/>
      <c r="S938" s="272"/>
      <c r="T938" s="272"/>
      <c r="U938" s="272"/>
      <c r="V938" s="272"/>
      <c r="W938" s="272"/>
      <c r="X938" s="272"/>
      <c r="Y938" s="272"/>
      <c r="Z938" s="258"/>
      <c r="AA938" s="258"/>
      <c r="AB938" s="258"/>
      <c r="AC938" s="258"/>
      <c r="AD938" s="258"/>
      <c r="AE938" s="258"/>
      <c r="AF938" s="258"/>
      <c r="AG938" s="258"/>
      <c r="AH938" s="270"/>
      <c r="AI938" s="270"/>
      <c r="AQ938" s="259"/>
      <c r="AR938" s="259"/>
      <c r="AS938" s="259"/>
      <c r="AT938" s="259"/>
      <c r="AU938" s="259"/>
      <c r="AV938" s="259"/>
      <c r="AW938" s="259"/>
    </row>
    <row r="939" spans="2:49" ht="15" customHeight="1" x14ac:dyDescent="0.25">
      <c r="B939" s="260"/>
      <c r="D939" s="262"/>
      <c r="G939" s="288"/>
      <c r="H939" s="265"/>
      <c r="I939" s="266"/>
      <c r="K939" s="268"/>
      <c r="L939" s="273"/>
      <c r="M939" s="277"/>
      <c r="N939" s="258"/>
      <c r="O939" s="258"/>
      <c r="P939" s="258"/>
      <c r="Q939" s="276"/>
      <c r="R939" s="272"/>
      <c r="S939" s="272"/>
      <c r="T939" s="272"/>
      <c r="U939" s="272"/>
      <c r="V939" s="272"/>
      <c r="W939" s="272"/>
      <c r="X939" s="272"/>
      <c r="Y939" s="272"/>
      <c r="Z939" s="258"/>
      <c r="AA939" s="258"/>
      <c r="AB939" s="258"/>
      <c r="AC939" s="258"/>
      <c r="AD939" s="258"/>
      <c r="AE939" s="258"/>
      <c r="AF939" s="258"/>
      <c r="AG939" s="258"/>
      <c r="AH939" s="270"/>
      <c r="AI939" s="270"/>
      <c r="AQ939" s="259"/>
      <c r="AR939" s="259"/>
      <c r="AS939" s="259"/>
      <c r="AT939" s="259"/>
      <c r="AU939" s="259"/>
      <c r="AV939" s="259"/>
      <c r="AW939" s="259"/>
    </row>
    <row r="940" spans="2:49" ht="15" customHeight="1" x14ac:dyDescent="0.25">
      <c r="B940" s="260"/>
      <c r="D940" s="262"/>
      <c r="G940" s="288"/>
      <c r="H940" s="265"/>
      <c r="I940" s="266"/>
      <c r="K940" s="268"/>
      <c r="L940" s="278"/>
      <c r="M940" s="274"/>
      <c r="N940" s="258"/>
      <c r="O940" s="258"/>
      <c r="P940" s="258"/>
      <c r="Q940" s="276"/>
      <c r="R940" s="272"/>
      <c r="S940" s="272"/>
      <c r="T940" s="272"/>
      <c r="U940" s="272"/>
      <c r="V940" s="272"/>
      <c r="W940" s="272"/>
      <c r="X940" s="272"/>
      <c r="Y940" s="272"/>
      <c r="Z940" s="258"/>
      <c r="AA940" s="258"/>
      <c r="AB940" s="258"/>
      <c r="AC940" s="258"/>
      <c r="AD940" s="258"/>
      <c r="AE940" s="258"/>
      <c r="AF940" s="258"/>
      <c r="AG940" s="258"/>
      <c r="AH940" s="270"/>
      <c r="AI940" s="270"/>
      <c r="AQ940" s="259"/>
      <c r="AR940" s="259"/>
      <c r="AS940" s="259"/>
      <c r="AT940" s="259"/>
      <c r="AU940" s="259"/>
      <c r="AV940" s="259"/>
      <c r="AW940" s="259"/>
    </row>
    <row r="941" spans="2:49" ht="15" customHeight="1" x14ac:dyDescent="0.25">
      <c r="B941" s="260"/>
      <c r="D941" s="262"/>
      <c r="G941" s="288"/>
      <c r="H941" s="265"/>
      <c r="I941" s="266"/>
      <c r="K941" s="268"/>
      <c r="L941" s="278"/>
      <c r="M941" s="274"/>
      <c r="N941" s="258"/>
      <c r="O941" s="258"/>
      <c r="P941" s="258"/>
      <c r="Q941" s="276"/>
      <c r="R941" s="272"/>
      <c r="S941" s="272"/>
      <c r="T941" s="272"/>
      <c r="U941" s="272"/>
      <c r="V941" s="272"/>
      <c r="W941" s="272"/>
      <c r="X941" s="272"/>
      <c r="Y941" s="272"/>
      <c r="Z941" s="258"/>
      <c r="AA941" s="258"/>
      <c r="AB941" s="258"/>
      <c r="AC941" s="258"/>
      <c r="AD941" s="258"/>
      <c r="AE941" s="258"/>
      <c r="AF941" s="258"/>
      <c r="AG941" s="258"/>
      <c r="AH941" s="258"/>
      <c r="AQ941" s="259"/>
      <c r="AR941" s="259"/>
      <c r="AS941" s="259"/>
      <c r="AT941" s="259"/>
      <c r="AU941" s="259"/>
      <c r="AV941" s="259"/>
      <c r="AW941" s="259"/>
    </row>
    <row r="942" spans="2:49" ht="15" customHeight="1" x14ac:dyDescent="0.25">
      <c r="B942" s="260"/>
      <c r="D942" s="262"/>
      <c r="G942" s="288"/>
      <c r="H942" s="265"/>
      <c r="I942" s="266"/>
      <c r="K942" s="268"/>
      <c r="L942" s="278"/>
      <c r="M942" s="274"/>
      <c r="N942" s="258"/>
      <c r="O942" s="258"/>
      <c r="P942" s="258"/>
      <c r="Q942" s="276"/>
      <c r="R942" s="272"/>
      <c r="S942" s="272"/>
      <c r="T942" s="272"/>
      <c r="U942" s="272"/>
      <c r="V942" s="272"/>
      <c r="W942" s="272"/>
      <c r="X942" s="272"/>
      <c r="Y942" s="272"/>
      <c r="Z942" s="258"/>
      <c r="AA942" s="258"/>
      <c r="AB942" s="258"/>
      <c r="AC942" s="258"/>
      <c r="AD942" s="258"/>
      <c r="AE942" s="258"/>
      <c r="AF942" s="258"/>
      <c r="AG942" s="258"/>
      <c r="AH942" s="258"/>
      <c r="AQ942" s="259"/>
      <c r="AR942" s="259"/>
      <c r="AS942" s="259"/>
      <c r="AT942" s="259"/>
      <c r="AU942" s="259"/>
      <c r="AV942" s="259"/>
      <c r="AW942" s="259"/>
    </row>
    <row r="943" spans="2:49" ht="15" customHeight="1" x14ac:dyDescent="0.25">
      <c r="B943" s="260"/>
      <c r="D943" s="262"/>
      <c r="E943" s="291"/>
      <c r="F943" s="293"/>
      <c r="G943" s="288"/>
      <c r="H943" s="265"/>
      <c r="I943" s="266"/>
      <c r="K943" s="268"/>
      <c r="L943" s="278"/>
      <c r="M943" s="274"/>
      <c r="N943" s="258"/>
      <c r="O943" s="258"/>
      <c r="P943" s="258"/>
      <c r="Q943" s="276"/>
      <c r="R943" s="272"/>
      <c r="S943" s="272"/>
      <c r="T943" s="272"/>
      <c r="U943" s="272"/>
      <c r="V943" s="272"/>
      <c r="W943" s="272"/>
      <c r="X943" s="272"/>
      <c r="Y943" s="272"/>
      <c r="Z943" s="258"/>
      <c r="AA943" s="258"/>
      <c r="AB943" s="258"/>
      <c r="AC943" s="258"/>
      <c r="AD943" s="258"/>
      <c r="AE943" s="258"/>
      <c r="AF943" s="258"/>
      <c r="AG943" s="258"/>
      <c r="AH943" s="258"/>
      <c r="AQ943" s="259"/>
      <c r="AR943" s="259"/>
      <c r="AS943" s="259"/>
      <c r="AT943" s="259"/>
      <c r="AU943" s="259"/>
      <c r="AV943" s="259"/>
      <c r="AW943" s="259"/>
    </row>
    <row r="944" spans="2:49" ht="15" customHeight="1" x14ac:dyDescent="0.25">
      <c r="B944" s="260"/>
      <c r="C944" s="290"/>
      <c r="D944" s="262"/>
      <c r="E944" s="291"/>
      <c r="F944" s="262"/>
      <c r="G944" s="289"/>
      <c r="H944" s="243"/>
      <c r="I944" s="266"/>
      <c r="K944" s="268"/>
      <c r="L944" s="278"/>
      <c r="M944" s="274"/>
      <c r="N944" s="258"/>
      <c r="O944" s="258"/>
      <c r="P944" s="258"/>
      <c r="Q944" s="276"/>
      <c r="R944" s="272"/>
      <c r="S944" s="272"/>
      <c r="T944" s="272"/>
      <c r="U944" s="272"/>
      <c r="V944" s="272"/>
      <c r="W944" s="272"/>
      <c r="X944" s="272"/>
      <c r="Y944" s="272"/>
      <c r="Z944" s="258"/>
      <c r="AA944" s="258"/>
      <c r="AB944" s="258"/>
      <c r="AC944" s="258"/>
      <c r="AD944" s="258"/>
      <c r="AE944" s="258"/>
      <c r="AF944" s="258"/>
      <c r="AG944" s="258"/>
      <c r="AH944" s="258"/>
      <c r="AQ944" s="259"/>
      <c r="AR944" s="259"/>
      <c r="AS944" s="259"/>
      <c r="AT944" s="259"/>
      <c r="AU944" s="259"/>
      <c r="AV944" s="259"/>
      <c r="AW944" s="259"/>
    </row>
    <row r="945" spans="2:49" ht="15" customHeight="1" x14ac:dyDescent="0.25">
      <c r="B945" s="260"/>
      <c r="D945" s="262"/>
      <c r="G945" s="289"/>
      <c r="H945" s="265"/>
      <c r="I945" s="266"/>
      <c r="K945" s="268"/>
      <c r="L945" s="278"/>
      <c r="M945" s="274"/>
      <c r="N945" s="258"/>
      <c r="O945" s="258"/>
      <c r="P945" s="258"/>
      <c r="Q945" s="276"/>
      <c r="W945" s="272"/>
      <c r="X945" s="272"/>
      <c r="Y945" s="272"/>
      <c r="Z945" s="258"/>
      <c r="AA945" s="258"/>
      <c r="AB945" s="258"/>
      <c r="AC945" s="258"/>
      <c r="AD945" s="258"/>
      <c r="AE945" s="258"/>
      <c r="AF945" s="258"/>
      <c r="AG945" s="258"/>
      <c r="AH945" s="258"/>
      <c r="AQ945" s="259"/>
      <c r="AR945" s="259"/>
      <c r="AS945" s="259"/>
      <c r="AT945" s="259"/>
      <c r="AU945" s="259"/>
      <c r="AV945" s="259"/>
      <c r="AW945" s="259"/>
    </row>
    <row r="946" spans="2:49" ht="15" customHeight="1" x14ac:dyDescent="0.25">
      <c r="B946" s="260"/>
      <c r="D946" s="262"/>
      <c r="G946" s="289"/>
      <c r="H946" s="265"/>
      <c r="I946" s="266"/>
      <c r="K946" s="268"/>
      <c r="L946" s="278"/>
      <c r="M946" s="274"/>
      <c r="N946" s="258"/>
      <c r="O946" s="258"/>
      <c r="P946" s="258"/>
      <c r="Q946" s="276"/>
      <c r="W946" s="272"/>
      <c r="X946" s="272"/>
      <c r="Y946" s="272"/>
      <c r="Z946" s="258"/>
      <c r="AA946" s="258"/>
      <c r="AB946" s="258"/>
      <c r="AC946" s="258"/>
      <c r="AD946" s="258"/>
      <c r="AE946" s="258"/>
      <c r="AF946" s="258"/>
      <c r="AG946" s="258"/>
      <c r="AH946" s="258"/>
      <c r="AQ946" s="259"/>
      <c r="AR946" s="259"/>
      <c r="AS946" s="259"/>
      <c r="AT946" s="259"/>
      <c r="AU946" s="259"/>
      <c r="AV946" s="259"/>
      <c r="AW946" s="259"/>
    </row>
    <row r="947" spans="2:49" ht="15" customHeight="1" x14ac:dyDescent="0.25">
      <c r="B947" s="260"/>
      <c r="D947" s="262"/>
      <c r="G947" s="288"/>
      <c r="H947" s="265"/>
      <c r="I947" s="266"/>
      <c r="K947" s="268"/>
      <c r="L947" s="278"/>
      <c r="M947" s="274"/>
      <c r="N947" s="258"/>
      <c r="O947" s="258"/>
      <c r="P947" s="258"/>
      <c r="Q947" s="276"/>
      <c r="W947" s="272"/>
      <c r="X947" s="272"/>
      <c r="Y947" s="272"/>
      <c r="Z947" s="258"/>
      <c r="AA947" s="258"/>
      <c r="AB947" s="258"/>
      <c r="AC947" s="258"/>
      <c r="AD947" s="258"/>
      <c r="AE947" s="258"/>
      <c r="AF947" s="258"/>
      <c r="AG947" s="258"/>
      <c r="AH947" s="258"/>
      <c r="AQ947" s="259"/>
      <c r="AR947" s="259"/>
      <c r="AS947" s="259"/>
      <c r="AT947" s="259"/>
      <c r="AU947" s="259"/>
      <c r="AV947" s="259"/>
      <c r="AW947" s="259"/>
    </row>
    <row r="948" spans="2:49" ht="15" customHeight="1" x14ac:dyDescent="0.25">
      <c r="B948" s="260"/>
      <c r="D948" s="262"/>
      <c r="G948" s="288"/>
      <c r="H948" s="265"/>
      <c r="I948" s="266"/>
      <c r="K948" s="268"/>
      <c r="L948" s="273"/>
      <c r="M948" s="274"/>
      <c r="N948" s="270"/>
      <c r="O948" s="270"/>
      <c r="P948" s="270"/>
      <c r="Q948" s="275"/>
      <c r="R948" s="272"/>
      <c r="S948" s="272"/>
      <c r="T948" s="272"/>
      <c r="U948" s="272"/>
      <c r="V948" s="272"/>
      <c r="W948" s="272"/>
      <c r="X948" s="272"/>
      <c r="Y948" s="272"/>
      <c r="Z948" s="258"/>
      <c r="AA948" s="258"/>
      <c r="AB948" s="258"/>
      <c r="AC948" s="258"/>
      <c r="AD948" s="258"/>
      <c r="AE948" s="258"/>
      <c r="AF948" s="258"/>
      <c r="AG948" s="258"/>
      <c r="AH948" s="258"/>
      <c r="AI948" s="258"/>
      <c r="AQ948" s="259"/>
      <c r="AR948" s="259"/>
      <c r="AS948" s="259"/>
      <c r="AT948" s="259"/>
      <c r="AU948" s="259"/>
      <c r="AV948" s="259"/>
      <c r="AW948" s="259"/>
    </row>
    <row r="949" spans="2:49" ht="15" customHeight="1" x14ac:dyDescent="0.25">
      <c r="B949" s="260"/>
      <c r="D949" s="262"/>
      <c r="G949" s="288"/>
      <c r="H949" s="265"/>
      <c r="I949" s="266"/>
      <c r="K949" s="268"/>
      <c r="L949" s="273"/>
      <c r="M949" s="274"/>
      <c r="N949" s="258"/>
      <c r="O949" s="258"/>
      <c r="P949" s="258"/>
      <c r="Q949" s="276"/>
      <c r="R949" s="272"/>
      <c r="S949" s="272"/>
      <c r="T949" s="272"/>
      <c r="U949" s="272"/>
      <c r="V949" s="272"/>
      <c r="W949" s="272"/>
      <c r="X949" s="272"/>
      <c r="Y949" s="272"/>
      <c r="Z949" s="258"/>
      <c r="AA949" s="258"/>
      <c r="AB949" s="258"/>
      <c r="AC949" s="258"/>
      <c r="AD949" s="258"/>
      <c r="AE949" s="258"/>
      <c r="AF949" s="258"/>
      <c r="AG949" s="258"/>
      <c r="AH949" s="258"/>
      <c r="AI949" s="258"/>
      <c r="AQ949" s="259"/>
      <c r="AR949" s="259"/>
      <c r="AS949" s="259"/>
      <c r="AT949" s="259"/>
      <c r="AU949" s="259"/>
      <c r="AV949" s="259"/>
      <c r="AW949" s="259"/>
    </row>
    <row r="950" spans="2:49" ht="15" customHeight="1" x14ac:dyDescent="0.25">
      <c r="B950" s="260"/>
      <c r="D950" s="262"/>
      <c r="G950" s="288"/>
      <c r="H950" s="265"/>
      <c r="I950" s="266"/>
      <c r="K950" s="268"/>
      <c r="L950" s="273"/>
      <c r="M950" s="274"/>
      <c r="N950" s="258"/>
      <c r="O950" s="258"/>
      <c r="P950" s="258"/>
      <c r="Q950" s="276"/>
      <c r="R950" s="272"/>
      <c r="S950" s="272"/>
      <c r="T950" s="272"/>
      <c r="U950" s="272"/>
      <c r="V950" s="272"/>
      <c r="W950" s="272"/>
      <c r="X950" s="272"/>
      <c r="Y950" s="272"/>
      <c r="Z950" s="258"/>
      <c r="AA950" s="258"/>
      <c r="AB950" s="258"/>
      <c r="AC950" s="258"/>
      <c r="AD950" s="258"/>
      <c r="AE950" s="258"/>
      <c r="AF950" s="258"/>
      <c r="AG950" s="258"/>
      <c r="AH950" s="270"/>
      <c r="AI950" s="270"/>
      <c r="AQ950" s="259"/>
      <c r="AR950" s="259"/>
      <c r="AS950" s="259"/>
      <c r="AT950" s="259"/>
      <c r="AU950" s="259"/>
      <c r="AV950" s="259"/>
      <c r="AW950" s="259"/>
    </row>
    <row r="951" spans="2:49" ht="15" customHeight="1" x14ac:dyDescent="0.25">
      <c r="B951" s="260"/>
      <c r="D951" s="262"/>
      <c r="E951" s="291"/>
      <c r="F951" s="293"/>
      <c r="G951" s="288"/>
      <c r="H951" s="265"/>
      <c r="I951" s="266"/>
      <c r="K951" s="268"/>
      <c r="L951" s="273"/>
      <c r="M951" s="277"/>
      <c r="N951" s="258"/>
      <c r="O951" s="258"/>
      <c r="P951" s="258"/>
      <c r="Q951" s="276"/>
      <c r="R951" s="272"/>
      <c r="S951" s="272"/>
      <c r="T951" s="272"/>
      <c r="U951" s="272"/>
      <c r="V951" s="272"/>
      <c r="W951" s="272"/>
      <c r="X951" s="272"/>
      <c r="Y951" s="272"/>
      <c r="Z951" s="258"/>
      <c r="AA951" s="258"/>
      <c r="AB951" s="258"/>
      <c r="AC951" s="258"/>
      <c r="AD951" s="258"/>
      <c r="AE951" s="258"/>
      <c r="AF951" s="258"/>
      <c r="AG951" s="258"/>
      <c r="AH951" s="270"/>
      <c r="AI951" s="270"/>
      <c r="AQ951" s="259"/>
      <c r="AR951" s="259"/>
      <c r="AS951" s="259"/>
      <c r="AT951" s="259"/>
      <c r="AU951" s="259"/>
      <c r="AV951" s="259"/>
      <c r="AW951" s="259"/>
    </row>
    <row r="952" spans="2:49" ht="15" customHeight="1" x14ac:dyDescent="0.25">
      <c r="B952" s="260"/>
      <c r="C952" s="290"/>
      <c r="D952" s="262"/>
      <c r="E952" s="291"/>
      <c r="F952" s="262"/>
      <c r="G952" s="289"/>
      <c r="H952" s="243"/>
      <c r="I952" s="266"/>
      <c r="K952" s="268"/>
      <c r="L952" s="278"/>
      <c r="M952" s="274"/>
      <c r="N952" s="258"/>
      <c r="O952" s="258"/>
      <c r="P952" s="258"/>
      <c r="Q952" s="276"/>
      <c r="R952" s="272"/>
      <c r="S952" s="272"/>
      <c r="T952" s="272"/>
      <c r="U952" s="272"/>
      <c r="V952" s="272"/>
      <c r="W952" s="272"/>
      <c r="X952" s="272"/>
      <c r="Y952" s="272"/>
      <c r="Z952" s="258"/>
      <c r="AA952" s="258"/>
      <c r="AB952" s="258"/>
      <c r="AC952" s="258"/>
      <c r="AD952" s="258"/>
      <c r="AE952" s="258"/>
      <c r="AF952" s="258"/>
      <c r="AG952" s="258"/>
      <c r="AH952" s="270"/>
      <c r="AI952" s="270"/>
      <c r="AQ952" s="259"/>
      <c r="AR952" s="259"/>
      <c r="AS952" s="259"/>
      <c r="AT952" s="259"/>
      <c r="AU952" s="259"/>
      <c r="AV952" s="259"/>
      <c r="AW952" s="259"/>
    </row>
    <row r="953" spans="2:49" ht="15" customHeight="1" x14ac:dyDescent="0.25">
      <c r="B953" s="260"/>
      <c r="D953" s="262"/>
      <c r="G953" s="289"/>
      <c r="H953" s="265"/>
      <c r="I953" s="266"/>
      <c r="K953" s="268"/>
      <c r="L953" s="278"/>
      <c r="M953" s="274"/>
      <c r="N953" s="258"/>
      <c r="O953" s="258"/>
      <c r="P953" s="258"/>
      <c r="Q953" s="276"/>
      <c r="R953" s="272"/>
      <c r="S953" s="272"/>
      <c r="T953" s="272"/>
      <c r="U953" s="272"/>
      <c r="V953" s="272"/>
      <c r="W953" s="272"/>
      <c r="X953" s="272"/>
      <c r="Y953" s="272"/>
      <c r="Z953" s="258"/>
      <c r="AA953" s="258"/>
      <c r="AB953" s="258"/>
      <c r="AC953" s="258"/>
      <c r="AD953" s="258"/>
      <c r="AE953" s="258"/>
      <c r="AF953" s="258"/>
      <c r="AG953" s="258"/>
      <c r="AH953" s="258"/>
      <c r="AQ953" s="259"/>
      <c r="AR953" s="259"/>
      <c r="AS953" s="259"/>
      <c r="AT953" s="259"/>
      <c r="AU953" s="259"/>
      <c r="AV953" s="259"/>
      <c r="AW953" s="259"/>
    </row>
    <row r="954" spans="2:49" ht="15" customHeight="1" x14ac:dyDescent="0.25">
      <c r="B954" s="260"/>
      <c r="D954" s="262"/>
      <c r="G954" s="289"/>
      <c r="H954" s="265"/>
      <c r="I954" s="266"/>
      <c r="K954" s="268"/>
      <c r="L954" s="278"/>
      <c r="M954" s="274"/>
      <c r="N954" s="258"/>
      <c r="O954" s="258"/>
      <c r="P954" s="258"/>
      <c r="Q954" s="276"/>
      <c r="R954" s="272"/>
      <c r="S954" s="272"/>
      <c r="T954" s="272"/>
      <c r="U954" s="272"/>
      <c r="V954" s="272"/>
      <c r="W954" s="272"/>
      <c r="X954" s="272"/>
      <c r="Y954" s="272"/>
      <c r="Z954" s="258"/>
      <c r="AA954" s="258"/>
      <c r="AB954" s="258"/>
      <c r="AC954" s="258"/>
      <c r="AD954" s="258"/>
      <c r="AE954" s="258"/>
      <c r="AF954" s="258"/>
      <c r="AG954" s="258"/>
      <c r="AH954" s="258"/>
      <c r="AQ954" s="259"/>
      <c r="AR954" s="259"/>
      <c r="AS954" s="259"/>
      <c r="AT954" s="259"/>
      <c r="AU954" s="259"/>
      <c r="AV954" s="259"/>
      <c r="AW954" s="259"/>
    </row>
    <row r="955" spans="2:49" ht="15" customHeight="1" x14ac:dyDescent="0.25">
      <c r="B955" s="260"/>
      <c r="D955" s="262"/>
      <c r="G955" s="289"/>
      <c r="H955" s="265"/>
      <c r="I955" s="266"/>
      <c r="K955" s="268"/>
      <c r="L955" s="278"/>
      <c r="M955" s="274"/>
      <c r="N955" s="258"/>
      <c r="O955" s="258"/>
      <c r="P955" s="258"/>
      <c r="Q955" s="276"/>
      <c r="R955" s="272"/>
      <c r="S955" s="272"/>
      <c r="T955" s="272"/>
      <c r="U955" s="272"/>
      <c r="V955" s="272"/>
      <c r="W955" s="272"/>
      <c r="X955" s="272"/>
      <c r="Y955" s="272"/>
      <c r="Z955" s="258"/>
      <c r="AA955" s="258"/>
      <c r="AB955" s="258"/>
      <c r="AC955" s="258"/>
      <c r="AD955" s="258"/>
      <c r="AE955" s="258"/>
      <c r="AF955" s="258"/>
      <c r="AG955" s="258"/>
      <c r="AH955" s="258"/>
      <c r="AQ955" s="259"/>
      <c r="AR955" s="259"/>
      <c r="AS955" s="259"/>
      <c r="AT955" s="259"/>
      <c r="AU955" s="259"/>
      <c r="AV955" s="259"/>
      <c r="AW955" s="259"/>
    </row>
    <row r="956" spans="2:49" ht="15" customHeight="1" x14ac:dyDescent="0.25">
      <c r="B956" s="260"/>
      <c r="D956" s="262"/>
      <c r="G956" s="289"/>
      <c r="H956" s="265"/>
      <c r="I956" s="266"/>
      <c r="K956" s="268"/>
      <c r="L956" s="278"/>
      <c r="M956" s="274"/>
      <c r="N956" s="258"/>
      <c r="O956" s="258"/>
      <c r="P956" s="258"/>
      <c r="Q956" s="276"/>
      <c r="R956" s="272"/>
      <c r="S956" s="272"/>
      <c r="T956" s="272"/>
      <c r="U956" s="272"/>
      <c r="V956" s="272"/>
      <c r="W956" s="272"/>
      <c r="X956" s="272"/>
      <c r="Y956" s="272"/>
      <c r="Z956" s="258"/>
      <c r="AA956" s="258"/>
      <c r="AB956" s="258"/>
      <c r="AC956" s="258"/>
      <c r="AD956" s="258"/>
      <c r="AE956" s="258"/>
      <c r="AF956" s="258"/>
      <c r="AG956" s="258"/>
      <c r="AH956" s="258"/>
      <c r="AQ956" s="259"/>
      <c r="AR956" s="259"/>
      <c r="AS956" s="259"/>
      <c r="AT956" s="259"/>
      <c r="AU956" s="259"/>
      <c r="AV956" s="259"/>
      <c r="AW956" s="259"/>
    </row>
    <row r="957" spans="2:49" ht="15" customHeight="1" x14ac:dyDescent="0.25">
      <c r="B957" s="260"/>
      <c r="D957" s="262"/>
      <c r="G957" s="289"/>
      <c r="H957" s="265"/>
      <c r="I957" s="266"/>
      <c r="K957" s="268"/>
      <c r="L957" s="278"/>
      <c r="M957" s="274"/>
      <c r="N957" s="258"/>
      <c r="O957" s="258"/>
      <c r="P957" s="258"/>
      <c r="Q957" s="276"/>
      <c r="W957" s="272"/>
      <c r="X957" s="272"/>
      <c r="Y957" s="272"/>
      <c r="Z957" s="258"/>
      <c r="AA957" s="258"/>
      <c r="AB957" s="258"/>
      <c r="AC957" s="258"/>
      <c r="AD957" s="258"/>
      <c r="AE957" s="258"/>
      <c r="AF957" s="258"/>
      <c r="AG957" s="258"/>
      <c r="AH957" s="258"/>
      <c r="AQ957" s="259"/>
      <c r="AR957" s="259"/>
      <c r="AS957" s="259"/>
      <c r="AT957" s="259"/>
      <c r="AU957" s="259"/>
      <c r="AV957" s="259"/>
      <c r="AW957" s="259"/>
    </row>
    <row r="958" spans="2:49" ht="15" customHeight="1" x14ac:dyDescent="0.25">
      <c r="B958" s="260"/>
      <c r="D958" s="262"/>
      <c r="G958" s="289"/>
      <c r="H958" s="265"/>
      <c r="I958" s="266"/>
      <c r="K958" s="268"/>
      <c r="L958" s="278"/>
      <c r="M958" s="274"/>
      <c r="N958" s="258"/>
      <c r="O958" s="258"/>
      <c r="P958" s="258"/>
      <c r="Q958" s="276"/>
      <c r="W958" s="272"/>
      <c r="X958" s="272"/>
      <c r="Y958" s="272"/>
      <c r="Z958" s="258"/>
      <c r="AA958" s="258"/>
      <c r="AB958" s="258"/>
      <c r="AC958" s="258"/>
      <c r="AD958" s="258"/>
      <c r="AE958" s="258"/>
      <c r="AF958" s="258"/>
      <c r="AG958" s="258"/>
      <c r="AH958" s="258"/>
      <c r="AQ958" s="259"/>
      <c r="AR958" s="259"/>
      <c r="AS958" s="259"/>
      <c r="AT958" s="259"/>
      <c r="AU958" s="259"/>
      <c r="AV958" s="259"/>
      <c r="AW958" s="259"/>
    </row>
    <row r="959" spans="2:49" ht="15" customHeight="1" x14ac:dyDescent="0.25">
      <c r="B959" s="260"/>
      <c r="D959" s="262"/>
      <c r="G959" s="288"/>
      <c r="H959" s="265"/>
      <c r="I959" s="266"/>
      <c r="K959" s="268"/>
      <c r="L959" s="278"/>
      <c r="M959" s="274"/>
      <c r="N959" s="258"/>
      <c r="O959" s="258"/>
      <c r="P959" s="258"/>
      <c r="Q959" s="276"/>
      <c r="W959" s="272"/>
      <c r="X959" s="272"/>
      <c r="Y959" s="272"/>
      <c r="Z959" s="258"/>
      <c r="AA959" s="258"/>
      <c r="AB959" s="258"/>
      <c r="AC959" s="258"/>
      <c r="AD959" s="258"/>
      <c r="AE959" s="258"/>
      <c r="AF959" s="258"/>
      <c r="AG959" s="258"/>
      <c r="AH959" s="258"/>
      <c r="AQ959" s="259"/>
      <c r="AR959" s="259"/>
      <c r="AS959" s="259"/>
      <c r="AT959" s="259"/>
      <c r="AU959" s="259"/>
      <c r="AV959" s="259"/>
      <c r="AW959" s="259"/>
    </row>
    <row r="960" spans="2:49" ht="15" customHeight="1" x14ac:dyDescent="0.25">
      <c r="B960" s="260"/>
      <c r="D960" s="262"/>
      <c r="G960" s="288"/>
      <c r="H960" s="265"/>
      <c r="I960" s="266"/>
      <c r="K960" s="268"/>
      <c r="L960" s="273"/>
      <c r="M960" s="274"/>
      <c r="N960" s="270"/>
      <c r="O960" s="270"/>
      <c r="P960" s="270"/>
      <c r="Q960" s="275"/>
      <c r="R960" s="272"/>
      <c r="S960" s="272"/>
      <c r="T960" s="272"/>
      <c r="U960" s="272"/>
      <c r="V960" s="272"/>
      <c r="W960" s="272"/>
      <c r="X960" s="272"/>
      <c r="Y960" s="272"/>
      <c r="Z960" s="258"/>
      <c r="AA960" s="258"/>
      <c r="AB960" s="258"/>
      <c r="AC960" s="258"/>
      <c r="AD960" s="258"/>
      <c r="AE960" s="258"/>
      <c r="AF960" s="258"/>
      <c r="AG960" s="258"/>
      <c r="AH960" s="258"/>
      <c r="AI960" s="258"/>
      <c r="AQ960" s="259"/>
      <c r="AR960" s="259"/>
      <c r="AS960" s="259"/>
      <c r="AT960" s="259"/>
      <c r="AU960" s="259"/>
      <c r="AV960" s="259"/>
      <c r="AW960" s="259"/>
    </row>
    <row r="961" spans="2:49" ht="15" customHeight="1" x14ac:dyDescent="0.25">
      <c r="B961" s="260"/>
      <c r="D961" s="262"/>
      <c r="G961" s="288"/>
      <c r="H961" s="265"/>
      <c r="I961" s="266"/>
      <c r="K961" s="268"/>
      <c r="L961" s="273"/>
      <c r="M961" s="274"/>
      <c r="N961" s="258"/>
      <c r="O961" s="258"/>
      <c r="P961" s="258"/>
      <c r="Q961" s="276"/>
      <c r="R961" s="272"/>
      <c r="S961" s="272"/>
      <c r="T961" s="272"/>
      <c r="U961" s="272"/>
      <c r="V961" s="272"/>
      <c r="W961" s="272"/>
      <c r="X961" s="272"/>
      <c r="Y961" s="272"/>
      <c r="Z961" s="258"/>
      <c r="AA961" s="258"/>
      <c r="AB961" s="258"/>
      <c r="AC961" s="258"/>
      <c r="AD961" s="258"/>
      <c r="AE961" s="258"/>
      <c r="AF961" s="258"/>
      <c r="AG961" s="258"/>
      <c r="AH961" s="258"/>
      <c r="AI961" s="258"/>
      <c r="AQ961" s="259"/>
      <c r="AR961" s="259"/>
      <c r="AS961" s="259"/>
      <c r="AT961" s="259"/>
      <c r="AU961" s="259"/>
      <c r="AV961" s="259"/>
      <c r="AW961" s="259"/>
    </row>
    <row r="962" spans="2:49" ht="15" customHeight="1" x14ac:dyDescent="0.25">
      <c r="B962" s="260"/>
      <c r="D962" s="262"/>
      <c r="G962" s="288"/>
      <c r="H962" s="265"/>
      <c r="I962" s="266"/>
      <c r="K962" s="268"/>
      <c r="L962" s="273"/>
      <c r="M962" s="274"/>
      <c r="N962" s="258"/>
      <c r="O962" s="258"/>
      <c r="P962" s="258"/>
      <c r="Q962" s="276"/>
      <c r="R962" s="272"/>
      <c r="S962" s="272"/>
      <c r="T962" s="272"/>
      <c r="U962" s="272"/>
      <c r="V962" s="272"/>
      <c r="W962" s="272"/>
      <c r="X962" s="272"/>
      <c r="Y962" s="272"/>
      <c r="Z962" s="258"/>
      <c r="AA962" s="258"/>
      <c r="AB962" s="258"/>
      <c r="AC962" s="258"/>
      <c r="AD962" s="258"/>
      <c r="AE962" s="258"/>
      <c r="AF962" s="258"/>
      <c r="AG962" s="258"/>
      <c r="AH962" s="270"/>
      <c r="AI962" s="270"/>
      <c r="AQ962" s="259"/>
      <c r="AR962" s="259"/>
      <c r="AS962" s="259"/>
      <c r="AT962" s="259"/>
      <c r="AU962" s="259"/>
      <c r="AV962" s="259"/>
      <c r="AW962" s="259"/>
    </row>
    <row r="963" spans="2:49" ht="15" customHeight="1" x14ac:dyDescent="0.25">
      <c r="B963" s="260"/>
      <c r="D963" s="262"/>
      <c r="E963" s="291"/>
      <c r="F963" s="293"/>
      <c r="G963" s="288"/>
      <c r="H963" s="265"/>
      <c r="I963" s="266"/>
      <c r="K963" s="268"/>
      <c r="L963" s="273"/>
      <c r="M963" s="277"/>
      <c r="N963" s="258"/>
      <c r="O963" s="258"/>
      <c r="P963" s="258"/>
      <c r="Q963" s="276"/>
      <c r="R963" s="272"/>
      <c r="S963" s="272"/>
      <c r="T963" s="272"/>
      <c r="U963" s="272"/>
      <c r="V963" s="272"/>
      <c r="W963" s="272"/>
      <c r="X963" s="272"/>
      <c r="Y963" s="272"/>
      <c r="Z963" s="258"/>
      <c r="AA963" s="258"/>
      <c r="AB963" s="258"/>
      <c r="AC963" s="258"/>
      <c r="AD963" s="258"/>
      <c r="AE963" s="258"/>
      <c r="AF963" s="258"/>
      <c r="AG963" s="258"/>
      <c r="AH963" s="270"/>
      <c r="AI963" s="270"/>
      <c r="AQ963" s="259"/>
      <c r="AR963" s="259"/>
      <c r="AS963" s="259"/>
      <c r="AT963" s="259"/>
      <c r="AU963" s="259"/>
      <c r="AV963" s="259"/>
      <c r="AW963" s="259"/>
    </row>
    <row r="964" spans="2:49" ht="15" customHeight="1" x14ac:dyDescent="0.25">
      <c r="B964" s="260"/>
      <c r="C964" s="290"/>
      <c r="D964" s="262"/>
      <c r="E964" s="291"/>
      <c r="F964" s="262"/>
      <c r="G964" s="289"/>
      <c r="H964" s="243"/>
      <c r="I964" s="266"/>
      <c r="K964" s="268"/>
      <c r="L964" s="278"/>
      <c r="M964" s="274"/>
      <c r="N964" s="258"/>
      <c r="O964" s="258"/>
      <c r="P964" s="258"/>
      <c r="Q964" s="276"/>
      <c r="R964" s="272"/>
      <c r="S964" s="272"/>
      <c r="T964" s="272"/>
      <c r="U964" s="272"/>
      <c r="V964" s="272"/>
      <c r="W964" s="272"/>
      <c r="X964" s="272"/>
      <c r="Y964" s="272"/>
      <c r="Z964" s="258"/>
      <c r="AA964" s="258"/>
      <c r="AB964" s="258"/>
      <c r="AC964" s="258"/>
      <c r="AD964" s="258"/>
      <c r="AE964" s="258"/>
      <c r="AF964" s="258"/>
      <c r="AG964" s="258"/>
      <c r="AH964" s="270"/>
      <c r="AI964" s="270"/>
      <c r="AQ964" s="259"/>
      <c r="AR964" s="259"/>
      <c r="AS964" s="259"/>
      <c r="AT964" s="259"/>
      <c r="AU964" s="259"/>
      <c r="AV964" s="259"/>
      <c r="AW964" s="259"/>
    </row>
    <row r="965" spans="2:49" ht="15" customHeight="1" x14ac:dyDescent="0.25">
      <c r="B965" s="260"/>
      <c r="D965" s="262"/>
      <c r="G965" s="289"/>
      <c r="H965" s="265"/>
      <c r="I965" s="266"/>
      <c r="K965" s="268"/>
      <c r="L965" s="278"/>
      <c r="M965" s="274"/>
      <c r="N965" s="258"/>
      <c r="O965" s="258"/>
      <c r="P965" s="258"/>
      <c r="Q965" s="276"/>
      <c r="R965" s="272"/>
      <c r="S965" s="272"/>
      <c r="T965" s="272"/>
      <c r="U965" s="272"/>
      <c r="V965" s="272"/>
      <c r="W965" s="272"/>
      <c r="X965" s="272"/>
      <c r="Y965" s="272"/>
      <c r="Z965" s="258"/>
      <c r="AA965" s="258"/>
      <c r="AB965" s="258"/>
      <c r="AC965" s="258"/>
      <c r="AD965" s="258"/>
      <c r="AE965" s="258"/>
      <c r="AF965" s="258"/>
      <c r="AG965" s="258"/>
      <c r="AH965" s="258"/>
      <c r="AQ965" s="259"/>
      <c r="AR965" s="259"/>
      <c r="AS965" s="259"/>
      <c r="AT965" s="259"/>
      <c r="AU965" s="259"/>
      <c r="AV965" s="259"/>
      <c r="AW965" s="259"/>
    </row>
    <row r="966" spans="2:49" ht="15" customHeight="1" x14ac:dyDescent="0.25">
      <c r="B966" s="260"/>
      <c r="D966" s="262"/>
      <c r="G966" s="289"/>
      <c r="H966" s="265"/>
      <c r="I966" s="266"/>
      <c r="K966" s="268"/>
      <c r="L966" s="278"/>
      <c r="M966" s="274"/>
      <c r="N966" s="258"/>
      <c r="O966" s="258"/>
      <c r="P966" s="258"/>
      <c r="Q966" s="276"/>
      <c r="R966" s="272"/>
      <c r="S966" s="272"/>
      <c r="T966" s="272"/>
      <c r="U966" s="272"/>
      <c r="V966" s="272"/>
      <c r="W966" s="272"/>
      <c r="X966" s="272"/>
      <c r="Y966" s="272"/>
      <c r="Z966" s="258"/>
      <c r="AA966" s="258"/>
      <c r="AB966" s="258"/>
      <c r="AC966" s="258"/>
      <c r="AD966" s="258"/>
      <c r="AE966" s="258"/>
      <c r="AF966" s="258"/>
      <c r="AG966" s="258"/>
      <c r="AH966" s="258"/>
      <c r="AQ966" s="259"/>
      <c r="AR966" s="259"/>
      <c r="AS966" s="259"/>
      <c r="AT966" s="259"/>
      <c r="AU966" s="259"/>
      <c r="AV966" s="259"/>
      <c r="AW966" s="259"/>
    </row>
    <row r="967" spans="2:49" ht="15" customHeight="1" x14ac:dyDescent="0.25">
      <c r="B967" s="260"/>
      <c r="D967" s="262"/>
      <c r="G967" s="289"/>
      <c r="H967" s="265"/>
      <c r="I967" s="266"/>
      <c r="K967" s="268"/>
      <c r="L967" s="278"/>
      <c r="M967" s="274"/>
      <c r="N967" s="258"/>
      <c r="O967" s="258"/>
      <c r="P967" s="258"/>
      <c r="Q967" s="276"/>
      <c r="R967" s="272"/>
      <c r="S967" s="272"/>
      <c r="T967" s="272"/>
      <c r="U967" s="272"/>
      <c r="V967" s="272"/>
      <c r="W967" s="272"/>
      <c r="X967" s="272"/>
      <c r="Y967" s="272"/>
      <c r="Z967" s="258"/>
      <c r="AA967" s="258"/>
      <c r="AB967" s="258"/>
      <c r="AC967" s="258"/>
      <c r="AD967" s="258"/>
      <c r="AE967" s="258"/>
      <c r="AF967" s="258"/>
      <c r="AG967" s="258"/>
      <c r="AH967" s="258"/>
      <c r="AQ967" s="259"/>
      <c r="AR967" s="259"/>
      <c r="AS967" s="259"/>
      <c r="AT967" s="259"/>
      <c r="AU967" s="259"/>
      <c r="AV967" s="259"/>
      <c r="AW967" s="259"/>
    </row>
    <row r="968" spans="2:49" ht="15" customHeight="1" x14ac:dyDescent="0.25">
      <c r="B968" s="260"/>
      <c r="D968" s="262"/>
      <c r="G968" s="289"/>
      <c r="H968" s="265"/>
      <c r="I968" s="266"/>
      <c r="K968" s="268"/>
      <c r="L968" s="278"/>
      <c r="M968" s="274"/>
      <c r="N968" s="258"/>
      <c r="O968" s="258"/>
      <c r="P968" s="258"/>
      <c r="Q968" s="276"/>
      <c r="R968" s="272"/>
      <c r="S968" s="272"/>
      <c r="T968" s="272"/>
      <c r="U968" s="272"/>
      <c r="V968" s="272"/>
      <c r="W968" s="272"/>
      <c r="X968" s="272"/>
      <c r="Y968" s="272"/>
      <c r="Z968" s="258"/>
      <c r="AA968" s="258"/>
      <c r="AB968" s="258"/>
      <c r="AC968" s="258"/>
      <c r="AD968" s="258"/>
      <c r="AE968" s="258"/>
      <c r="AF968" s="258"/>
      <c r="AG968" s="258"/>
      <c r="AH968" s="258"/>
      <c r="AQ968" s="259"/>
      <c r="AR968" s="259"/>
      <c r="AS968" s="259"/>
      <c r="AT968" s="259"/>
      <c r="AU968" s="259"/>
      <c r="AV968" s="259"/>
      <c r="AW968" s="259"/>
    </row>
    <row r="969" spans="2:49" ht="15" customHeight="1" x14ac:dyDescent="0.25">
      <c r="B969" s="260"/>
      <c r="D969" s="262"/>
      <c r="G969" s="288"/>
      <c r="H969" s="265"/>
      <c r="I969" s="266"/>
      <c r="K969" s="268"/>
      <c r="L969" s="278"/>
      <c r="M969" s="274"/>
      <c r="N969" s="258"/>
      <c r="O969" s="258"/>
      <c r="P969" s="258"/>
      <c r="Q969" s="276"/>
      <c r="W969" s="272"/>
      <c r="X969" s="272"/>
      <c r="Y969" s="272"/>
      <c r="Z969" s="258"/>
      <c r="AA969" s="258"/>
      <c r="AB969" s="258"/>
      <c r="AC969" s="258"/>
      <c r="AD969" s="258"/>
      <c r="AE969" s="258"/>
      <c r="AF969" s="258"/>
      <c r="AG969" s="258"/>
      <c r="AH969" s="258"/>
      <c r="AQ969" s="259"/>
      <c r="AR969" s="259"/>
      <c r="AS969" s="259"/>
      <c r="AT969" s="259"/>
      <c r="AU969" s="259"/>
      <c r="AV969" s="259"/>
      <c r="AW969" s="259"/>
    </row>
    <row r="970" spans="2:49" ht="15" customHeight="1" x14ac:dyDescent="0.25">
      <c r="B970" s="260"/>
      <c r="D970" s="262"/>
      <c r="G970" s="289"/>
      <c r="H970" s="265"/>
      <c r="I970" s="266"/>
      <c r="K970" s="268"/>
      <c r="L970" s="278"/>
      <c r="M970" s="274"/>
      <c r="N970" s="258"/>
      <c r="O970" s="258"/>
      <c r="P970" s="258"/>
      <c r="Q970" s="276"/>
      <c r="W970" s="272"/>
      <c r="X970" s="272"/>
      <c r="Y970" s="272"/>
      <c r="Z970" s="258"/>
      <c r="AA970" s="258"/>
      <c r="AB970" s="258"/>
      <c r="AC970" s="258"/>
      <c r="AD970" s="258"/>
      <c r="AE970" s="258"/>
      <c r="AF970" s="258"/>
      <c r="AG970" s="258"/>
      <c r="AH970" s="258"/>
      <c r="AQ970" s="259"/>
      <c r="AR970" s="259"/>
      <c r="AS970" s="259"/>
      <c r="AT970" s="259"/>
      <c r="AU970" s="259"/>
      <c r="AV970" s="259"/>
      <c r="AW970" s="259"/>
    </row>
    <row r="971" spans="2:49" ht="15" customHeight="1" x14ac:dyDescent="0.25">
      <c r="B971" s="260"/>
      <c r="D971" s="262"/>
      <c r="G971" s="289"/>
      <c r="H971" s="265"/>
      <c r="I971" s="266"/>
      <c r="K971" s="268"/>
      <c r="L971" s="278"/>
      <c r="M971" s="274"/>
      <c r="N971" s="258"/>
      <c r="O971" s="258"/>
      <c r="P971" s="258"/>
      <c r="Q971" s="276"/>
      <c r="W971" s="272"/>
      <c r="X971" s="272"/>
      <c r="Y971" s="272"/>
      <c r="Z971" s="258"/>
      <c r="AA971" s="258"/>
      <c r="AB971" s="258"/>
      <c r="AC971" s="258"/>
      <c r="AD971" s="258"/>
      <c r="AE971" s="258"/>
      <c r="AF971" s="258"/>
      <c r="AG971" s="258"/>
      <c r="AH971" s="258"/>
      <c r="AQ971" s="259"/>
      <c r="AR971" s="259"/>
      <c r="AS971" s="259"/>
      <c r="AT971" s="259"/>
      <c r="AU971" s="259"/>
      <c r="AV971" s="259"/>
      <c r="AW971" s="259"/>
    </row>
    <row r="972" spans="2:49" ht="15" customHeight="1" x14ac:dyDescent="0.25">
      <c r="B972" s="260"/>
      <c r="D972" s="262"/>
      <c r="G972" s="289"/>
      <c r="H972" s="265"/>
      <c r="I972" s="266"/>
      <c r="K972" s="268"/>
      <c r="L972" s="273"/>
      <c r="M972" s="274"/>
      <c r="N972" s="270"/>
      <c r="O972" s="270"/>
      <c r="P972" s="270"/>
      <c r="Q972" s="275"/>
      <c r="R972" s="272"/>
      <c r="S972" s="272"/>
      <c r="T972" s="272"/>
      <c r="U972" s="272"/>
      <c r="V972" s="272"/>
      <c r="W972" s="272"/>
      <c r="X972" s="272"/>
      <c r="Y972" s="272"/>
      <c r="Z972" s="258"/>
      <c r="AA972" s="258"/>
      <c r="AB972" s="258"/>
      <c r="AC972" s="258"/>
      <c r="AD972" s="258"/>
      <c r="AE972" s="258"/>
      <c r="AF972" s="258"/>
      <c r="AG972" s="258"/>
      <c r="AH972" s="258"/>
      <c r="AI972" s="258"/>
      <c r="AQ972" s="259"/>
      <c r="AR972" s="259"/>
      <c r="AS972" s="259"/>
      <c r="AT972" s="259"/>
      <c r="AU972" s="259"/>
      <c r="AV972" s="259"/>
      <c r="AW972" s="259"/>
    </row>
    <row r="973" spans="2:49" ht="15" customHeight="1" x14ac:dyDescent="0.25">
      <c r="B973" s="260"/>
      <c r="D973" s="262"/>
      <c r="G973" s="288"/>
      <c r="H973" s="265"/>
      <c r="I973" s="266"/>
      <c r="K973" s="268"/>
      <c r="L973" s="273"/>
      <c r="M973" s="274"/>
      <c r="N973" s="258"/>
      <c r="O973" s="258"/>
      <c r="P973" s="258"/>
      <c r="Q973" s="276"/>
      <c r="R973" s="272"/>
      <c r="S973" s="272"/>
      <c r="T973" s="272"/>
      <c r="U973" s="272"/>
      <c r="V973" s="272"/>
      <c r="W973" s="272"/>
      <c r="X973" s="272"/>
      <c r="Y973" s="272"/>
      <c r="Z973" s="258"/>
      <c r="AA973" s="258"/>
      <c r="AB973" s="258"/>
      <c r="AC973" s="258"/>
      <c r="AD973" s="258"/>
      <c r="AE973" s="258"/>
      <c r="AF973" s="258"/>
      <c r="AG973" s="258"/>
      <c r="AH973" s="258"/>
      <c r="AI973" s="258"/>
      <c r="AQ973" s="259"/>
      <c r="AR973" s="259"/>
      <c r="AS973" s="259"/>
      <c r="AT973" s="259"/>
      <c r="AU973" s="259"/>
      <c r="AV973" s="259"/>
      <c r="AW973" s="259"/>
    </row>
    <row r="974" spans="2:49" ht="15" customHeight="1" x14ac:dyDescent="0.25">
      <c r="B974" s="260"/>
      <c r="D974" s="262"/>
      <c r="G974" s="288"/>
      <c r="H974" s="265"/>
      <c r="I974" s="266"/>
      <c r="K974" s="268"/>
      <c r="L974" s="273"/>
      <c r="M974" s="274"/>
      <c r="N974" s="258"/>
      <c r="O974" s="258"/>
      <c r="P974" s="258"/>
      <c r="Q974" s="276"/>
      <c r="R974" s="272"/>
      <c r="S974" s="272"/>
      <c r="T974" s="272"/>
      <c r="U974" s="272"/>
      <c r="V974" s="272"/>
      <c r="W974" s="272"/>
      <c r="X974" s="272"/>
      <c r="Y974" s="272"/>
      <c r="Z974" s="258"/>
      <c r="AA974" s="258"/>
      <c r="AB974" s="258"/>
      <c r="AC974" s="258"/>
      <c r="AD974" s="258"/>
      <c r="AE974" s="258"/>
      <c r="AF974" s="258"/>
      <c r="AG974" s="258"/>
      <c r="AH974" s="270"/>
      <c r="AI974" s="270"/>
      <c r="AQ974" s="259"/>
      <c r="AR974" s="259"/>
      <c r="AS974" s="259"/>
      <c r="AT974" s="259"/>
      <c r="AU974" s="259"/>
      <c r="AV974" s="259"/>
      <c r="AW974" s="259"/>
    </row>
    <row r="975" spans="2:49" ht="15" customHeight="1" x14ac:dyDescent="0.25">
      <c r="B975" s="260"/>
      <c r="D975" s="262"/>
      <c r="E975" s="291"/>
      <c r="F975" s="293"/>
      <c r="G975" s="288"/>
      <c r="H975" s="265"/>
      <c r="I975" s="266"/>
      <c r="K975" s="268"/>
      <c r="L975" s="273"/>
      <c r="M975" s="277"/>
      <c r="N975" s="258"/>
      <c r="O975" s="258"/>
      <c r="P975" s="258"/>
      <c r="Q975" s="276"/>
      <c r="R975" s="272"/>
      <c r="S975" s="272"/>
      <c r="T975" s="272"/>
      <c r="U975" s="272"/>
      <c r="V975" s="272"/>
      <c r="W975" s="272"/>
      <c r="X975" s="272"/>
      <c r="Y975" s="272"/>
      <c r="Z975" s="258"/>
      <c r="AA975" s="258"/>
      <c r="AB975" s="258"/>
      <c r="AC975" s="258"/>
      <c r="AD975" s="258"/>
      <c r="AE975" s="258"/>
      <c r="AF975" s="258"/>
      <c r="AG975" s="258"/>
      <c r="AH975" s="270"/>
      <c r="AI975" s="270"/>
      <c r="AQ975" s="259"/>
      <c r="AR975" s="259"/>
      <c r="AS975" s="259"/>
      <c r="AT975" s="259"/>
      <c r="AU975" s="259"/>
      <c r="AV975" s="259"/>
      <c r="AW975" s="259"/>
    </row>
    <row r="976" spans="2:49" ht="15" customHeight="1" x14ac:dyDescent="0.25">
      <c r="B976" s="260"/>
      <c r="C976" s="290"/>
      <c r="D976" s="262"/>
      <c r="E976" s="291"/>
      <c r="F976" s="262"/>
      <c r="G976" s="289"/>
      <c r="H976" s="243"/>
      <c r="I976" s="266"/>
      <c r="K976" s="268"/>
      <c r="L976" s="278"/>
      <c r="M976" s="274"/>
      <c r="N976" s="258"/>
      <c r="O976" s="258"/>
      <c r="P976" s="258"/>
      <c r="Q976" s="276"/>
      <c r="R976" s="272"/>
      <c r="S976" s="272"/>
      <c r="T976" s="272"/>
      <c r="U976" s="272"/>
      <c r="V976" s="272"/>
      <c r="W976" s="272"/>
      <c r="X976" s="272"/>
      <c r="Y976" s="272"/>
      <c r="Z976" s="258"/>
      <c r="AA976" s="258"/>
      <c r="AB976" s="258"/>
      <c r="AC976" s="258"/>
      <c r="AD976" s="258"/>
      <c r="AE976" s="258"/>
      <c r="AF976" s="258"/>
      <c r="AG976" s="258"/>
      <c r="AH976" s="270"/>
      <c r="AI976" s="270"/>
      <c r="AQ976" s="259"/>
      <c r="AR976" s="259"/>
      <c r="AS976" s="259"/>
      <c r="AT976" s="259"/>
      <c r="AU976" s="259"/>
      <c r="AV976" s="259"/>
      <c r="AW976" s="259"/>
    </row>
    <row r="977" spans="2:49" ht="15" customHeight="1" x14ac:dyDescent="0.25">
      <c r="B977" s="260"/>
      <c r="D977" s="262"/>
      <c r="G977" s="289"/>
      <c r="H977" s="265"/>
      <c r="I977" s="266"/>
      <c r="K977" s="268"/>
      <c r="L977" s="278"/>
      <c r="M977" s="274"/>
      <c r="N977" s="258"/>
      <c r="O977" s="258"/>
      <c r="P977" s="258"/>
      <c r="Q977" s="276"/>
      <c r="R977" s="272"/>
      <c r="S977" s="272"/>
      <c r="T977" s="272"/>
      <c r="U977" s="272"/>
      <c r="V977" s="272"/>
      <c r="W977" s="272"/>
      <c r="X977" s="272"/>
      <c r="Y977" s="272"/>
      <c r="Z977" s="258"/>
      <c r="AA977" s="258"/>
      <c r="AB977" s="258"/>
      <c r="AC977" s="258"/>
      <c r="AD977" s="258"/>
      <c r="AE977" s="258"/>
      <c r="AF977" s="258"/>
      <c r="AG977" s="258"/>
      <c r="AH977" s="258"/>
      <c r="AQ977" s="259"/>
      <c r="AR977" s="259"/>
      <c r="AS977" s="259"/>
      <c r="AT977" s="259"/>
      <c r="AU977" s="259"/>
      <c r="AV977" s="259"/>
      <c r="AW977" s="259"/>
    </row>
    <row r="978" spans="2:49" ht="15" customHeight="1" x14ac:dyDescent="0.25">
      <c r="B978" s="260"/>
      <c r="D978" s="262"/>
      <c r="G978" s="289"/>
      <c r="H978" s="265"/>
      <c r="I978" s="266"/>
      <c r="K978" s="268"/>
      <c r="L978" s="278"/>
      <c r="M978" s="274"/>
      <c r="N978" s="258"/>
      <c r="O978" s="258"/>
      <c r="P978" s="258"/>
      <c r="Q978" s="276"/>
      <c r="R978" s="272"/>
      <c r="S978" s="272"/>
      <c r="T978" s="272"/>
      <c r="U978" s="272"/>
      <c r="V978" s="272"/>
      <c r="W978" s="272"/>
      <c r="X978" s="272"/>
      <c r="Y978" s="272"/>
      <c r="Z978" s="258"/>
      <c r="AA978" s="258"/>
      <c r="AB978" s="258"/>
      <c r="AC978" s="258"/>
      <c r="AD978" s="258"/>
      <c r="AE978" s="258"/>
      <c r="AF978" s="258"/>
      <c r="AG978" s="258"/>
      <c r="AH978" s="258"/>
      <c r="AQ978" s="259"/>
      <c r="AR978" s="259"/>
      <c r="AS978" s="259"/>
      <c r="AT978" s="259"/>
      <c r="AU978" s="259"/>
      <c r="AV978" s="259"/>
      <c r="AW978" s="259"/>
    </row>
    <row r="979" spans="2:49" ht="15" customHeight="1" x14ac:dyDescent="0.25">
      <c r="B979" s="260"/>
      <c r="D979" s="262"/>
      <c r="G979" s="289"/>
      <c r="H979" s="265"/>
      <c r="I979" s="266"/>
      <c r="K979" s="268"/>
      <c r="L979" s="278"/>
      <c r="M979" s="274"/>
      <c r="N979" s="258"/>
      <c r="O979" s="258"/>
      <c r="P979" s="258"/>
      <c r="Q979" s="276"/>
      <c r="R979" s="272"/>
      <c r="S979" s="272"/>
      <c r="T979" s="272"/>
      <c r="U979" s="272"/>
      <c r="V979" s="272"/>
      <c r="W979" s="272"/>
      <c r="X979" s="272"/>
      <c r="Y979" s="272"/>
      <c r="Z979" s="258"/>
      <c r="AA979" s="258"/>
      <c r="AB979" s="258"/>
      <c r="AC979" s="258"/>
      <c r="AD979" s="258"/>
      <c r="AE979" s="258"/>
      <c r="AF979" s="258"/>
      <c r="AG979" s="258"/>
      <c r="AH979" s="258"/>
      <c r="AQ979" s="259"/>
      <c r="AR979" s="259"/>
      <c r="AS979" s="259"/>
      <c r="AT979" s="259"/>
      <c r="AU979" s="259"/>
      <c r="AV979" s="259"/>
      <c r="AW979" s="259"/>
    </row>
    <row r="980" spans="2:49" ht="15" customHeight="1" x14ac:dyDescent="0.25">
      <c r="B980" s="260"/>
      <c r="D980" s="262"/>
      <c r="G980" s="289"/>
      <c r="H980" s="265"/>
      <c r="I980" s="266"/>
      <c r="K980" s="268"/>
      <c r="L980" s="278"/>
      <c r="M980" s="274"/>
      <c r="N980" s="258"/>
      <c r="O980" s="258"/>
      <c r="P980" s="258"/>
      <c r="Q980" s="276"/>
      <c r="R980" s="272"/>
      <c r="S980" s="272"/>
      <c r="T980" s="272"/>
      <c r="U980" s="272"/>
      <c r="V980" s="272"/>
      <c r="W980" s="272"/>
      <c r="X980" s="272"/>
      <c r="Y980" s="272"/>
      <c r="Z980" s="258"/>
      <c r="AA980" s="258"/>
      <c r="AB980" s="258"/>
      <c r="AC980" s="258"/>
      <c r="AD980" s="258"/>
      <c r="AE980" s="258"/>
      <c r="AF980" s="258"/>
      <c r="AG980" s="258"/>
      <c r="AH980" s="258"/>
      <c r="AQ980" s="259"/>
      <c r="AR980" s="259"/>
      <c r="AS980" s="259"/>
      <c r="AT980" s="259"/>
      <c r="AU980" s="259"/>
      <c r="AV980" s="259"/>
      <c r="AW980" s="259"/>
    </row>
    <row r="981" spans="2:49" ht="15" customHeight="1" x14ac:dyDescent="0.25">
      <c r="B981" s="260"/>
      <c r="D981" s="262"/>
      <c r="G981" s="289"/>
      <c r="H981" s="265"/>
      <c r="I981" s="266"/>
      <c r="K981" s="268"/>
      <c r="L981" s="278"/>
      <c r="M981" s="274"/>
      <c r="N981" s="258"/>
      <c r="O981" s="258"/>
      <c r="P981" s="258"/>
      <c r="Q981" s="276"/>
      <c r="W981" s="272"/>
      <c r="X981" s="272"/>
      <c r="Y981" s="272"/>
      <c r="Z981" s="258"/>
      <c r="AA981" s="258"/>
      <c r="AB981" s="258"/>
      <c r="AC981" s="258"/>
      <c r="AD981" s="258"/>
      <c r="AE981" s="258"/>
      <c r="AF981" s="258"/>
      <c r="AG981" s="258"/>
      <c r="AH981" s="258"/>
      <c r="AQ981" s="259"/>
      <c r="AR981" s="259"/>
      <c r="AS981" s="259"/>
      <c r="AT981" s="259"/>
      <c r="AU981" s="259"/>
      <c r="AV981" s="259"/>
      <c r="AW981" s="259"/>
    </row>
    <row r="982" spans="2:49" ht="15" customHeight="1" x14ac:dyDescent="0.25">
      <c r="B982" s="260"/>
      <c r="D982" s="262"/>
      <c r="G982" s="289"/>
      <c r="H982" s="265"/>
      <c r="I982" s="266"/>
      <c r="K982" s="268"/>
      <c r="L982" s="278"/>
      <c r="M982" s="274"/>
      <c r="N982" s="258"/>
      <c r="O982" s="258"/>
      <c r="P982" s="258"/>
      <c r="Q982" s="276"/>
      <c r="W982" s="272"/>
      <c r="X982" s="272"/>
      <c r="Y982" s="272"/>
      <c r="Z982" s="258"/>
      <c r="AA982" s="258"/>
      <c r="AB982" s="258"/>
      <c r="AC982" s="258"/>
      <c r="AD982" s="258"/>
      <c r="AE982" s="258"/>
      <c r="AF982" s="258"/>
      <c r="AG982" s="258"/>
      <c r="AH982" s="258"/>
      <c r="AQ982" s="259"/>
      <c r="AR982" s="259"/>
      <c r="AS982" s="259"/>
      <c r="AT982" s="259"/>
      <c r="AU982" s="259"/>
      <c r="AV982" s="259"/>
      <c r="AW982" s="259"/>
    </row>
    <row r="983" spans="2:49" ht="15" customHeight="1" x14ac:dyDescent="0.25">
      <c r="B983" s="260"/>
      <c r="D983" s="262"/>
      <c r="G983" s="288"/>
      <c r="H983" s="265"/>
      <c r="I983" s="266"/>
      <c r="K983" s="268"/>
      <c r="L983" s="278"/>
      <c r="M983" s="274"/>
      <c r="N983" s="258"/>
      <c r="O983" s="258"/>
      <c r="P983" s="258"/>
      <c r="Q983" s="276"/>
      <c r="W983" s="272"/>
      <c r="X983" s="272"/>
      <c r="Y983" s="272"/>
      <c r="Z983" s="258"/>
      <c r="AA983" s="258"/>
      <c r="AB983" s="258"/>
      <c r="AC983" s="258"/>
      <c r="AD983" s="258"/>
      <c r="AE983" s="258"/>
      <c r="AF983" s="258"/>
      <c r="AG983" s="258"/>
      <c r="AH983" s="258"/>
      <c r="AQ983" s="259"/>
      <c r="AR983" s="259"/>
      <c r="AS983" s="259"/>
      <c r="AT983" s="259"/>
      <c r="AU983" s="259"/>
      <c r="AV983" s="259"/>
      <c r="AW983" s="259"/>
    </row>
    <row r="984" spans="2:49" ht="15" customHeight="1" x14ac:dyDescent="0.25">
      <c r="B984" s="260"/>
      <c r="D984" s="262"/>
      <c r="G984" s="288"/>
      <c r="H984" s="265"/>
      <c r="I984" s="266"/>
      <c r="K984" s="268"/>
      <c r="L984" s="273"/>
      <c r="M984" s="274"/>
      <c r="N984" s="270"/>
      <c r="O984" s="270"/>
      <c r="P984" s="270"/>
      <c r="Q984" s="275"/>
      <c r="R984" s="272"/>
      <c r="S984" s="272"/>
      <c r="T984" s="272"/>
      <c r="U984" s="272"/>
      <c r="V984" s="272"/>
      <c r="W984" s="272"/>
      <c r="X984" s="272"/>
      <c r="Y984" s="272"/>
      <c r="Z984" s="258"/>
      <c r="AA984" s="258"/>
      <c r="AB984" s="258"/>
      <c r="AC984" s="258"/>
      <c r="AD984" s="258"/>
      <c r="AE984" s="258"/>
      <c r="AF984" s="258"/>
      <c r="AG984" s="258"/>
      <c r="AH984" s="258"/>
      <c r="AI984" s="258"/>
      <c r="AQ984" s="259"/>
      <c r="AR984" s="259"/>
      <c r="AS984" s="259"/>
      <c r="AT984" s="259"/>
      <c r="AU984" s="259"/>
      <c r="AV984" s="259"/>
      <c r="AW984" s="259"/>
    </row>
    <row r="985" spans="2:49" ht="15" customHeight="1" x14ac:dyDescent="0.25">
      <c r="B985" s="260"/>
      <c r="D985" s="262"/>
      <c r="G985" s="288"/>
      <c r="H985" s="265"/>
      <c r="I985" s="266"/>
      <c r="K985" s="268"/>
      <c r="L985" s="273"/>
      <c r="M985" s="274"/>
      <c r="N985" s="258"/>
      <c r="O985" s="258"/>
      <c r="P985" s="258"/>
      <c r="Q985" s="276"/>
      <c r="R985" s="272"/>
      <c r="S985" s="272"/>
      <c r="T985" s="272"/>
      <c r="U985" s="272"/>
      <c r="V985" s="272"/>
      <c r="W985" s="272"/>
      <c r="X985" s="272"/>
      <c r="Y985" s="272"/>
      <c r="Z985" s="258"/>
      <c r="AA985" s="258"/>
      <c r="AB985" s="258"/>
      <c r="AC985" s="258"/>
      <c r="AD985" s="258"/>
      <c r="AE985" s="258"/>
      <c r="AF985" s="258"/>
      <c r="AG985" s="258"/>
      <c r="AH985" s="258"/>
      <c r="AI985" s="258"/>
      <c r="AQ985" s="259"/>
      <c r="AR985" s="259"/>
      <c r="AS985" s="259"/>
      <c r="AT985" s="259"/>
      <c r="AU985" s="259"/>
      <c r="AV985" s="259"/>
      <c r="AW985" s="259"/>
    </row>
    <row r="986" spans="2:49" ht="15" customHeight="1" x14ac:dyDescent="0.25">
      <c r="B986" s="260"/>
      <c r="D986" s="262"/>
      <c r="G986" s="288"/>
      <c r="H986" s="265"/>
      <c r="I986" s="266"/>
      <c r="K986" s="268"/>
      <c r="L986" s="273"/>
      <c r="M986" s="274"/>
      <c r="N986" s="258"/>
      <c r="O986" s="258"/>
      <c r="P986" s="258"/>
      <c r="Q986" s="276"/>
      <c r="R986" s="272"/>
      <c r="S986" s="272"/>
      <c r="T986" s="272"/>
      <c r="U986" s="272"/>
      <c r="V986" s="272"/>
      <c r="W986" s="272"/>
      <c r="X986" s="272"/>
      <c r="Y986" s="272"/>
      <c r="Z986" s="258"/>
      <c r="AA986" s="258"/>
      <c r="AB986" s="258"/>
      <c r="AC986" s="258"/>
      <c r="AD986" s="258"/>
      <c r="AE986" s="258"/>
      <c r="AF986" s="258"/>
      <c r="AG986" s="258"/>
      <c r="AH986" s="270"/>
      <c r="AI986" s="270"/>
      <c r="AQ986" s="259"/>
      <c r="AR986" s="259"/>
      <c r="AS986" s="259"/>
      <c r="AT986" s="259"/>
      <c r="AU986" s="259"/>
      <c r="AV986" s="259"/>
      <c r="AW986" s="259"/>
    </row>
    <row r="987" spans="2:49" ht="15" customHeight="1" x14ac:dyDescent="0.25">
      <c r="B987" s="260"/>
      <c r="D987" s="262"/>
      <c r="E987" s="291"/>
      <c r="F987" s="293"/>
      <c r="G987" s="288"/>
      <c r="H987" s="265"/>
      <c r="I987" s="266"/>
      <c r="K987" s="268"/>
      <c r="L987" s="273"/>
      <c r="M987" s="277"/>
      <c r="N987" s="258"/>
      <c r="O987" s="258"/>
      <c r="P987" s="258"/>
      <c r="Q987" s="276"/>
      <c r="R987" s="272"/>
      <c r="S987" s="272"/>
      <c r="T987" s="272"/>
      <c r="U987" s="272"/>
      <c r="V987" s="272"/>
      <c r="W987" s="272"/>
      <c r="X987" s="272"/>
      <c r="Y987" s="272"/>
      <c r="Z987" s="258"/>
      <c r="AA987" s="258"/>
      <c r="AB987" s="258"/>
      <c r="AC987" s="258"/>
      <c r="AD987" s="258"/>
      <c r="AE987" s="258"/>
      <c r="AF987" s="258"/>
      <c r="AG987" s="258"/>
      <c r="AH987" s="270"/>
      <c r="AI987" s="270"/>
      <c r="AQ987" s="259"/>
      <c r="AR987" s="259"/>
      <c r="AS987" s="259"/>
      <c r="AT987" s="259"/>
      <c r="AU987" s="259"/>
      <c r="AV987" s="259"/>
      <c r="AW987" s="259"/>
    </row>
    <row r="988" spans="2:49" ht="15" customHeight="1" x14ac:dyDescent="0.25">
      <c r="B988" s="260"/>
      <c r="C988" s="290"/>
      <c r="D988" s="262"/>
      <c r="E988" s="291"/>
      <c r="F988" s="262"/>
      <c r="G988" s="289"/>
      <c r="H988" s="243"/>
      <c r="I988" s="266"/>
      <c r="K988" s="268"/>
      <c r="L988" s="278"/>
      <c r="M988" s="274"/>
      <c r="N988" s="258"/>
      <c r="O988" s="258"/>
      <c r="P988" s="258"/>
      <c r="Q988" s="276"/>
      <c r="R988" s="272"/>
      <c r="S988" s="272"/>
      <c r="T988" s="272"/>
      <c r="U988" s="272"/>
      <c r="V988" s="272"/>
      <c r="W988" s="272"/>
      <c r="X988" s="272"/>
      <c r="Y988" s="272"/>
      <c r="Z988" s="258"/>
      <c r="AA988" s="258"/>
      <c r="AB988" s="258"/>
      <c r="AC988" s="258"/>
      <c r="AD988" s="258"/>
      <c r="AE988" s="258"/>
      <c r="AF988" s="258"/>
      <c r="AG988" s="258"/>
      <c r="AH988" s="270"/>
      <c r="AI988" s="270"/>
      <c r="AQ988" s="259"/>
      <c r="AR988" s="259"/>
      <c r="AS988" s="259"/>
      <c r="AT988" s="259"/>
      <c r="AU988" s="259"/>
      <c r="AV988" s="259"/>
      <c r="AW988" s="259"/>
    </row>
    <row r="989" spans="2:49" ht="15" customHeight="1" x14ac:dyDescent="0.25">
      <c r="B989" s="260"/>
      <c r="D989" s="262"/>
      <c r="G989" s="289"/>
      <c r="H989" s="265"/>
      <c r="I989" s="266"/>
      <c r="K989" s="268"/>
      <c r="L989" s="278"/>
      <c r="M989" s="274"/>
      <c r="N989" s="258"/>
      <c r="O989" s="258"/>
      <c r="P989" s="258"/>
      <c r="Q989" s="276"/>
      <c r="R989" s="272"/>
      <c r="S989" s="272"/>
      <c r="T989" s="272"/>
      <c r="U989" s="272"/>
      <c r="V989" s="272"/>
      <c r="W989" s="272"/>
      <c r="X989" s="272"/>
      <c r="Y989" s="272"/>
      <c r="Z989" s="258"/>
      <c r="AA989" s="258"/>
      <c r="AB989" s="258"/>
      <c r="AC989" s="258"/>
      <c r="AD989" s="258"/>
      <c r="AE989" s="258"/>
      <c r="AF989" s="258"/>
      <c r="AG989" s="258"/>
      <c r="AH989" s="258"/>
      <c r="AQ989" s="259"/>
      <c r="AR989" s="259"/>
      <c r="AS989" s="259"/>
      <c r="AT989" s="259"/>
      <c r="AU989" s="259"/>
      <c r="AV989" s="259"/>
      <c r="AW989" s="259"/>
    </row>
    <row r="990" spans="2:49" ht="15" customHeight="1" x14ac:dyDescent="0.25">
      <c r="B990" s="260"/>
      <c r="D990" s="262"/>
      <c r="G990" s="289"/>
      <c r="H990" s="265"/>
      <c r="I990" s="266"/>
      <c r="K990" s="268"/>
      <c r="L990" s="278"/>
      <c r="M990" s="274"/>
      <c r="N990" s="258"/>
      <c r="O990" s="258"/>
      <c r="P990" s="258"/>
      <c r="Q990" s="276"/>
      <c r="R990" s="272"/>
      <c r="S990" s="272"/>
      <c r="T990" s="272"/>
      <c r="U990" s="272"/>
      <c r="V990" s="272"/>
      <c r="W990" s="272"/>
      <c r="X990" s="272"/>
      <c r="Y990" s="272"/>
      <c r="Z990" s="258"/>
      <c r="AA990" s="258"/>
      <c r="AB990" s="258"/>
      <c r="AC990" s="258"/>
      <c r="AD990" s="258"/>
      <c r="AE990" s="258"/>
      <c r="AF990" s="258"/>
      <c r="AG990" s="258"/>
      <c r="AH990" s="258"/>
      <c r="AQ990" s="259"/>
      <c r="AR990" s="259"/>
      <c r="AS990" s="259"/>
      <c r="AT990" s="259"/>
      <c r="AU990" s="259"/>
      <c r="AV990" s="259"/>
      <c r="AW990" s="259"/>
    </row>
    <row r="991" spans="2:49" ht="15" customHeight="1" x14ac:dyDescent="0.25">
      <c r="B991" s="260"/>
      <c r="D991" s="262"/>
      <c r="G991" s="289"/>
      <c r="H991" s="265"/>
      <c r="I991" s="266"/>
      <c r="K991" s="268"/>
      <c r="L991" s="278"/>
      <c r="M991" s="274"/>
      <c r="N991" s="258"/>
      <c r="O991" s="258"/>
      <c r="P991" s="258"/>
      <c r="Q991" s="276"/>
      <c r="R991" s="272"/>
      <c r="S991" s="272"/>
      <c r="T991" s="272"/>
      <c r="U991" s="272"/>
      <c r="V991" s="272"/>
      <c r="W991" s="272"/>
      <c r="X991" s="272"/>
      <c r="Y991" s="272"/>
      <c r="Z991" s="258"/>
      <c r="AA991" s="258"/>
      <c r="AB991" s="258"/>
      <c r="AC991" s="258"/>
      <c r="AD991" s="258"/>
      <c r="AE991" s="258"/>
      <c r="AF991" s="258"/>
      <c r="AG991" s="258"/>
      <c r="AH991" s="258"/>
      <c r="AQ991" s="259"/>
      <c r="AR991" s="259"/>
      <c r="AS991" s="259"/>
      <c r="AT991" s="259"/>
      <c r="AU991" s="259"/>
      <c r="AV991" s="259"/>
      <c r="AW991" s="259"/>
    </row>
    <row r="992" spans="2:49" ht="15" customHeight="1" x14ac:dyDescent="0.25">
      <c r="B992" s="260"/>
      <c r="D992" s="262"/>
      <c r="G992" s="289"/>
      <c r="H992" s="265"/>
      <c r="I992" s="266"/>
      <c r="K992" s="268"/>
      <c r="L992" s="278"/>
      <c r="M992" s="274"/>
      <c r="N992" s="258"/>
      <c r="O992" s="258"/>
      <c r="P992" s="258"/>
      <c r="Q992" s="276"/>
      <c r="R992" s="272"/>
      <c r="S992" s="272"/>
      <c r="T992" s="272"/>
      <c r="U992" s="272"/>
      <c r="V992" s="272"/>
      <c r="W992" s="272"/>
      <c r="X992" s="272"/>
      <c r="Y992" s="272"/>
      <c r="Z992" s="258"/>
      <c r="AA992" s="258"/>
      <c r="AB992" s="258"/>
      <c r="AC992" s="258"/>
      <c r="AD992" s="258"/>
      <c r="AE992" s="258"/>
      <c r="AF992" s="258"/>
      <c r="AG992" s="258"/>
      <c r="AH992" s="258"/>
      <c r="AQ992" s="259"/>
      <c r="AR992" s="259"/>
      <c r="AS992" s="259"/>
      <c r="AT992" s="259"/>
      <c r="AU992" s="259"/>
      <c r="AV992" s="259"/>
      <c r="AW992" s="259"/>
    </row>
    <row r="993" spans="2:49" ht="15" customHeight="1" x14ac:dyDescent="0.25">
      <c r="B993" s="260"/>
      <c r="D993" s="262"/>
      <c r="G993" s="289"/>
      <c r="H993" s="265"/>
      <c r="I993" s="266"/>
      <c r="K993" s="268"/>
      <c r="L993" s="278"/>
      <c r="M993" s="274"/>
      <c r="N993" s="258"/>
      <c r="O993" s="258"/>
      <c r="P993" s="258"/>
      <c r="Q993" s="276"/>
      <c r="W993" s="272"/>
      <c r="X993" s="272"/>
      <c r="Y993" s="272"/>
      <c r="Z993" s="258"/>
      <c r="AA993" s="258"/>
      <c r="AB993" s="258"/>
      <c r="AC993" s="258"/>
      <c r="AD993" s="258"/>
      <c r="AE993" s="258"/>
      <c r="AF993" s="258"/>
      <c r="AG993" s="258"/>
      <c r="AH993" s="258"/>
      <c r="AQ993" s="259"/>
      <c r="AR993" s="259"/>
      <c r="AS993" s="259"/>
      <c r="AT993" s="259"/>
      <c r="AU993" s="259"/>
      <c r="AV993" s="259"/>
      <c r="AW993" s="259"/>
    </row>
    <row r="994" spans="2:49" ht="15" customHeight="1" x14ac:dyDescent="0.25">
      <c r="B994" s="260"/>
      <c r="D994" s="262"/>
      <c r="G994" s="289"/>
      <c r="H994" s="265"/>
      <c r="I994" s="266"/>
      <c r="K994" s="268"/>
      <c r="L994" s="278"/>
      <c r="M994" s="274"/>
      <c r="N994" s="258"/>
      <c r="O994" s="258"/>
      <c r="P994" s="258"/>
      <c r="Q994" s="276"/>
      <c r="W994" s="272"/>
      <c r="X994" s="272"/>
      <c r="Y994" s="272"/>
      <c r="Z994" s="258"/>
      <c r="AA994" s="258"/>
      <c r="AB994" s="258"/>
      <c r="AC994" s="258"/>
      <c r="AD994" s="258"/>
      <c r="AE994" s="258"/>
      <c r="AF994" s="258"/>
      <c r="AG994" s="258"/>
      <c r="AH994" s="258"/>
      <c r="AQ994" s="259"/>
      <c r="AR994" s="259"/>
      <c r="AS994" s="259"/>
      <c r="AT994" s="259"/>
      <c r="AU994" s="259"/>
      <c r="AV994" s="259"/>
      <c r="AW994" s="259"/>
    </row>
    <row r="995" spans="2:49" ht="15" customHeight="1" x14ac:dyDescent="0.25">
      <c r="B995" s="260"/>
      <c r="D995" s="262"/>
      <c r="G995" s="288"/>
      <c r="H995" s="265"/>
      <c r="I995" s="266"/>
      <c r="K995" s="268"/>
      <c r="L995" s="278"/>
      <c r="M995" s="274"/>
      <c r="N995" s="258"/>
      <c r="O995" s="258"/>
      <c r="P995" s="258"/>
      <c r="Q995" s="276"/>
      <c r="W995" s="272"/>
      <c r="X995" s="272"/>
      <c r="Y995" s="272"/>
      <c r="Z995" s="258"/>
      <c r="AA995" s="258"/>
      <c r="AB995" s="258"/>
      <c r="AC995" s="258"/>
      <c r="AD995" s="258"/>
      <c r="AE995" s="258"/>
      <c r="AF995" s="258"/>
      <c r="AG995" s="258"/>
      <c r="AH995" s="258"/>
      <c r="AQ995" s="259"/>
      <c r="AR995" s="259"/>
      <c r="AS995" s="259"/>
      <c r="AT995" s="259"/>
      <c r="AU995" s="259"/>
      <c r="AV995" s="259"/>
      <c r="AW995" s="259"/>
    </row>
    <row r="996" spans="2:49" ht="15" customHeight="1" x14ac:dyDescent="0.25">
      <c r="B996" s="260"/>
      <c r="D996" s="262"/>
      <c r="G996" s="288"/>
      <c r="H996" s="265"/>
      <c r="I996" s="266"/>
      <c r="K996" s="268"/>
      <c r="L996" s="273"/>
      <c r="M996" s="274"/>
      <c r="N996" s="270"/>
      <c r="O996" s="270"/>
      <c r="P996" s="270"/>
      <c r="Q996" s="275"/>
      <c r="R996" s="272"/>
      <c r="S996" s="272"/>
      <c r="T996" s="272"/>
      <c r="U996" s="272"/>
      <c r="V996" s="272"/>
      <c r="W996" s="272"/>
      <c r="X996" s="272"/>
      <c r="Y996" s="272"/>
      <c r="Z996" s="258"/>
      <c r="AA996" s="258"/>
      <c r="AB996" s="258"/>
      <c r="AC996" s="258"/>
      <c r="AD996" s="258"/>
      <c r="AE996" s="258"/>
      <c r="AF996" s="258"/>
      <c r="AG996" s="258"/>
      <c r="AH996" s="258"/>
      <c r="AI996" s="258"/>
      <c r="AQ996" s="259"/>
      <c r="AR996" s="259"/>
      <c r="AS996" s="259"/>
      <c r="AT996" s="259"/>
      <c r="AU996" s="259"/>
      <c r="AV996" s="259"/>
      <c r="AW996" s="259"/>
    </row>
    <row r="997" spans="2:49" ht="15" customHeight="1" x14ac:dyDescent="0.25">
      <c r="B997" s="260"/>
      <c r="D997" s="262"/>
      <c r="G997" s="288"/>
      <c r="H997" s="265"/>
      <c r="I997" s="266"/>
      <c r="K997" s="268"/>
      <c r="L997" s="273"/>
      <c r="M997" s="274"/>
      <c r="N997" s="258"/>
      <c r="O997" s="258"/>
      <c r="P997" s="258"/>
      <c r="Q997" s="276"/>
      <c r="R997" s="272"/>
      <c r="S997" s="272"/>
      <c r="T997" s="272"/>
      <c r="U997" s="272"/>
      <c r="V997" s="272"/>
      <c r="W997" s="272"/>
      <c r="X997" s="272"/>
      <c r="Y997" s="272"/>
      <c r="Z997" s="258"/>
      <c r="AA997" s="258"/>
      <c r="AB997" s="258"/>
      <c r="AC997" s="258"/>
      <c r="AD997" s="258"/>
      <c r="AE997" s="258"/>
      <c r="AF997" s="258"/>
      <c r="AG997" s="258"/>
      <c r="AH997" s="258"/>
      <c r="AI997" s="258"/>
      <c r="AQ997" s="259"/>
      <c r="AR997" s="259"/>
      <c r="AS997" s="259"/>
      <c r="AT997" s="259"/>
      <c r="AU997" s="259"/>
      <c r="AV997" s="259"/>
      <c r="AW997" s="259"/>
    </row>
    <row r="998" spans="2:49" ht="15" customHeight="1" x14ac:dyDescent="0.25">
      <c r="B998" s="260"/>
      <c r="D998" s="262"/>
      <c r="G998" s="288"/>
      <c r="H998" s="265"/>
      <c r="I998" s="266"/>
      <c r="K998" s="268"/>
      <c r="L998" s="273"/>
      <c r="M998" s="274"/>
      <c r="N998" s="258"/>
      <c r="O998" s="258"/>
      <c r="P998" s="258"/>
      <c r="Q998" s="276"/>
      <c r="R998" s="272"/>
      <c r="S998" s="272"/>
      <c r="T998" s="272"/>
      <c r="U998" s="272"/>
      <c r="V998" s="272"/>
      <c r="W998" s="272"/>
      <c r="X998" s="272"/>
      <c r="Y998" s="272"/>
      <c r="Z998" s="258"/>
      <c r="AA998" s="258"/>
      <c r="AB998" s="258"/>
      <c r="AC998" s="258"/>
      <c r="AD998" s="258"/>
      <c r="AE998" s="258"/>
      <c r="AF998" s="258"/>
      <c r="AG998" s="258"/>
      <c r="AH998" s="270"/>
      <c r="AI998" s="270"/>
      <c r="AQ998" s="259"/>
      <c r="AR998" s="259"/>
      <c r="AS998" s="259"/>
      <c r="AT998" s="259"/>
      <c r="AU998" s="259"/>
      <c r="AV998" s="259"/>
      <c r="AW998" s="259"/>
    </row>
    <row r="999" spans="2:49" ht="15" customHeight="1" x14ac:dyDescent="0.25">
      <c r="B999" s="260"/>
      <c r="D999" s="262"/>
      <c r="E999" s="291"/>
      <c r="F999" s="293"/>
      <c r="G999" s="288"/>
      <c r="H999" s="265"/>
      <c r="I999" s="266"/>
      <c r="K999" s="268"/>
      <c r="L999" s="273"/>
      <c r="M999" s="277"/>
      <c r="N999" s="258"/>
      <c r="O999" s="258"/>
      <c r="P999" s="258"/>
      <c r="Q999" s="276"/>
      <c r="R999" s="272"/>
      <c r="S999" s="272"/>
      <c r="T999" s="272"/>
      <c r="U999" s="272"/>
      <c r="V999" s="272"/>
      <c r="W999" s="272"/>
      <c r="X999" s="272"/>
      <c r="Y999" s="272"/>
      <c r="Z999" s="258"/>
      <c r="AA999" s="258"/>
      <c r="AB999" s="258"/>
      <c r="AC999" s="258"/>
      <c r="AD999" s="258"/>
      <c r="AE999" s="258"/>
      <c r="AF999" s="258"/>
      <c r="AG999" s="258"/>
      <c r="AH999" s="270"/>
      <c r="AI999" s="270"/>
      <c r="AQ999" s="259"/>
      <c r="AR999" s="259"/>
      <c r="AS999" s="259"/>
      <c r="AT999" s="259"/>
      <c r="AU999" s="259"/>
      <c r="AV999" s="259"/>
      <c r="AW999" s="259"/>
    </row>
    <row r="1000" spans="2:49" ht="15" customHeight="1" x14ac:dyDescent="0.25">
      <c r="B1000" s="260"/>
      <c r="C1000" s="290"/>
      <c r="D1000" s="262"/>
      <c r="E1000" s="291"/>
      <c r="F1000" s="262"/>
      <c r="G1000" s="289"/>
      <c r="H1000" s="243"/>
      <c r="I1000" s="266"/>
      <c r="K1000" s="268"/>
      <c r="L1000" s="278"/>
      <c r="M1000" s="274"/>
      <c r="N1000" s="258"/>
      <c r="O1000" s="258"/>
      <c r="P1000" s="258"/>
      <c r="Q1000" s="276"/>
      <c r="R1000" s="272"/>
      <c r="S1000" s="272"/>
      <c r="T1000" s="272"/>
      <c r="U1000" s="272"/>
      <c r="V1000" s="272"/>
      <c r="W1000" s="272"/>
      <c r="X1000" s="272"/>
      <c r="Y1000" s="272"/>
      <c r="Z1000" s="258"/>
      <c r="AA1000" s="258"/>
      <c r="AB1000" s="258"/>
      <c r="AC1000" s="258"/>
      <c r="AD1000" s="258"/>
      <c r="AE1000" s="258"/>
      <c r="AF1000" s="258"/>
      <c r="AG1000" s="258"/>
      <c r="AH1000" s="270"/>
      <c r="AI1000" s="270"/>
      <c r="AQ1000" s="259"/>
      <c r="AR1000" s="259"/>
      <c r="AS1000" s="259"/>
      <c r="AT1000" s="259"/>
      <c r="AU1000" s="259"/>
      <c r="AV1000" s="259"/>
      <c r="AW1000" s="259"/>
    </row>
    <row r="1001" spans="2:49" ht="15" customHeight="1" x14ac:dyDescent="0.25">
      <c r="B1001" s="260"/>
      <c r="D1001" s="262"/>
      <c r="G1001" s="289"/>
      <c r="H1001" s="265"/>
      <c r="I1001" s="266"/>
      <c r="K1001" s="268"/>
      <c r="L1001" s="278"/>
      <c r="M1001" s="274"/>
      <c r="N1001" s="258"/>
      <c r="O1001" s="258"/>
      <c r="P1001" s="258"/>
      <c r="Q1001" s="276"/>
      <c r="R1001" s="272"/>
      <c r="S1001" s="272"/>
      <c r="T1001" s="272"/>
      <c r="U1001" s="272"/>
      <c r="V1001" s="272"/>
      <c r="W1001" s="272"/>
      <c r="X1001" s="272"/>
      <c r="Y1001" s="272"/>
      <c r="Z1001" s="258"/>
      <c r="AA1001" s="258"/>
      <c r="AB1001" s="258"/>
      <c r="AC1001" s="258"/>
      <c r="AD1001" s="258"/>
      <c r="AE1001" s="258"/>
      <c r="AF1001" s="258"/>
      <c r="AG1001" s="258"/>
      <c r="AH1001" s="258"/>
      <c r="AQ1001" s="259"/>
      <c r="AR1001" s="259"/>
      <c r="AS1001" s="259"/>
      <c r="AT1001" s="259"/>
      <c r="AU1001" s="259"/>
      <c r="AV1001" s="259"/>
      <c r="AW1001" s="259"/>
    </row>
    <row r="1002" spans="2:49" ht="15" customHeight="1" x14ac:dyDescent="0.25">
      <c r="B1002" s="260"/>
      <c r="D1002" s="262"/>
      <c r="G1002" s="289"/>
      <c r="H1002" s="265"/>
      <c r="I1002" s="266"/>
      <c r="K1002" s="268"/>
      <c r="L1002" s="278"/>
      <c r="M1002" s="274"/>
      <c r="N1002" s="258"/>
      <c r="O1002" s="258"/>
      <c r="P1002" s="258"/>
      <c r="Q1002" s="276"/>
      <c r="R1002" s="272"/>
      <c r="S1002" s="272"/>
      <c r="T1002" s="272"/>
      <c r="U1002" s="272"/>
      <c r="V1002" s="272"/>
      <c r="W1002" s="272"/>
      <c r="X1002" s="272"/>
      <c r="Y1002" s="272"/>
      <c r="Z1002" s="258"/>
      <c r="AA1002" s="258"/>
      <c r="AB1002" s="258"/>
      <c r="AC1002" s="258"/>
      <c r="AD1002" s="258"/>
      <c r="AE1002" s="258"/>
      <c r="AF1002" s="258"/>
      <c r="AG1002" s="258"/>
      <c r="AH1002" s="258"/>
      <c r="AQ1002" s="259"/>
      <c r="AR1002" s="259"/>
      <c r="AS1002" s="259"/>
      <c r="AT1002" s="259"/>
      <c r="AU1002" s="259"/>
      <c r="AV1002" s="259"/>
      <c r="AW1002" s="259"/>
    </row>
    <row r="1003" spans="2:49" ht="15" customHeight="1" x14ac:dyDescent="0.25">
      <c r="B1003" s="260"/>
      <c r="D1003" s="262"/>
      <c r="G1003" s="289"/>
      <c r="H1003" s="265"/>
      <c r="I1003" s="266"/>
      <c r="K1003" s="268"/>
      <c r="L1003" s="278"/>
      <c r="M1003" s="274"/>
      <c r="N1003" s="258"/>
      <c r="O1003" s="258"/>
      <c r="P1003" s="258"/>
      <c r="Q1003" s="276"/>
      <c r="R1003" s="272"/>
      <c r="S1003" s="272"/>
      <c r="T1003" s="272"/>
      <c r="U1003" s="272"/>
      <c r="V1003" s="272"/>
      <c r="W1003" s="272"/>
      <c r="X1003" s="272"/>
      <c r="Y1003" s="272"/>
      <c r="Z1003" s="258"/>
      <c r="AA1003" s="258"/>
      <c r="AB1003" s="258"/>
      <c r="AC1003" s="258"/>
      <c r="AD1003" s="258"/>
      <c r="AE1003" s="258"/>
      <c r="AF1003" s="258"/>
      <c r="AG1003" s="258"/>
      <c r="AH1003" s="258"/>
      <c r="AQ1003" s="259"/>
      <c r="AR1003" s="259"/>
      <c r="AS1003" s="259"/>
      <c r="AT1003" s="259"/>
      <c r="AU1003" s="259"/>
      <c r="AV1003" s="259"/>
      <c r="AW1003" s="259"/>
    </row>
    <row r="1004" spans="2:49" ht="15" customHeight="1" x14ac:dyDescent="0.25">
      <c r="B1004" s="260"/>
      <c r="D1004" s="262"/>
      <c r="G1004" s="288"/>
      <c r="H1004" s="265"/>
      <c r="I1004" s="266"/>
      <c r="K1004" s="268"/>
      <c r="L1004" s="278"/>
      <c r="M1004" s="274"/>
      <c r="N1004" s="258"/>
      <c r="O1004" s="258"/>
      <c r="P1004" s="258"/>
      <c r="Q1004" s="276"/>
      <c r="R1004" s="272"/>
      <c r="S1004" s="272"/>
      <c r="T1004" s="272"/>
      <c r="U1004" s="272"/>
      <c r="V1004" s="272"/>
      <c r="W1004" s="272"/>
      <c r="X1004" s="272"/>
      <c r="Y1004" s="272"/>
      <c r="Z1004" s="258"/>
      <c r="AA1004" s="258"/>
      <c r="AB1004" s="258"/>
      <c r="AC1004" s="258"/>
      <c r="AD1004" s="258"/>
      <c r="AE1004" s="258"/>
      <c r="AF1004" s="258"/>
      <c r="AG1004" s="258"/>
      <c r="AH1004" s="258"/>
      <c r="AQ1004" s="259"/>
      <c r="AR1004" s="259"/>
      <c r="AS1004" s="259"/>
      <c r="AT1004" s="259"/>
      <c r="AU1004" s="259"/>
      <c r="AV1004" s="259"/>
      <c r="AW1004" s="259"/>
    </row>
    <row r="1005" spans="2:49" ht="15" customHeight="1" x14ac:dyDescent="0.25">
      <c r="B1005" s="260"/>
      <c r="D1005" s="262"/>
      <c r="G1005" s="288"/>
      <c r="H1005" s="265"/>
      <c r="I1005" s="266"/>
      <c r="K1005" s="268"/>
      <c r="L1005" s="278"/>
      <c r="M1005" s="274"/>
      <c r="N1005" s="258"/>
      <c r="O1005" s="258"/>
      <c r="P1005" s="258"/>
      <c r="Q1005" s="276"/>
      <c r="W1005" s="272"/>
      <c r="X1005" s="272"/>
      <c r="Y1005" s="272"/>
      <c r="Z1005" s="258"/>
      <c r="AA1005" s="258"/>
      <c r="AB1005" s="258"/>
      <c r="AC1005" s="258"/>
      <c r="AD1005" s="258"/>
      <c r="AE1005" s="258"/>
      <c r="AF1005" s="258"/>
      <c r="AG1005" s="258"/>
      <c r="AH1005" s="258"/>
      <c r="AQ1005" s="259"/>
      <c r="AR1005" s="259"/>
      <c r="AS1005" s="259"/>
      <c r="AT1005" s="259"/>
      <c r="AU1005" s="259"/>
      <c r="AV1005" s="259"/>
      <c r="AW1005" s="259"/>
    </row>
    <row r="1006" spans="2:49" ht="15" customHeight="1" x14ac:dyDescent="0.25">
      <c r="B1006" s="260"/>
      <c r="D1006" s="262"/>
      <c r="G1006" s="288"/>
      <c r="H1006" s="265"/>
      <c r="I1006" s="266"/>
      <c r="K1006" s="268"/>
      <c r="L1006" s="278"/>
      <c r="M1006" s="274"/>
      <c r="N1006" s="258"/>
      <c r="O1006" s="258"/>
      <c r="P1006" s="258"/>
      <c r="Q1006" s="276"/>
      <c r="W1006" s="272"/>
      <c r="X1006" s="272"/>
      <c r="Y1006" s="272"/>
      <c r="Z1006" s="258"/>
      <c r="AA1006" s="258"/>
      <c r="AB1006" s="258"/>
      <c r="AC1006" s="258"/>
      <c r="AD1006" s="258"/>
      <c r="AE1006" s="258"/>
      <c r="AF1006" s="258"/>
      <c r="AG1006" s="258"/>
      <c r="AH1006" s="258"/>
      <c r="AQ1006" s="259"/>
      <c r="AR1006" s="259"/>
      <c r="AS1006" s="259"/>
      <c r="AT1006" s="259"/>
      <c r="AU1006" s="259"/>
      <c r="AV1006" s="259"/>
      <c r="AW1006" s="259"/>
    </row>
    <row r="1007" spans="2:49" ht="15" customHeight="1" x14ac:dyDescent="0.25">
      <c r="B1007" s="260"/>
      <c r="D1007" s="262"/>
      <c r="E1007" s="291"/>
      <c r="F1007" s="293"/>
      <c r="G1007" s="288"/>
      <c r="H1007" s="265"/>
      <c r="I1007" s="266"/>
      <c r="K1007" s="268"/>
      <c r="L1007" s="278"/>
      <c r="M1007" s="274"/>
      <c r="N1007" s="258"/>
      <c r="O1007" s="258"/>
      <c r="P1007" s="258"/>
      <c r="Q1007" s="276"/>
      <c r="W1007" s="272"/>
      <c r="X1007" s="272"/>
      <c r="Y1007" s="272"/>
      <c r="Z1007" s="258"/>
      <c r="AA1007" s="258"/>
      <c r="AB1007" s="258"/>
      <c r="AC1007" s="258"/>
      <c r="AD1007" s="258"/>
      <c r="AE1007" s="258"/>
      <c r="AF1007" s="258"/>
      <c r="AG1007" s="258"/>
      <c r="AH1007" s="258"/>
      <c r="AQ1007" s="259"/>
      <c r="AR1007" s="259"/>
      <c r="AS1007" s="259"/>
      <c r="AT1007" s="259"/>
      <c r="AU1007" s="259"/>
      <c r="AV1007" s="259"/>
      <c r="AW1007" s="259"/>
    </row>
    <row r="1008" spans="2:49" ht="15" customHeight="1" x14ac:dyDescent="0.25">
      <c r="B1008" s="260"/>
      <c r="C1008" s="290"/>
      <c r="D1008" s="262"/>
      <c r="E1008" s="291"/>
      <c r="F1008" s="262"/>
      <c r="G1008" s="289"/>
      <c r="H1008" s="243"/>
      <c r="I1008" s="266"/>
      <c r="K1008" s="268"/>
      <c r="L1008" s="273"/>
      <c r="M1008" s="274"/>
      <c r="N1008" s="270"/>
      <c r="O1008" s="270"/>
      <c r="P1008" s="270"/>
      <c r="Q1008" s="275"/>
      <c r="R1008" s="272"/>
      <c r="S1008" s="272"/>
      <c r="T1008" s="272"/>
      <c r="U1008" s="272"/>
      <c r="V1008" s="272"/>
      <c r="W1008" s="272"/>
      <c r="X1008" s="272"/>
      <c r="Y1008" s="272"/>
      <c r="Z1008" s="258"/>
      <c r="AA1008" s="258"/>
      <c r="AB1008" s="258"/>
      <c r="AC1008" s="258"/>
      <c r="AD1008" s="258"/>
      <c r="AE1008" s="258"/>
      <c r="AF1008" s="258"/>
      <c r="AG1008" s="258"/>
      <c r="AH1008" s="258"/>
      <c r="AI1008" s="258"/>
      <c r="AQ1008" s="259"/>
      <c r="AR1008" s="259"/>
      <c r="AS1008" s="259"/>
      <c r="AT1008" s="259"/>
      <c r="AU1008" s="259"/>
      <c r="AV1008" s="259"/>
      <c r="AW1008" s="259"/>
    </row>
    <row r="1009" spans="2:49" ht="15" customHeight="1" x14ac:dyDescent="0.25">
      <c r="B1009" s="260"/>
      <c r="D1009" s="262"/>
      <c r="G1009" s="289"/>
      <c r="H1009" s="265"/>
      <c r="I1009" s="266"/>
      <c r="K1009" s="268"/>
      <c r="L1009" s="273"/>
      <c r="M1009" s="274"/>
      <c r="N1009" s="258"/>
      <c r="O1009" s="258"/>
      <c r="P1009" s="258"/>
      <c r="Q1009" s="276"/>
      <c r="R1009" s="272"/>
      <c r="S1009" s="272"/>
      <c r="T1009" s="272"/>
      <c r="U1009" s="272"/>
      <c r="V1009" s="272"/>
      <c r="W1009" s="272"/>
      <c r="X1009" s="272"/>
      <c r="Y1009" s="272"/>
      <c r="Z1009" s="258"/>
      <c r="AA1009" s="258"/>
      <c r="AB1009" s="258"/>
      <c r="AC1009" s="258"/>
      <c r="AD1009" s="258"/>
      <c r="AE1009" s="258"/>
      <c r="AF1009" s="258"/>
      <c r="AG1009" s="258"/>
      <c r="AH1009" s="258"/>
      <c r="AI1009" s="258"/>
      <c r="AQ1009" s="259"/>
      <c r="AR1009" s="259"/>
      <c r="AS1009" s="259"/>
      <c r="AT1009" s="259"/>
      <c r="AU1009" s="259"/>
      <c r="AV1009" s="259"/>
      <c r="AW1009" s="259"/>
    </row>
    <row r="1010" spans="2:49" ht="15" customHeight="1" x14ac:dyDescent="0.25">
      <c r="B1010" s="260"/>
      <c r="D1010" s="262"/>
      <c r="G1010" s="289"/>
      <c r="H1010" s="265"/>
      <c r="I1010" s="266"/>
      <c r="K1010" s="268"/>
      <c r="L1010" s="273"/>
      <c r="M1010" s="274"/>
      <c r="N1010" s="258"/>
      <c r="O1010" s="258"/>
      <c r="P1010" s="258"/>
      <c r="Q1010" s="276"/>
      <c r="R1010" s="272"/>
      <c r="S1010" s="272"/>
      <c r="T1010" s="272"/>
      <c r="U1010" s="272"/>
      <c r="V1010" s="272"/>
      <c r="W1010" s="272"/>
      <c r="X1010" s="272"/>
      <c r="Y1010" s="272"/>
      <c r="Z1010" s="258"/>
      <c r="AA1010" s="258"/>
      <c r="AB1010" s="258"/>
      <c r="AC1010" s="258"/>
      <c r="AD1010" s="258"/>
      <c r="AE1010" s="258"/>
      <c r="AF1010" s="258"/>
      <c r="AG1010" s="258"/>
      <c r="AH1010" s="270"/>
      <c r="AI1010" s="270"/>
      <c r="AQ1010" s="259"/>
      <c r="AR1010" s="259"/>
      <c r="AS1010" s="259"/>
      <c r="AT1010" s="259"/>
      <c r="AU1010" s="259"/>
      <c r="AV1010" s="259"/>
      <c r="AW1010" s="259"/>
    </row>
    <row r="1011" spans="2:49" ht="15" customHeight="1" x14ac:dyDescent="0.25">
      <c r="B1011" s="260"/>
      <c r="D1011" s="262"/>
      <c r="G1011" s="289"/>
      <c r="H1011" s="265"/>
      <c r="I1011" s="266"/>
      <c r="K1011" s="268"/>
      <c r="L1011" s="273"/>
      <c r="M1011" s="277"/>
      <c r="N1011" s="258"/>
      <c r="O1011" s="258"/>
      <c r="P1011" s="258"/>
      <c r="Q1011" s="276"/>
      <c r="R1011" s="272"/>
      <c r="S1011" s="272"/>
      <c r="T1011" s="272"/>
      <c r="U1011" s="272"/>
      <c r="V1011" s="272"/>
      <c r="W1011" s="272"/>
      <c r="X1011" s="272"/>
      <c r="Y1011" s="272"/>
      <c r="Z1011" s="258"/>
      <c r="AA1011" s="258"/>
      <c r="AB1011" s="258"/>
      <c r="AC1011" s="258"/>
      <c r="AD1011" s="258"/>
      <c r="AE1011" s="258"/>
      <c r="AF1011" s="258"/>
      <c r="AG1011" s="258"/>
      <c r="AH1011" s="270"/>
      <c r="AI1011" s="270"/>
      <c r="AQ1011" s="259"/>
      <c r="AR1011" s="259"/>
      <c r="AS1011" s="259"/>
      <c r="AT1011" s="259"/>
      <c r="AU1011" s="259"/>
      <c r="AV1011" s="259"/>
      <c r="AW1011" s="259"/>
    </row>
    <row r="1012" spans="2:49" ht="15" customHeight="1" x14ac:dyDescent="0.25">
      <c r="B1012" s="260"/>
      <c r="D1012" s="262"/>
      <c r="G1012" s="289"/>
      <c r="H1012" s="265"/>
      <c r="I1012" s="266"/>
      <c r="K1012" s="268"/>
      <c r="L1012" s="278"/>
      <c r="M1012" s="274"/>
      <c r="N1012" s="258"/>
      <c r="O1012" s="258"/>
      <c r="P1012" s="258"/>
      <c r="Q1012" s="276"/>
      <c r="R1012" s="272"/>
      <c r="S1012" s="272"/>
      <c r="T1012" s="272"/>
      <c r="U1012" s="272"/>
      <c r="V1012" s="272"/>
      <c r="W1012" s="272"/>
      <c r="X1012" s="272"/>
      <c r="Y1012" s="272"/>
      <c r="Z1012" s="258"/>
      <c r="AA1012" s="258"/>
      <c r="AB1012" s="258"/>
      <c r="AC1012" s="258"/>
      <c r="AD1012" s="258"/>
      <c r="AE1012" s="258"/>
      <c r="AF1012" s="258"/>
      <c r="AG1012" s="258"/>
      <c r="AH1012" s="270"/>
      <c r="AI1012" s="270"/>
      <c r="AQ1012" s="259"/>
      <c r="AR1012" s="259"/>
      <c r="AS1012" s="259"/>
      <c r="AT1012" s="259"/>
      <c r="AU1012" s="259"/>
      <c r="AV1012" s="259"/>
      <c r="AW1012" s="259"/>
    </row>
    <row r="1013" spans="2:49" ht="15" customHeight="1" x14ac:dyDescent="0.25">
      <c r="B1013" s="260"/>
      <c r="D1013" s="262"/>
      <c r="G1013" s="289"/>
      <c r="H1013" s="265"/>
      <c r="I1013" s="266"/>
      <c r="K1013" s="268"/>
      <c r="L1013" s="278"/>
      <c r="M1013" s="274"/>
      <c r="N1013" s="258"/>
      <c r="O1013" s="258"/>
      <c r="P1013" s="258"/>
      <c r="Q1013" s="276"/>
      <c r="R1013" s="272"/>
      <c r="S1013" s="272"/>
      <c r="T1013" s="272"/>
      <c r="U1013" s="272"/>
      <c r="V1013" s="272"/>
      <c r="W1013" s="272"/>
      <c r="X1013" s="272"/>
      <c r="Y1013" s="272"/>
      <c r="Z1013" s="258"/>
      <c r="AA1013" s="258"/>
      <c r="AB1013" s="258"/>
      <c r="AC1013" s="258"/>
      <c r="AD1013" s="258"/>
      <c r="AE1013" s="258"/>
      <c r="AF1013" s="258"/>
      <c r="AG1013" s="258"/>
      <c r="AH1013" s="258"/>
      <c r="AQ1013" s="259"/>
      <c r="AR1013" s="259"/>
      <c r="AS1013" s="259"/>
      <c r="AT1013" s="259"/>
      <c r="AU1013" s="259"/>
      <c r="AV1013" s="259"/>
      <c r="AW1013" s="259"/>
    </row>
    <row r="1014" spans="2:49" ht="15" customHeight="1" x14ac:dyDescent="0.25">
      <c r="B1014" s="260"/>
      <c r="D1014" s="262"/>
      <c r="G1014" s="289"/>
      <c r="H1014" s="265"/>
      <c r="I1014" s="266"/>
      <c r="K1014" s="268"/>
      <c r="L1014" s="278"/>
      <c r="M1014" s="274"/>
      <c r="N1014" s="258"/>
      <c r="O1014" s="258"/>
      <c r="P1014" s="258"/>
      <c r="Q1014" s="276"/>
      <c r="R1014" s="272"/>
      <c r="S1014" s="272"/>
      <c r="T1014" s="272"/>
      <c r="U1014" s="272"/>
      <c r="V1014" s="272"/>
      <c r="W1014" s="272"/>
      <c r="X1014" s="272"/>
      <c r="Y1014" s="272"/>
      <c r="Z1014" s="258"/>
      <c r="AA1014" s="258"/>
      <c r="AB1014" s="258"/>
      <c r="AC1014" s="258"/>
      <c r="AD1014" s="258"/>
      <c r="AE1014" s="258"/>
      <c r="AF1014" s="258"/>
      <c r="AG1014" s="258"/>
      <c r="AH1014" s="258"/>
      <c r="AQ1014" s="259"/>
      <c r="AR1014" s="259"/>
      <c r="AS1014" s="259"/>
      <c r="AT1014" s="259"/>
      <c r="AU1014" s="259"/>
      <c r="AV1014" s="259"/>
      <c r="AW1014" s="259"/>
    </row>
    <row r="1015" spans="2:49" ht="15" customHeight="1" x14ac:dyDescent="0.25">
      <c r="B1015" s="260"/>
      <c r="D1015" s="262"/>
      <c r="G1015" s="289"/>
      <c r="H1015" s="265"/>
      <c r="I1015" s="266"/>
      <c r="K1015" s="268"/>
      <c r="L1015" s="278"/>
      <c r="M1015" s="274"/>
      <c r="N1015" s="258"/>
      <c r="O1015" s="258"/>
      <c r="P1015" s="258"/>
      <c r="Q1015" s="276"/>
      <c r="R1015" s="272"/>
      <c r="S1015" s="272"/>
      <c r="T1015" s="272"/>
      <c r="U1015" s="272"/>
      <c r="V1015" s="272"/>
      <c r="W1015" s="272"/>
      <c r="X1015" s="272"/>
      <c r="Y1015" s="272"/>
      <c r="Z1015" s="258"/>
      <c r="AA1015" s="258"/>
      <c r="AB1015" s="258"/>
      <c r="AC1015" s="258"/>
      <c r="AD1015" s="258"/>
      <c r="AE1015" s="258"/>
      <c r="AF1015" s="258"/>
      <c r="AG1015" s="258"/>
      <c r="AH1015" s="258"/>
      <c r="AQ1015" s="259"/>
      <c r="AR1015" s="259"/>
      <c r="AS1015" s="259"/>
      <c r="AT1015" s="259"/>
      <c r="AU1015" s="259"/>
      <c r="AV1015" s="259"/>
      <c r="AW1015" s="259"/>
    </row>
    <row r="1016" spans="2:49" ht="15" customHeight="1" x14ac:dyDescent="0.25">
      <c r="B1016" s="260"/>
      <c r="D1016" s="262"/>
      <c r="G1016" s="289"/>
      <c r="H1016" s="265"/>
      <c r="I1016" s="266"/>
      <c r="K1016" s="268"/>
      <c r="L1016" s="278"/>
      <c r="M1016" s="274"/>
      <c r="N1016" s="258"/>
      <c r="O1016" s="258"/>
      <c r="P1016" s="258"/>
      <c r="Q1016" s="276"/>
      <c r="R1016" s="272"/>
      <c r="S1016" s="272"/>
      <c r="T1016" s="272"/>
      <c r="U1016" s="272"/>
      <c r="V1016" s="272"/>
      <c r="W1016" s="272"/>
      <c r="X1016" s="272"/>
      <c r="Y1016" s="272"/>
      <c r="Z1016" s="258"/>
      <c r="AA1016" s="258"/>
      <c r="AB1016" s="258"/>
      <c r="AC1016" s="258"/>
      <c r="AD1016" s="258"/>
      <c r="AE1016" s="258"/>
      <c r="AF1016" s="258"/>
      <c r="AG1016" s="258"/>
      <c r="AH1016" s="258"/>
      <c r="AQ1016" s="259"/>
      <c r="AR1016" s="259"/>
      <c r="AS1016" s="259"/>
      <c r="AT1016" s="259"/>
      <c r="AU1016" s="259"/>
      <c r="AV1016" s="259"/>
      <c r="AW1016" s="259"/>
    </row>
    <row r="1017" spans="2:49" ht="15" customHeight="1" x14ac:dyDescent="0.25">
      <c r="B1017" s="260"/>
      <c r="D1017" s="262"/>
      <c r="G1017" s="289"/>
      <c r="H1017" s="265"/>
      <c r="I1017" s="266"/>
      <c r="K1017" s="268"/>
      <c r="L1017" s="278"/>
      <c r="M1017" s="274"/>
      <c r="N1017" s="258"/>
      <c r="O1017" s="258"/>
      <c r="P1017" s="258"/>
      <c r="Q1017" s="276"/>
      <c r="W1017" s="272"/>
      <c r="X1017" s="272"/>
      <c r="Y1017" s="272"/>
      <c r="Z1017" s="258"/>
      <c r="AA1017" s="258"/>
      <c r="AB1017" s="258"/>
      <c r="AC1017" s="258"/>
      <c r="AD1017" s="258"/>
      <c r="AE1017" s="258"/>
      <c r="AF1017" s="258"/>
      <c r="AG1017" s="258"/>
      <c r="AH1017" s="258"/>
      <c r="AQ1017" s="259"/>
      <c r="AR1017" s="259"/>
      <c r="AS1017" s="259"/>
      <c r="AT1017" s="259"/>
      <c r="AU1017" s="259"/>
      <c r="AV1017" s="259"/>
      <c r="AW1017" s="259"/>
    </row>
    <row r="1018" spans="2:49" ht="15" customHeight="1" x14ac:dyDescent="0.25">
      <c r="B1018" s="260"/>
      <c r="D1018" s="262"/>
      <c r="G1018" s="289"/>
      <c r="H1018" s="265"/>
      <c r="I1018" s="266"/>
      <c r="K1018" s="268"/>
      <c r="L1018" s="278"/>
      <c r="M1018" s="274"/>
      <c r="N1018" s="258"/>
      <c r="O1018" s="258"/>
      <c r="P1018" s="258"/>
      <c r="Q1018" s="276"/>
      <c r="W1018" s="272"/>
      <c r="X1018" s="272"/>
      <c r="Y1018" s="272"/>
      <c r="Z1018" s="258"/>
      <c r="AA1018" s="258"/>
      <c r="AB1018" s="258"/>
      <c r="AC1018" s="258"/>
      <c r="AD1018" s="258"/>
      <c r="AE1018" s="258"/>
      <c r="AF1018" s="258"/>
      <c r="AG1018" s="258"/>
      <c r="AH1018" s="258"/>
      <c r="AQ1018" s="259"/>
      <c r="AR1018" s="259"/>
      <c r="AS1018" s="259"/>
      <c r="AT1018" s="259"/>
      <c r="AU1018" s="259"/>
      <c r="AV1018" s="259"/>
      <c r="AW1018" s="259"/>
    </row>
    <row r="1019" spans="2:49" ht="15" customHeight="1" x14ac:dyDescent="0.25">
      <c r="B1019" s="260"/>
      <c r="D1019" s="262"/>
      <c r="G1019" s="288"/>
      <c r="H1019" s="265"/>
      <c r="I1019" s="266"/>
      <c r="K1019" s="268"/>
      <c r="L1019" s="278"/>
      <c r="M1019" s="274"/>
      <c r="N1019" s="258"/>
      <c r="O1019" s="258"/>
      <c r="P1019" s="258"/>
      <c r="Q1019" s="276"/>
      <c r="W1019" s="272"/>
      <c r="X1019" s="272"/>
      <c r="Y1019" s="272"/>
      <c r="Z1019" s="258"/>
      <c r="AA1019" s="258"/>
      <c r="AB1019" s="258"/>
      <c r="AC1019" s="258"/>
      <c r="AD1019" s="258"/>
      <c r="AE1019" s="258"/>
      <c r="AF1019" s="258"/>
      <c r="AG1019" s="258"/>
      <c r="AH1019" s="258"/>
      <c r="AQ1019" s="259"/>
      <c r="AR1019" s="259"/>
      <c r="AS1019" s="259"/>
      <c r="AT1019" s="259"/>
      <c r="AU1019" s="259"/>
      <c r="AV1019" s="259"/>
      <c r="AW1019" s="259"/>
    </row>
    <row r="1020" spans="2:49" ht="15" customHeight="1" x14ac:dyDescent="0.25">
      <c r="B1020" s="260"/>
      <c r="D1020" s="262"/>
      <c r="G1020" s="288"/>
      <c r="H1020" s="265"/>
      <c r="I1020" s="266"/>
      <c r="K1020" s="268"/>
      <c r="L1020" s="273"/>
      <c r="M1020" s="274"/>
      <c r="N1020" s="270"/>
      <c r="O1020" s="270"/>
      <c r="P1020" s="270"/>
      <c r="Q1020" s="275"/>
      <c r="R1020" s="272"/>
      <c r="S1020" s="272"/>
      <c r="T1020" s="272"/>
      <c r="U1020" s="272"/>
      <c r="V1020" s="272"/>
      <c r="W1020" s="272"/>
      <c r="X1020" s="272"/>
      <c r="Y1020" s="272"/>
      <c r="Z1020" s="258"/>
      <c r="AA1020" s="258"/>
      <c r="AB1020" s="258"/>
      <c r="AC1020" s="258"/>
      <c r="AD1020" s="258"/>
      <c r="AE1020" s="258"/>
      <c r="AF1020" s="258"/>
      <c r="AG1020" s="258"/>
      <c r="AH1020" s="258"/>
      <c r="AI1020" s="258"/>
      <c r="AQ1020" s="259"/>
      <c r="AR1020" s="259"/>
      <c r="AS1020" s="259"/>
      <c r="AT1020" s="259"/>
      <c r="AU1020" s="259"/>
      <c r="AV1020" s="259"/>
      <c r="AW1020" s="259"/>
    </row>
    <row r="1021" spans="2:49" ht="15" customHeight="1" x14ac:dyDescent="0.25">
      <c r="B1021" s="260"/>
      <c r="D1021" s="262"/>
      <c r="G1021" s="288"/>
      <c r="H1021" s="265"/>
      <c r="I1021" s="266"/>
      <c r="K1021" s="268"/>
      <c r="L1021" s="273"/>
      <c r="M1021" s="274"/>
      <c r="N1021" s="258"/>
      <c r="O1021" s="258"/>
      <c r="P1021" s="258"/>
      <c r="Q1021" s="276"/>
      <c r="R1021" s="272"/>
      <c r="S1021" s="272"/>
      <c r="T1021" s="272"/>
      <c r="U1021" s="272"/>
      <c r="V1021" s="272"/>
      <c r="W1021" s="272"/>
      <c r="X1021" s="272"/>
      <c r="Y1021" s="272"/>
      <c r="Z1021" s="258"/>
      <c r="AA1021" s="258"/>
      <c r="AB1021" s="258"/>
      <c r="AC1021" s="258"/>
      <c r="AD1021" s="258"/>
      <c r="AE1021" s="258"/>
      <c r="AF1021" s="258"/>
      <c r="AG1021" s="258"/>
      <c r="AH1021" s="258"/>
      <c r="AI1021" s="258"/>
      <c r="AQ1021" s="259"/>
      <c r="AR1021" s="259"/>
      <c r="AS1021" s="259"/>
      <c r="AT1021" s="259"/>
      <c r="AU1021" s="259"/>
      <c r="AV1021" s="259"/>
      <c r="AW1021" s="259"/>
    </row>
    <row r="1022" spans="2:49" ht="15" customHeight="1" x14ac:dyDescent="0.25">
      <c r="B1022" s="260"/>
      <c r="D1022" s="262"/>
      <c r="G1022" s="289"/>
      <c r="H1022" s="265"/>
      <c r="I1022" s="266"/>
      <c r="K1022" s="268"/>
      <c r="L1022" s="273"/>
      <c r="M1022" s="274"/>
      <c r="N1022" s="258"/>
      <c r="O1022" s="258"/>
      <c r="P1022" s="258"/>
      <c r="Q1022" s="276"/>
      <c r="R1022" s="272"/>
      <c r="S1022" s="272"/>
      <c r="T1022" s="272"/>
      <c r="U1022" s="272"/>
      <c r="V1022" s="272"/>
      <c r="W1022" s="272"/>
      <c r="X1022" s="272"/>
      <c r="Y1022" s="272"/>
      <c r="Z1022" s="258"/>
      <c r="AA1022" s="258"/>
      <c r="AB1022" s="258"/>
      <c r="AC1022" s="258"/>
      <c r="AD1022" s="258"/>
      <c r="AE1022" s="258"/>
      <c r="AF1022" s="258"/>
      <c r="AG1022" s="258"/>
      <c r="AH1022" s="270"/>
      <c r="AI1022" s="270"/>
      <c r="AQ1022" s="259"/>
      <c r="AR1022" s="259"/>
      <c r="AS1022" s="259"/>
      <c r="AT1022" s="259"/>
      <c r="AU1022" s="259"/>
      <c r="AV1022" s="259"/>
      <c r="AW1022" s="259"/>
    </row>
    <row r="1023" spans="2:49" ht="15" customHeight="1" x14ac:dyDescent="0.25">
      <c r="B1023" s="260"/>
      <c r="D1023" s="262"/>
      <c r="G1023" s="289"/>
      <c r="H1023" s="265"/>
      <c r="I1023" s="266"/>
      <c r="K1023" s="268"/>
      <c r="L1023" s="273"/>
      <c r="M1023" s="277"/>
      <c r="N1023" s="258"/>
      <c r="O1023" s="258"/>
      <c r="P1023" s="258"/>
      <c r="Q1023" s="276"/>
      <c r="R1023" s="272"/>
      <c r="S1023" s="272"/>
      <c r="T1023" s="272"/>
      <c r="U1023" s="272"/>
      <c r="V1023" s="272"/>
      <c r="W1023" s="272"/>
      <c r="X1023" s="272"/>
      <c r="Y1023" s="272"/>
      <c r="Z1023" s="258"/>
      <c r="AA1023" s="258"/>
      <c r="AB1023" s="258"/>
      <c r="AC1023" s="258"/>
      <c r="AD1023" s="258"/>
      <c r="AE1023" s="258"/>
      <c r="AF1023" s="258"/>
      <c r="AG1023" s="258"/>
      <c r="AH1023" s="270"/>
      <c r="AI1023" s="270"/>
      <c r="AQ1023" s="259"/>
      <c r="AR1023" s="259"/>
      <c r="AS1023" s="259"/>
      <c r="AT1023" s="259"/>
      <c r="AU1023" s="259"/>
      <c r="AV1023" s="259"/>
      <c r="AW1023" s="259"/>
    </row>
    <row r="1024" spans="2:49" ht="15" customHeight="1" x14ac:dyDescent="0.25">
      <c r="B1024" s="260"/>
      <c r="D1024" s="262"/>
      <c r="G1024" s="289"/>
      <c r="H1024" s="265"/>
      <c r="I1024" s="266"/>
      <c r="K1024" s="268"/>
      <c r="L1024" s="278"/>
      <c r="M1024" s="274"/>
      <c r="N1024" s="258"/>
      <c r="O1024" s="258"/>
      <c r="P1024" s="258"/>
      <c r="Q1024" s="276"/>
      <c r="R1024" s="272"/>
      <c r="S1024" s="272"/>
      <c r="T1024" s="272"/>
      <c r="U1024" s="272"/>
      <c r="V1024" s="272"/>
      <c r="W1024" s="272"/>
      <c r="X1024" s="272"/>
      <c r="Y1024" s="272"/>
      <c r="Z1024" s="258"/>
      <c r="AA1024" s="258"/>
      <c r="AB1024" s="258"/>
      <c r="AC1024" s="258"/>
      <c r="AD1024" s="258"/>
      <c r="AE1024" s="258"/>
      <c r="AF1024" s="258"/>
      <c r="AG1024" s="258"/>
      <c r="AH1024" s="270"/>
      <c r="AI1024" s="270"/>
      <c r="AQ1024" s="259"/>
      <c r="AR1024" s="259"/>
      <c r="AS1024" s="259"/>
      <c r="AT1024" s="259"/>
      <c r="AU1024" s="259"/>
      <c r="AV1024" s="259"/>
      <c r="AW1024" s="259"/>
    </row>
    <row r="1025" spans="2:49" ht="15" customHeight="1" x14ac:dyDescent="0.25">
      <c r="B1025" s="260"/>
      <c r="D1025" s="262"/>
      <c r="G1025" s="289"/>
      <c r="H1025" s="265"/>
      <c r="I1025" s="266"/>
      <c r="K1025" s="268"/>
      <c r="L1025" s="278"/>
      <c r="M1025" s="274"/>
      <c r="N1025" s="258"/>
      <c r="O1025" s="258"/>
      <c r="P1025" s="258"/>
      <c r="Q1025" s="276"/>
      <c r="R1025" s="272"/>
      <c r="S1025" s="272"/>
      <c r="T1025" s="272"/>
      <c r="U1025" s="272"/>
      <c r="V1025" s="272"/>
      <c r="W1025" s="272"/>
      <c r="X1025" s="272"/>
      <c r="Y1025" s="272"/>
      <c r="Z1025" s="258"/>
      <c r="AA1025" s="258"/>
      <c r="AB1025" s="258"/>
      <c r="AC1025" s="258"/>
      <c r="AD1025" s="258"/>
      <c r="AE1025" s="258"/>
      <c r="AF1025" s="258"/>
      <c r="AG1025" s="258"/>
      <c r="AH1025" s="258"/>
      <c r="AQ1025" s="259"/>
      <c r="AR1025" s="259"/>
      <c r="AS1025" s="259"/>
      <c r="AT1025" s="259"/>
      <c r="AU1025" s="259"/>
      <c r="AV1025" s="259"/>
      <c r="AW1025" s="259"/>
    </row>
    <row r="1026" spans="2:49" ht="15" customHeight="1" x14ac:dyDescent="0.25">
      <c r="B1026" s="260"/>
      <c r="D1026" s="262"/>
      <c r="G1026" s="288"/>
      <c r="H1026" s="265"/>
      <c r="I1026" s="266"/>
      <c r="K1026" s="268"/>
      <c r="L1026" s="278"/>
      <c r="M1026" s="274"/>
      <c r="N1026" s="258"/>
      <c r="O1026" s="258"/>
      <c r="P1026" s="258"/>
      <c r="Q1026" s="276"/>
      <c r="R1026" s="272"/>
      <c r="S1026" s="272"/>
      <c r="T1026" s="272"/>
      <c r="U1026" s="272"/>
      <c r="V1026" s="272"/>
      <c r="W1026" s="272"/>
      <c r="X1026" s="272"/>
      <c r="Y1026" s="272"/>
      <c r="Z1026" s="258"/>
      <c r="AA1026" s="258"/>
      <c r="AB1026" s="258"/>
      <c r="AC1026" s="258"/>
      <c r="AD1026" s="258"/>
      <c r="AE1026" s="258"/>
      <c r="AF1026" s="258"/>
      <c r="AG1026" s="258"/>
      <c r="AH1026" s="258"/>
      <c r="AQ1026" s="259"/>
      <c r="AR1026" s="259"/>
      <c r="AS1026" s="259"/>
      <c r="AT1026" s="259"/>
      <c r="AU1026" s="259"/>
      <c r="AV1026" s="259"/>
      <c r="AW1026" s="259"/>
    </row>
    <row r="1027" spans="2:49" ht="15" customHeight="1" x14ac:dyDescent="0.25">
      <c r="B1027" s="260"/>
      <c r="D1027" s="262"/>
      <c r="E1027" s="291"/>
      <c r="F1027" s="293"/>
      <c r="G1027" s="288"/>
      <c r="H1027" s="265"/>
      <c r="I1027" s="266"/>
      <c r="K1027" s="268"/>
      <c r="L1027" s="278"/>
      <c r="M1027" s="274"/>
      <c r="N1027" s="258"/>
      <c r="O1027" s="258"/>
      <c r="P1027" s="258"/>
      <c r="Q1027" s="276"/>
      <c r="R1027" s="272"/>
      <c r="S1027" s="272"/>
      <c r="T1027" s="272"/>
      <c r="U1027" s="272"/>
      <c r="V1027" s="272"/>
      <c r="W1027" s="272"/>
      <c r="X1027" s="272"/>
      <c r="Y1027" s="272"/>
      <c r="Z1027" s="258"/>
      <c r="AA1027" s="258"/>
      <c r="AB1027" s="258"/>
      <c r="AC1027" s="258"/>
      <c r="AD1027" s="258"/>
      <c r="AE1027" s="258"/>
      <c r="AF1027" s="258"/>
      <c r="AG1027" s="258"/>
      <c r="AH1027" s="258"/>
      <c r="AQ1027" s="259"/>
      <c r="AR1027" s="259"/>
      <c r="AS1027" s="259"/>
      <c r="AT1027" s="259"/>
      <c r="AU1027" s="259"/>
      <c r="AV1027" s="259"/>
      <c r="AW1027" s="259"/>
    </row>
    <row r="1028" spans="2:49" ht="15" customHeight="1" x14ac:dyDescent="0.25">
      <c r="B1028" s="260"/>
      <c r="C1028" s="290"/>
      <c r="D1028" s="262"/>
      <c r="E1028" s="291"/>
      <c r="F1028" s="262"/>
      <c r="G1028" s="289"/>
      <c r="H1028" s="243"/>
      <c r="I1028" s="266"/>
      <c r="K1028" s="268"/>
      <c r="L1028" s="278"/>
      <c r="M1028" s="274"/>
      <c r="N1028" s="258"/>
      <c r="O1028" s="258"/>
      <c r="P1028" s="258"/>
      <c r="Q1028" s="276"/>
      <c r="R1028" s="272"/>
      <c r="S1028" s="272"/>
      <c r="T1028" s="272"/>
      <c r="U1028" s="272"/>
      <c r="V1028" s="272"/>
      <c r="W1028" s="272"/>
      <c r="X1028" s="272"/>
      <c r="Y1028" s="272"/>
      <c r="Z1028" s="258"/>
      <c r="AA1028" s="258"/>
      <c r="AB1028" s="258"/>
      <c r="AC1028" s="258"/>
      <c r="AD1028" s="258"/>
      <c r="AE1028" s="258"/>
      <c r="AF1028" s="258"/>
      <c r="AG1028" s="258"/>
      <c r="AH1028" s="258"/>
      <c r="AQ1028" s="259"/>
      <c r="AR1028" s="259"/>
      <c r="AS1028" s="259"/>
      <c r="AT1028" s="259"/>
      <c r="AU1028" s="259"/>
      <c r="AV1028" s="259"/>
      <c r="AW1028" s="259"/>
    </row>
    <row r="1029" spans="2:49" ht="15" customHeight="1" x14ac:dyDescent="0.25">
      <c r="B1029" s="260"/>
      <c r="D1029" s="262"/>
      <c r="G1029" s="289"/>
      <c r="H1029" s="265"/>
      <c r="I1029" s="266"/>
      <c r="K1029" s="268"/>
      <c r="L1029" s="278"/>
      <c r="M1029" s="274"/>
      <c r="N1029" s="258"/>
      <c r="O1029" s="258"/>
      <c r="P1029" s="258"/>
      <c r="Q1029" s="276"/>
      <c r="W1029" s="272"/>
      <c r="X1029" s="272"/>
      <c r="Y1029" s="272"/>
      <c r="Z1029" s="258"/>
      <c r="AA1029" s="258"/>
      <c r="AB1029" s="258"/>
      <c r="AC1029" s="258"/>
      <c r="AD1029" s="258"/>
      <c r="AE1029" s="258"/>
      <c r="AF1029" s="258"/>
      <c r="AG1029" s="258"/>
      <c r="AH1029" s="258"/>
      <c r="AQ1029" s="259"/>
      <c r="AR1029" s="259"/>
      <c r="AS1029" s="259"/>
      <c r="AT1029" s="259"/>
      <c r="AU1029" s="259"/>
      <c r="AV1029" s="259"/>
      <c r="AW1029" s="259"/>
    </row>
    <row r="1030" spans="2:49" ht="15" customHeight="1" x14ac:dyDescent="0.25">
      <c r="B1030" s="260"/>
      <c r="D1030" s="262"/>
      <c r="G1030" s="289"/>
      <c r="H1030" s="265"/>
      <c r="I1030" s="266"/>
      <c r="K1030" s="268"/>
      <c r="L1030" s="278"/>
      <c r="M1030" s="274"/>
      <c r="N1030" s="258"/>
      <c r="O1030" s="258"/>
      <c r="P1030" s="258"/>
      <c r="Q1030" s="276"/>
      <c r="W1030" s="272"/>
      <c r="X1030" s="272"/>
      <c r="Y1030" s="272"/>
      <c r="Z1030" s="258"/>
      <c r="AA1030" s="258"/>
      <c r="AB1030" s="258"/>
      <c r="AC1030" s="258"/>
      <c r="AD1030" s="258"/>
      <c r="AE1030" s="258"/>
      <c r="AF1030" s="258"/>
      <c r="AG1030" s="258"/>
      <c r="AH1030" s="258"/>
      <c r="AQ1030" s="259"/>
      <c r="AR1030" s="259"/>
      <c r="AS1030" s="259"/>
      <c r="AT1030" s="259"/>
      <c r="AU1030" s="259"/>
      <c r="AV1030" s="259"/>
      <c r="AW1030" s="259"/>
    </row>
    <row r="1031" spans="2:49" ht="15" customHeight="1" x14ac:dyDescent="0.25">
      <c r="B1031" s="260"/>
      <c r="D1031" s="262"/>
      <c r="G1031" s="289"/>
      <c r="H1031" s="265"/>
      <c r="I1031" s="266"/>
      <c r="K1031" s="268"/>
      <c r="L1031" s="278"/>
      <c r="M1031" s="274"/>
      <c r="N1031" s="258"/>
      <c r="O1031" s="258"/>
      <c r="P1031" s="258"/>
      <c r="Q1031" s="276"/>
      <c r="W1031" s="272"/>
      <c r="X1031" s="272"/>
      <c r="Y1031" s="272"/>
      <c r="Z1031" s="258"/>
      <c r="AA1031" s="258"/>
      <c r="AB1031" s="258"/>
      <c r="AC1031" s="258"/>
      <c r="AD1031" s="258"/>
      <c r="AE1031" s="258"/>
      <c r="AF1031" s="258"/>
      <c r="AG1031" s="258"/>
      <c r="AH1031" s="258"/>
      <c r="AQ1031" s="259"/>
      <c r="AR1031" s="259"/>
      <c r="AS1031" s="259"/>
      <c r="AT1031" s="259"/>
      <c r="AU1031" s="259"/>
      <c r="AV1031" s="259"/>
      <c r="AW1031" s="259"/>
    </row>
    <row r="1032" spans="2:49" ht="15" customHeight="1" x14ac:dyDescent="0.25">
      <c r="B1032" s="260"/>
      <c r="D1032" s="262"/>
      <c r="G1032" s="289"/>
      <c r="H1032" s="265"/>
      <c r="I1032" s="266"/>
      <c r="K1032" s="268"/>
      <c r="L1032" s="273"/>
      <c r="M1032" s="274"/>
      <c r="N1032" s="270"/>
      <c r="O1032" s="270"/>
      <c r="P1032" s="270"/>
      <c r="Q1032" s="275"/>
      <c r="R1032" s="272"/>
      <c r="S1032" s="272"/>
      <c r="T1032" s="272"/>
      <c r="U1032" s="272"/>
      <c r="V1032" s="272"/>
      <c r="W1032" s="272"/>
      <c r="X1032" s="272"/>
      <c r="Y1032" s="272"/>
      <c r="Z1032" s="258"/>
      <c r="AA1032" s="258"/>
      <c r="AB1032" s="258"/>
      <c r="AC1032" s="258"/>
      <c r="AD1032" s="258"/>
      <c r="AE1032" s="258"/>
      <c r="AF1032" s="258"/>
      <c r="AG1032" s="258"/>
      <c r="AH1032" s="258"/>
      <c r="AI1032" s="258"/>
      <c r="AQ1032" s="259"/>
      <c r="AR1032" s="259"/>
      <c r="AS1032" s="259"/>
      <c r="AT1032" s="259"/>
      <c r="AU1032" s="259"/>
      <c r="AV1032" s="259"/>
      <c r="AW1032" s="259"/>
    </row>
    <row r="1033" spans="2:49" ht="15" customHeight="1" x14ac:dyDescent="0.25">
      <c r="B1033" s="260"/>
      <c r="D1033" s="262"/>
      <c r="G1033" s="289"/>
      <c r="H1033" s="265"/>
      <c r="I1033" s="266"/>
      <c r="K1033" s="268"/>
      <c r="L1033" s="273"/>
      <c r="M1033" s="274"/>
      <c r="N1033" s="258"/>
      <c r="O1033" s="258"/>
      <c r="P1033" s="258"/>
      <c r="Q1033" s="276"/>
      <c r="R1033" s="272"/>
      <c r="S1033" s="272"/>
      <c r="T1033" s="272"/>
      <c r="U1033" s="272"/>
      <c r="V1033" s="272"/>
      <c r="W1033" s="272"/>
      <c r="X1033" s="272"/>
      <c r="Y1033" s="272"/>
      <c r="Z1033" s="258"/>
      <c r="AA1033" s="258"/>
      <c r="AB1033" s="258"/>
      <c r="AC1033" s="258"/>
      <c r="AD1033" s="258"/>
      <c r="AE1033" s="258"/>
      <c r="AF1033" s="258"/>
      <c r="AG1033" s="258"/>
      <c r="AH1033" s="258"/>
      <c r="AI1033" s="258"/>
      <c r="AQ1033" s="259"/>
      <c r="AR1033" s="259"/>
      <c r="AS1033" s="259"/>
      <c r="AT1033" s="259"/>
      <c r="AU1033" s="259"/>
      <c r="AV1033" s="259"/>
      <c r="AW1033" s="259"/>
    </row>
    <row r="1034" spans="2:49" ht="15" customHeight="1" x14ac:dyDescent="0.25">
      <c r="B1034" s="260"/>
      <c r="D1034" s="262"/>
      <c r="G1034" s="288"/>
      <c r="H1034" s="265"/>
      <c r="I1034" s="266"/>
      <c r="K1034" s="268"/>
      <c r="L1034" s="273"/>
      <c r="M1034" s="274"/>
      <c r="N1034" s="258"/>
      <c r="O1034" s="258"/>
      <c r="P1034" s="258"/>
      <c r="Q1034" s="276"/>
      <c r="R1034" s="272"/>
      <c r="S1034" s="272"/>
      <c r="T1034" s="272"/>
      <c r="U1034" s="272"/>
      <c r="V1034" s="272"/>
      <c r="W1034" s="272"/>
      <c r="X1034" s="272"/>
      <c r="Y1034" s="272"/>
      <c r="Z1034" s="258"/>
      <c r="AA1034" s="258"/>
      <c r="AB1034" s="258"/>
      <c r="AC1034" s="258"/>
      <c r="AD1034" s="258"/>
      <c r="AE1034" s="258"/>
      <c r="AF1034" s="258"/>
      <c r="AG1034" s="258"/>
      <c r="AH1034" s="270"/>
      <c r="AI1034" s="270"/>
      <c r="AQ1034" s="259"/>
      <c r="AR1034" s="259"/>
      <c r="AS1034" s="259"/>
      <c r="AT1034" s="259"/>
      <c r="AU1034" s="259"/>
      <c r="AV1034" s="259"/>
      <c r="AW1034" s="259"/>
    </row>
    <row r="1035" spans="2:49" ht="15" customHeight="1" x14ac:dyDescent="0.25">
      <c r="B1035" s="260"/>
      <c r="D1035" s="262"/>
      <c r="G1035" s="288"/>
      <c r="H1035" s="265"/>
      <c r="I1035" s="266"/>
      <c r="K1035" s="268"/>
      <c r="L1035" s="273"/>
      <c r="M1035" s="277"/>
      <c r="N1035" s="258"/>
      <c r="O1035" s="258"/>
      <c r="P1035" s="258"/>
      <c r="Q1035" s="276"/>
      <c r="R1035" s="272"/>
      <c r="S1035" s="272"/>
      <c r="T1035" s="272"/>
      <c r="U1035" s="272"/>
      <c r="V1035" s="272"/>
      <c r="W1035" s="272"/>
      <c r="X1035" s="272"/>
      <c r="Y1035" s="272"/>
      <c r="Z1035" s="258"/>
      <c r="AA1035" s="258"/>
      <c r="AB1035" s="258"/>
      <c r="AC1035" s="258"/>
      <c r="AD1035" s="258"/>
      <c r="AE1035" s="258"/>
      <c r="AF1035" s="258"/>
      <c r="AG1035" s="258"/>
      <c r="AH1035" s="270"/>
      <c r="AI1035" s="270"/>
      <c r="AQ1035" s="259"/>
      <c r="AR1035" s="259"/>
      <c r="AS1035" s="259"/>
      <c r="AT1035" s="259"/>
      <c r="AU1035" s="259"/>
      <c r="AV1035" s="259"/>
      <c r="AW1035" s="259"/>
    </row>
    <row r="1036" spans="2:49" ht="15" customHeight="1" x14ac:dyDescent="0.25">
      <c r="B1036" s="260"/>
      <c r="D1036" s="262"/>
      <c r="G1036" s="288"/>
      <c r="H1036" s="265"/>
      <c r="I1036" s="266"/>
      <c r="K1036" s="268"/>
      <c r="L1036" s="278"/>
      <c r="M1036" s="274"/>
      <c r="N1036" s="258"/>
      <c r="O1036" s="258"/>
      <c r="P1036" s="258"/>
      <c r="Q1036" s="276"/>
      <c r="R1036" s="272"/>
      <c r="S1036" s="272"/>
      <c r="T1036" s="272"/>
      <c r="U1036" s="272"/>
      <c r="V1036" s="272"/>
      <c r="W1036" s="272"/>
      <c r="X1036" s="272"/>
      <c r="Y1036" s="272"/>
      <c r="Z1036" s="258"/>
      <c r="AA1036" s="258"/>
      <c r="AB1036" s="258"/>
      <c r="AC1036" s="258"/>
      <c r="AD1036" s="258"/>
      <c r="AE1036" s="258"/>
      <c r="AF1036" s="258"/>
      <c r="AG1036" s="258"/>
      <c r="AH1036" s="270"/>
      <c r="AI1036" s="270"/>
      <c r="AQ1036" s="259"/>
      <c r="AR1036" s="259"/>
      <c r="AS1036" s="259"/>
      <c r="AT1036" s="259"/>
      <c r="AU1036" s="259"/>
      <c r="AV1036" s="259"/>
      <c r="AW1036" s="259"/>
    </row>
    <row r="1037" spans="2:49" ht="15" customHeight="1" x14ac:dyDescent="0.25">
      <c r="B1037" s="260"/>
      <c r="D1037" s="262"/>
      <c r="G1037" s="288"/>
      <c r="H1037" s="265"/>
      <c r="I1037" s="266"/>
      <c r="K1037" s="268"/>
      <c r="L1037" s="278"/>
      <c r="M1037" s="274"/>
      <c r="N1037" s="258"/>
      <c r="O1037" s="258"/>
      <c r="P1037" s="258"/>
      <c r="Q1037" s="276"/>
      <c r="R1037" s="272"/>
      <c r="S1037" s="272"/>
      <c r="T1037" s="272"/>
      <c r="U1037" s="272"/>
      <c r="V1037" s="272"/>
      <c r="W1037" s="272"/>
      <c r="X1037" s="272"/>
      <c r="Y1037" s="272"/>
      <c r="Z1037" s="258"/>
      <c r="AA1037" s="258"/>
      <c r="AB1037" s="258"/>
      <c r="AC1037" s="258"/>
      <c r="AD1037" s="258"/>
      <c r="AE1037" s="258"/>
      <c r="AF1037" s="258"/>
      <c r="AG1037" s="258"/>
      <c r="AH1037" s="258"/>
      <c r="AQ1037" s="259"/>
      <c r="AR1037" s="259"/>
      <c r="AS1037" s="259"/>
      <c r="AT1037" s="259"/>
      <c r="AU1037" s="259"/>
      <c r="AV1037" s="259"/>
      <c r="AW1037" s="259"/>
    </row>
    <row r="1038" spans="2:49" ht="15" customHeight="1" x14ac:dyDescent="0.25">
      <c r="B1038" s="260"/>
      <c r="D1038" s="262"/>
      <c r="E1038" s="291"/>
      <c r="F1038" s="293"/>
      <c r="G1038" s="288"/>
      <c r="H1038" s="265"/>
      <c r="I1038" s="266"/>
      <c r="K1038" s="268"/>
      <c r="L1038" s="278"/>
      <c r="M1038" s="274"/>
      <c r="N1038" s="258"/>
      <c r="O1038" s="258"/>
      <c r="P1038" s="258"/>
      <c r="Q1038" s="276"/>
      <c r="R1038" s="272"/>
      <c r="S1038" s="272"/>
      <c r="T1038" s="272"/>
      <c r="U1038" s="272"/>
      <c r="V1038" s="272"/>
      <c r="W1038" s="272"/>
      <c r="X1038" s="272"/>
      <c r="Y1038" s="272"/>
      <c r="Z1038" s="258"/>
      <c r="AA1038" s="258"/>
      <c r="AB1038" s="258"/>
      <c r="AC1038" s="258"/>
      <c r="AD1038" s="258"/>
      <c r="AE1038" s="258"/>
      <c r="AF1038" s="258"/>
      <c r="AG1038" s="258"/>
      <c r="AH1038" s="258"/>
      <c r="AQ1038" s="259"/>
      <c r="AR1038" s="259"/>
      <c r="AS1038" s="259"/>
      <c r="AT1038" s="259"/>
      <c r="AU1038" s="259"/>
      <c r="AV1038" s="259"/>
      <c r="AW1038" s="259"/>
    </row>
    <row r="1039" spans="2:49" ht="15" customHeight="1" x14ac:dyDescent="0.25">
      <c r="B1039" s="260"/>
      <c r="C1039" s="290"/>
      <c r="D1039" s="262"/>
      <c r="E1039" s="291"/>
      <c r="F1039" s="262"/>
      <c r="G1039" s="289"/>
      <c r="H1039" s="243"/>
      <c r="I1039" s="266"/>
      <c r="K1039" s="268"/>
      <c r="L1039" s="278"/>
      <c r="M1039" s="274"/>
      <c r="N1039" s="258"/>
      <c r="O1039" s="258"/>
      <c r="P1039" s="258"/>
      <c r="Q1039" s="276"/>
      <c r="R1039" s="272"/>
      <c r="S1039" s="272"/>
      <c r="T1039" s="272"/>
      <c r="U1039" s="272"/>
      <c r="V1039" s="272"/>
      <c r="W1039" s="272"/>
      <c r="X1039" s="272"/>
      <c r="Y1039" s="272"/>
      <c r="Z1039" s="258"/>
      <c r="AA1039" s="258"/>
      <c r="AB1039" s="258"/>
      <c r="AC1039" s="258"/>
      <c r="AD1039" s="258"/>
      <c r="AE1039" s="258"/>
      <c r="AF1039" s="258"/>
      <c r="AG1039" s="258"/>
      <c r="AH1039" s="258"/>
      <c r="AQ1039" s="259"/>
      <c r="AR1039" s="259"/>
      <c r="AS1039" s="259"/>
      <c r="AT1039" s="259"/>
      <c r="AU1039" s="259"/>
      <c r="AV1039" s="259"/>
      <c r="AW1039" s="259"/>
    </row>
    <row r="1040" spans="2:49" ht="15" customHeight="1" x14ac:dyDescent="0.25">
      <c r="B1040" s="260"/>
      <c r="D1040" s="262"/>
      <c r="G1040" s="289"/>
      <c r="H1040" s="265"/>
      <c r="I1040" s="266"/>
      <c r="K1040" s="268"/>
      <c r="L1040" s="278"/>
      <c r="M1040" s="274"/>
      <c r="N1040" s="258"/>
      <c r="O1040" s="258"/>
      <c r="P1040" s="258"/>
      <c r="Q1040" s="276"/>
      <c r="R1040" s="272"/>
      <c r="S1040" s="272"/>
      <c r="T1040" s="272"/>
      <c r="U1040" s="272"/>
      <c r="V1040" s="272"/>
      <c r="W1040" s="272"/>
      <c r="X1040" s="272"/>
      <c r="Y1040" s="272"/>
      <c r="Z1040" s="258"/>
      <c r="AA1040" s="258"/>
      <c r="AB1040" s="258"/>
      <c r="AC1040" s="258"/>
      <c r="AD1040" s="258"/>
      <c r="AE1040" s="258"/>
      <c r="AF1040" s="258"/>
      <c r="AG1040" s="258"/>
      <c r="AH1040" s="258"/>
      <c r="AQ1040" s="259"/>
      <c r="AR1040" s="259"/>
      <c r="AS1040" s="259"/>
      <c r="AT1040" s="259"/>
      <c r="AU1040" s="259"/>
      <c r="AV1040" s="259"/>
      <c r="AW1040" s="259"/>
    </row>
    <row r="1041" spans="2:49" ht="15" customHeight="1" x14ac:dyDescent="0.25">
      <c r="B1041" s="260"/>
      <c r="D1041" s="262"/>
      <c r="G1041" s="289"/>
      <c r="H1041" s="265"/>
      <c r="I1041" s="266"/>
      <c r="K1041" s="268"/>
      <c r="L1041" s="278"/>
      <c r="M1041" s="274"/>
      <c r="N1041" s="258"/>
      <c r="O1041" s="258"/>
      <c r="P1041" s="258"/>
      <c r="Q1041" s="276"/>
      <c r="W1041" s="272"/>
      <c r="X1041" s="272"/>
      <c r="Y1041" s="272"/>
      <c r="Z1041" s="258"/>
      <c r="AA1041" s="258"/>
      <c r="AB1041" s="258"/>
      <c r="AC1041" s="258"/>
      <c r="AD1041" s="258"/>
      <c r="AE1041" s="258"/>
      <c r="AF1041" s="258"/>
      <c r="AG1041" s="258"/>
      <c r="AH1041" s="258"/>
      <c r="AQ1041" s="259"/>
      <c r="AR1041" s="259"/>
      <c r="AS1041" s="259"/>
      <c r="AT1041" s="259"/>
      <c r="AU1041" s="259"/>
      <c r="AV1041" s="259"/>
      <c r="AW1041" s="259"/>
    </row>
    <row r="1042" spans="2:49" ht="15" customHeight="1" x14ac:dyDescent="0.25">
      <c r="B1042" s="260"/>
      <c r="D1042" s="262"/>
      <c r="G1042" s="289"/>
      <c r="H1042" s="265"/>
      <c r="I1042" s="266"/>
      <c r="K1042" s="268"/>
      <c r="L1042" s="278"/>
      <c r="M1042" s="274"/>
      <c r="N1042" s="258"/>
      <c r="O1042" s="258"/>
      <c r="P1042" s="258"/>
      <c r="Q1042" s="276"/>
      <c r="W1042" s="272"/>
      <c r="X1042" s="272"/>
      <c r="Y1042" s="272"/>
      <c r="Z1042" s="258"/>
      <c r="AA1042" s="258"/>
      <c r="AB1042" s="258"/>
      <c r="AC1042" s="258"/>
      <c r="AD1042" s="258"/>
      <c r="AE1042" s="258"/>
      <c r="AF1042" s="258"/>
      <c r="AG1042" s="258"/>
      <c r="AH1042" s="258"/>
      <c r="AQ1042" s="259"/>
      <c r="AR1042" s="259"/>
      <c r="AS1042" s="259"/>
      <c r="AT1042" s="259"/>
      <c r="AU1042" s="259"/>
      <c r="AV1042" s="259"/>
      <c r="AW1042" s="259"/>
    </row>
    <row r="1043" spans="2:49" ht="15" customHeight="1" x14ac:dyDescent="0.25">
      <c r="B1043" s="260"/>
      <c r="D1043" s="262"/>
      <c r="G1043" s="289"/>
      <c r="H1043" s="265"/>
      <c r="I1043" s="266"/>
      <c r="K1043" s="268"/>
      <c r="L1043" s="278"/>
      <c r="M1043" s="274"/>
      <c r="N1043" s="258"/>
      <c r="O1043" s="258"/>
      <c r="P1043" s="258"/>
      <c r="Q1043" s="276"/>
      <c r="W1043" s="272"/>
      <c r="X1043" s="272"/>
      <c r="Y1043" s="272"/>
      <c r="Z1043" s="258"/>
      <c r="AA1043" s="258"/>
      <c r="AB1043" s="258"/>
      <c r="AC1043" s="258"/>
      <c r="AD1043" s="258"/>
      <c r="AE1043" s="258"/>
      <c r="AF1043" s="258"/>
      <c r="AG1043" s="258"/>
      <c r="AH1043" s="258"/>
      <c r="AQ1043" s="259"/>
      <c r="AR1043" s="259"/>
      <c r="AS1043" s="259"/>
      <c r="AT1043" s="259"/>
      <c r="AU1043" s="259"/>
      <c r="AV1043" s="259"/>
      <c r="AW1043" s="259"/>
    </row>
    <row r="1044" spans="2:49" ht="15" customHeight="1" x14ac:dyDescent="0.25">
      <c r="B1044" s="260"/>
      <c r="D1044" s="262"/>
      <c r="G1044" s="289"/>
      <c r="H1044" s="265"/>
      <c r="I1044" s="266"/>
      <c r="K1044" s="268"/>
      <c r="L1044" s="273"/>
      <c r="M1044" s="274"/>
      <c r="N1044" s="270"/>
      <c r="O1044" s="270"/>
      <c r="P1044" s="270"/>
      <c r="Q1044" s="275"/>
      <c r="R1044" s="272"/>
      <c r="S1044" s="272"/>
      <c r="T1044" s="272"/>
      <c r="U1044" s="272"/>
      <c r="V1044" s="272"/>
      <c r="W1044" s="272"/>
      <c r="X1044" s="272"/>
      <c r="Y1044" s="272"/>
      <c r="Z1044" s="258"/>
      <c r="AA1044" s="258"/>
      <c r="AB1044" s="258"/>
      <c r="AC1044" s="258"/>
      <c r="AD1044" s="258"/>
      <c r="AE1044" s="258"/>
      <c r="AF1044" s="258"/>
      <c r="AG1044" s="258"/>
      <c r="AH1044" s="258"/>
      <c r="AI1044" s="258"/>
      <c r="AQ1044" s="259"/>
      <c r="AR1044" s="259"/>
      <c r="AS1044" s="259"/>
      <c r="AT1044" s="259"/>
      <c r="AU1044" s="259"/>
      <c r="AV1044" s="259"/>
      <c r="AW1044" s="259"/>
    </row>
    <row r="1045" spans="2:49" ht="15" customHeight="1" x14ac:dyDescent="0.25">
      <c r="B1045" s="260"/>
      <c r="D1045" s="262"/>
      <c r="G1045" s="288"/>
      <c r="H1045" s="265"/>
      <c r="I1045" s="266"/>
      <c r="K1045" s="268"/>
      <c r="L1045" s="273"/>
      <c r="M1045" s="274"/>
      <c r="N1045" s="258"/>
      <c r="O1045" s="258"/>
      <c r="P1045" s="258"/>
      <c r="Q1045" s="276"/>
      <c r="R1045" s="272"/>
      <c r="S1045" s="272"/>
      <c r="T1045" s="272"/>
      <c r="U1045" s="272"/>
      <c r="V1045" s="272"/>
      <c r="W1045" s="272"/>
      <c r="X1045" s="272"/>
      <c r="Y1045" s="272"/>
      <c r="Z1045" s="258"/>
      <c r="AA1045" s="258"/>
      <c r="AB1045" s="258"/>
      <c r="AC1045" s="258"/>
      <c r="AD1045" s="258"/>
      <c r="AE1045" s="258"/>
      <c r="AF1045" s="258"/>
      <c r="AG1045" s="258"/>
      <c r="AH1045" s="258"/>
      <c r="AI1045" s="258"/>
      <c r="AQ1045" s="259"/>
      <c r="AR1045" s="259"/>
      <c r="AS1045" s="259"/>
      <c r="AT1045" s="259"/>
      <c r="AU1045" s="259"/>
      <c r="AV1045" s="259"/>
      <c r="AW1045" s="259"/>
    </row>
    <row r="1046" spans="2:49" ht="15" customHeight="1" x14ac:dyDescent="0.25">
      <c r="B1046" s="260"/>
      <c r="D1046" s="262"/>
      <c r="G1046" s="288"/>
      <c r="H1046" s="265"/>
      <c r="I1046" s="266"/>
      <c r="K1046" s="268"/>
      <c r="L1046" s="273"/>
      <c r="M1046" s="274"/>
      <c r="N1046" s="258"/>
      <c r="O1046" s="258"/>
      <c r="P1046" s="258"/>
      <c r="Q1046" s="276"/>
      <c r="R1046" s="272"/>
      <c r="S1046" s="272"/>
      <c r="T1046" s="272"/>
      <c r="U1046" s="272"/>
      <c r="V1046" s="272"/>
      <c r="W1046" s="272"/>
      <c r="X1046" s="272"/>
      <c r="Y1046" s="272"/>
      <c r="Z1046" s="258"/>
      <c r="AA1046" s="258"/>
      <c r="AB1046" s="258"/>
      <c r="AC1046" s="258"/>
      <c r="AD1046" s="258"/>
      <c r="AE1046" s="258"/>
      <c r="AF1046" s="258"/>
      <c r="AG1046" s="258"/>
      <c r="AH1046" s="270"/>
      <c r="AI1046" s="270"/>
      <c r="AQ1046" s="259"/>
      <c r="AR1046" s="259"/>
      <c r="AS1046" s="259"/>
      <c r="AT1046" s="259"/>
      <c r="AU1046" s="259"/>
      <c r="AV1046" s="259"/>
      <c r="AW1046" s="259"/>
    </row>
    <row r="1047" spans="2:49" ht="15" customHeight="1" x14ac:dyDescent="0.25">
      <c r="B1047" s="260"/>
      <c r="D1047" s="262"/>
      <c r="G1047" s="288"/>
      <c r="H1047" s="265"/>
      <c r="I1047" s="266"/>
      <c r="K1047" s="268"/>
      <c r="L1047" s="273"/>
      <c r="M1047" s="277"/>
      <c r="N1047" s="258"/>
      <c r="O1047" s="258"/>
      <c r="P1047" s="258"/>
      <c r="Q1047" s="276"/>
      <c r="R1047" s="272"/>
      <c r="S1047" s="272"/>
      <c r="T1047" s="272"/>
      <c r="U1047" s="272"/>
      <c r="V1047" s="272"/>
      <c r="W1047" s="272"/>
      <c r="X1047" s="272"/>
      <c r="Y1047" s="272"/>
      <c r="Z1047" s="258"/>
      <c r="AA1047" s="258"/>
      <c r="AB1047" s="258"/>
      <c r="AC1047" s="258"/>
      <c r="AD1047" s="258"/>
      <c r="AE1047" s="258"/>
      <c r="AF1047" s="258"/>
      <c r="AG1047" s="258"/>
      <c r="AH1047" s="270"/>
      <c r="AI1047" s="270"/>
      <c r="AQ1047" s="259"/>
      <c r="AR1047" s="259"/>
      <c r="AS1047" s="259"/>
      <c r="AT1047" s="259"/>
      <c r="AU1047" s="259"/>
      <c r="AV1047" s="259"/>
      <c r="AW1047" s="259"/>
    </row>
    <row r="1048" spans="2:49" ht="15" customHeight="1" x14ac:dyDescent="0.25">
      <c r="B1048" s="260"/>
      <c r="D1048" s="262"/>
      <c r="E1048" s="291"/>
      <c r="F1048" s="293"/>
      <c r="G1048" s="288"/>
      <c r="H1048" s="265"/>
      <c r="I1048" s="266"/>
      <c r="K1048" s="268"/>
      <c r="L1048" s="278"/>
      <c r="M1048" s="274"/>
      <c r="N1048" s="258"/>
      <c r="O1048" s="258"/>
      <c r="P1048" s="258"/>
      <c r="Q1048" s="276"/>
      <c r="R1048" s="272"/>
      <c r="S1048" s="272"/>
      <c r="T1048" s="272"/>
      <c r="U1048" s="272"/>
      <c r="V1048" s="272"/>
      <c r="W1048" s="272"/>
      <c r="X1048" s="272"/>
      <c r="Y1048" s="272"/>
      <c r="Z1048" s="258"/>
      <c r="AA1048" s="258"/>
      <c r="AB1048" s="258"/>
      <c r="AC1048" s="258"/>
      <c r="AD1048" s="258"/>
      <c r="AE1048" s="258"/>
      <c r="AF1048" s="258"/>
      <c r="AG1048" s="258"/>
      <c r="AH1048" s="270"/>
      <c r="AI1048" s="270"/>
      <c r="AQ1048" s="259"/>
      <c r="AR1048" s="259"/>
      <c r="AS1048" s="259"/>
      <c r="AT1048" s="259"/>
      <c r="AU1048" s="259"/>
      <c r="AV1048" s="259"/>
      <c r="AW1048" s="259"/>
    </row>
    <row r="1049" spans="2:49" ht="15" customHeight="1" x14ac:dyDescent="0.25">
      <c r="B1049" s="260"/>
      <c r="C1049" s="290"/>
      <c r="D1049" s="262"/>
      <c r="E1049" s="291"/>
      <c r="F1049" s="262"/>
      <c r="G1049" s="289"/>
      <c r="H1049" s="243"/>
      <c r="I1049" s="266"/>
      <c r="K1049" s="268"/>
      <c r="L1049" s="278"/>
      <c r="M1049" s="274"/>
      <c r="N1049" s="258"/>
      <c r="O1049" s="258"/>
      <c r="P1049" s="258"/>
      <c r="Q1049" s="276"/>
      <c r="R1049" s="272"/>
      <c r="S1049" s="272"/>
      <c r="T1049" s="272"/>
      <c r="U1049" s="272"/>
      <c r="V1049" s="272"/>
      <c r="W1049" s="272"/>
      <c r="X1049" s="272"/>
      <c r="Y1049" s="272"/>
      <c r="Z1049" s="258"/>
      <c r="AA1049" s="258"/>
      <c r="AB1049" s="258"/>
      <c r="AC1049" s="258"/>
      <c r="AD1049" s="258"/>
      <c r="AE1049" s="258"/>
      <c r="AF1049" s="258"/>
      <c r="AG1049" s="258"/>
      <c r="AH1049" s="258"/>
      <c r="AQ1049" s="259"/>
      <c r="AR1049" s="259"/>
      <c r="AS1049" s="259"/>
      <c r="AT1049" s="259"/>
      <c r="AU1049" s="259"/>
      <c r="AV1049" s="259"/>
      <c r="AW1049" s="259"/>
    </row>
    <row r="1050" spans="2:49" ht="15" customHeight="1" x14ac:dyDescent="0.25">
      <c r="B1050" s="260"/>
      <c r="D1050" s="262"/>
      <c r="G1050" s="289"/>
      <c r="H1050" s="265"/>
      <c r="I1050" s="266"/>
      <c r="K1050" s="268"/>
      <c r="L1050" s="278"/>
      <c r="M1050" s="274"/>
      <c r="N1050" s="258"/>
      <c r="O1050" s="258"/>
      <c r="P1050" s="258"/>
      <c r="Q1050" s="276"/>
      <c r="R1050" s="272"/>
      <c r="S1050" s="272"/>
      <c r="T1050" s="272"/>
      <c r="U1050" s="272"/>
      <c r="V1050" s="272"/>
      <c r="W1050" s="272"/>
      <c r="X1050" s="272"/>
      <c r="Y1050" s="272"/>
      <c r="Z1050" s="258"/>
      <c r="AA1050" s="258"/>
      <c r="AB1050" s="258"/>
      <c r="AC1050" s="258"/>
      <c r="AD1050" s="258"/>
      <c r="AE1050" s="258"/>
      <c r="AF1050" s="258"/>
      <c r="AG1050" s="258"/>
      <c r="AH1050" s="258"/>
      <c r="AQ1050" s="259"/>
      <c r="AR1050" s="259"/>
      <c r="AS1050" s="259"/>
      <c r="AT1050" s="259"/>
      <c r="AU1050" s="259"/>
      <c r="AV1050" s="259"/>
      <c r="AW1050" s="259"/>
    </row>
    <row r="1051" spans="2:49" ht="15" customHeight="1" x14ac:dyDescent="0.25">
      <c r="B1051" s="260"/>
      <c r="D1051" s="262"/>
      <c r="G1051" s="289"/>
      <c r="H1051" s="265"/>
      <c r="I1051" s="266"/>
      <c r="K1051" s="268"/>
      <c r="L1051" s="278"/>
      <c r="M1051" s="274"/>
      <c r="N1051" s="258"/>
      <c r="O1051" s="258"/>
      <c r="P1051" s="258"/>
      <c r="Q1051" s="276"/>
      <c r="R1051" s="272"/>
      <c r="S1051" s="272"/>
      <c r="T1051" s="272"/>
      <c r="U1051" s="272"/>
      <c r="V1051" s="272"/>
      <c r="W1051" s="272"/>
      <c r="X1051" s="272"/>
      <c r="Y1051" s="272"/>
      <c r="Z1051" s="258"/>
      <c r="AA1051" s="258"/>
      <c r="AB1051" s="258"/>
      <c r="AC1051" s="258"/>
      <c r="AD1051" s="258"/>
      <c r="AE1051" s="258"/>
      <c r="AF1051" s="258"/>
      <c r="AG1051" s="258"/>
      <c r="AH1051" s="258"/>
      <c r="AQ1051" s="259"/>
      <c r="AR1051" s="259"/>
      <c r="AS1051" s="259"/>
      <c r="AT1051" s="259"/>
      <c r="AU1051" s="259"/>
      <c r="AV1051" s="259"/>
      <c r="AW1051" s="259"/>
    </row>
    <row r="1052" spans="2:49" ht="15" customHeight="1" x14ac:dyDescent="0.25">
      <c r="B1052" s="260"/>
      <c r="D1052" s="262"/>
      <c r="G1052" s="289"/>
      <c r="H1052" s="265"/>
      <c r="I1052" s="266"/>
      <c r="K1052" s="268"/>
      <c r="L1052" s="278"/>
      <c r="M1052" s="274"/>
      <c r="N1052" s="258"/>
      <c r="O1052" s="258"/>
      <c r="P1052" s="258"/>
      <c r="Q1052" s="276"/>
      <c r="R1052" s="272"/>
      <c r="S1052" s="272"/>
      <c r="T1052" s="272"/>
      <c r="U1052" s="272"/>
      <c r="V1052" s="272"/>
      <c r="W1052" s="272"/>
      <c r="X1052" s="272"/>
      <c r="Y1052" s="272"/>
      <c r="Z1052" s="258"/>
      <c r="AA1052" s="258"/>
      <c r="AB1052" s="258"/>
      <c r="AC1052" s="258"/>
      <c r="AD1052" s="258"/>
      <c r="AE1052" s="258"/>
      <c r="AF1052" s="258"/>
      <c r="AG1052" s="258"/>
      <c r="AH1052" s="258"/>
      <c r="AQ1052" s="259"/>
      <c r="AR1052" s="259"/>
      <c r="AS1052" s="259"/>
      <c r="AT1052" s="259"/>
      <c r="AU1052" s="259"/>
      <c r="AV1052" s="259"/>
      <c r="AW1052" s="259"/>
    </row>
    <row r="1053" spans="2:49" ht="15" customHeight="1" x14ac:dyDescent="0.25">
      <c r="B1053" s="260"/>
      <c r="D1053" s="262"/>
      <c r="G1053" s="289"/>
      <c r="H1053" s="265"/>
      <c r="I1053" s="266"/>
      <c r="K1053" s="268"/>
      <c r="L1053" s="278"/>
      <c r="M1053" s="274"/>
      <c r="N1053" s="258"/>
      <c r="O1053" s="258"/>
      <c r="P1053" s="258"/>
      <c r="Q1053" s="276"/>
      <c r="W1053" s="272"/>
      <c r="X1053" s="272"/>
      <c r="Y1053" s="272"/>
      <c r="Z1053" s="258"/>
      <c r="AA1053" s="258"/>
      <c r="AB1053" s="258"/>
      <c r="AC1053" s="258"/>
      <c r="AD1053" s="258"/>
      <c r="AE1053" s="258"/>
      <c r="AF1053" s="258"/>
      <c r="AG1053" s="258"/>
      <c r="AH1053" s="258"/>
      <c r="AQ1053" s="259"/>
      <c r="AR1053" s="259"/>
      <c r="AS1053" s="259"/>
      <c r="AT1053" s="259"/>
      <c r="AU1053" s="259"/>
      <c r="AV1053" s="259"/>
      <c r="AW1053" s="259"/>
    </row>
    <row r="1054" spans="2:49" ht="15" customHeight="1" x14ac:dyDescent="0.25">
      <c r="B1054" s="260"/>
      <c r="D1054" s="262"/>
      <c r="G1054" s="289"/>
      <c r="H1054" s="265"/>
      <c r="I1054" s="266"/>
      <c r="K1054" s="268"/>
      <c r="L1054" s="278"/>
      <c r="M1054" s="274"/>
      <c r="N1054" s="258"/>
      <c r="O1054" s="258"/>
      <c r="P1054" s="258"/>
      <c r="Q1054" s="276"/>
      <c r="W1054" s="272"/>
      <c r="X1054" s="272"/>
      <c r="Y1054" s="272"/>
      <c r="Z1054" s="258"/>
      <c r="AA1054" s="258"/>
      <c r="AB1054" s="258"/>
      <c r="AC1054" s="258"/>
      <c r="AD1054" s="258"/>
      <c r="AE1054" s="258"/>
      <c r="AF1054" s="258"/>
      <c r="AG1054" s="258"/>
      <c r="AH1054" s="258"/>
      <c r="AQ1054" s="259"/>
      <c r="AR1054" s="259"/>
      <c r="AS1054" s="259"/>
      <c r="AT1054" s="259"/>
      <c r="AU1054" s="259"/>
      <c r="AV1054" s="259"/>
      <c r="AW1054" s="259"/>
    </row>
    <row r="1055" spans="2:49" ht="15" customHeight="1" x14ac:dyDescent="0.25">
      <c r="B1055" s="260"/>
      <c r="D1055" s="262"/>
      <c r="G1055" s="289"/>
      <c r="H1055" s="265"/>
      <c r="I1055" s="266"/>
      <c r="K1055" s="268"/>
      <c r="L1055" s="278"/>
      <c r="M1055" s="274"/>
      <c r="N1055" s="258"/>
      <c r="O1055" s="258"/>
      <c r="P1055" s="258"/>
      <c r="Q1055" s="276"/>
      <c r="W1055" s="272"/>
      <c r="X1055" s="272"/>
      <c r="Y1055" s="272"/>
      <c r="Z1055" s="258"/>
      <c r="AA1055" s="258"/>
      <c r="AB1055" s="258"/>
      <c r="AC1055" s="258"/>
      <c r="AD1055" s="258"/>
      <c r="AE1055" s="258"/>
      <c r="AF1055" s="258"/>
      <c r="AG1055" s="258"/>
      <c r="AH1055" s="258"/>
      <c r="AQ1055" s="259"/>
      <c r="AR1055" s="259"/>
      <c r="AS1055" s="259"/>
      <c r="AT1055" s="259"/>
      <c r="AU1055" s="259"/>
      <c r="AV1055" s="259"/>
      <c r="AW1055" s="259"/>
    </row>
    <row r="1056" spans="2:49" ht="15" customHeight="1" x14ac:dyDescent="0.25">
      <c r="B1056" s="260"/>
      <c r="D1056" s="262"/>
      <c r="G1056" s="289"/>
      <c r="H1056" s="265"/>
      <c r="I1056" s="266"/>
      <c r="K1056" s="268"/>
      <c r="L1056" s="273"/>
      <c r="M1056" s="274"/>
      <c r="N1056" s="270"/>
      <c r="O1056" s="270"/>
      <c r="P1056" s="270"/>
      <c r="Q1056" s="275"/>
      <c r="R1056" s="272"/>
      <c r="S1056" s="272"/>
      <c r="T1056" s="272"/>
      <c r="U1056" s="272"/>
      <c r="V1056" s="272"/>
      <c r="W1056" s="272"/>
      <c r="X1056" s="272"/>
      <c r="Y1056" s="272"/>
      <c r="Z1056" s="258"/>
      <c r="AA1056" s="258"/>
      <c r="AB1056" s="258"/>
      <c r="AC1056" s="258"/>
      <c r="AD1056" s="258"/>
      <c r="AE1056" s="258"/>
      <c r="AF1056" s="258"/>
      <c r="AG1056" s="258"/>
      <c r="AH1056" s="258"/>
      <c r="AI1056" s="258"/>
      <c r="AQ1056" s="259"/>
      <c r="AR1056" s="259"/>
      <c r="AS1056" s="259"/>
      <c r="AT1056" s="259"/>
      <c r="AU1056" s="259"/>
      <c r="AV1056" s="259"/>
      <c r="AW1056" s="259"/>
    </row>
    <row r="1057" spans="2:49" ht="15" customHeight="1" x14ac:dyDescent="0.25">
      <c r="B1057" s="260"/>
      <c r="D1057" s="262"/>
      <c r="G1057" s="289"/>
      <c r="H1057" s="265"/>
      <c r="I1057" s="266"/>
      <c r="K1057" s="268"/>
      <c r="L1057" s="273"/>
      <c r="M1057" s="274"/>
      <c r="N1057" s="258"/>
      <c r="O1057" s="258"/>
      <c r="P1057" s="258"/>
      <c r="Q1057" s="276"/>
      <c r="R1057" s="272"/>
      <c r="S1057" s="272"/>
      <c r="T1057" s="272"/>
      <c r="U1057" s="272"/>
      <c r="V1057" s="272"/>
      <c r="W1057" s="272"/>
      <c r="X1057" s="272"/>
      <c r="Y1057" s="272"/>
      <c r="Z1057" s="258"/>
      <c r="AA1057" s="258"/>
      <c r="AB1057" s="258"/>
      <c r="AC1057" s="258"/>
      <c r="AD1057" s="258"/>
      <c r="AE1057" s="258"/>
      <c r="AF1057" s="258"/>
      <c r="AG1057" s="258"/>
      <c r="AH1057" s="258"/>
      <c r="AI1057" s="258"/>
      <c r="AQ1057" s="259"/>
      <c r="AR1057" s="259"/>
      <c r="AS1057" s="259"/>
      <c r="AT1057" s="259"/>
      <c r="AU1057" s="259"/>
      <c r="AV1057" s="259"/>
      <c r="AW1057" s="259"/>
    </row>
    <row r="1058" spans="2:49" ht="15" customHeight="1" x14ac:dyDescent="0.25">
      <c r="B1058" s="260"/>
      <c r="D1058" s="262"/>
      <c r="G1058" s="289"/>
      <c r="H1058" s="265"/>
      <c r="I1058" s="266"/>
      <c r="K1058" s="268"/>
      <c r="L1058" s="273"/>
      <c r="M1058" s="274"/>
      <c r="N1058" s="258"/>
      <c r="O1058" s="258"/>
      <c r="P1058" s="258"/>
      <c r="Q1058" s="276"/>
      <c r="R1058" s="272"/>
      <c r="S1058" s="272"/>
      <c r="T1058" s="272"/>
      <c r="U1058" s="272"/>
      <c r="V1058" s="272"/>
      <c r="W1058" s="272"/>
      <c r="X1058" s="272"/>
      <c r="Y1058" s="272"/>
      <c r="Z1058" s="258"/>
      <c r="AA1058" s="258"/>
      <c r="AB1058" s="258"/>
      <c r="AC1058" s="258"/>
      <c r="AD1058" s="258"/>
      <c r="AE1058" s="258"/>
      <c r="AF1058" s="258"/>
      <c r="AG1058" s="258"/>
      <c r="AH1058" s="270"/>
      <c r="AI1058" s="270"/>
      <c r="AQ1058" s="259"/>
      <c r="AR1058" s="259"/>
      <c r="AS1058" s="259"/>
      <c r="AT1058" s="259"/>
      <c r="AU1058" s="259"/>
      <c r="AV1058" s="259"/>
      <c r="AW1058" s="259"/>
    </row>
    <row r="1059" spans="2:49" ht="15" customHeight="1" x14ac:dyDescent="0.25">
      <c r="B1059" s="260"/>
      <c r="D1059" s="262"/>
      <c r="G1059" s="288"/>
      <c r="H1059" s="265"/>
      <c r="I1059" s="266"/>
      <c r="K1059" s="268"/>
      <c r="L1059" s="273"/>
      <c r="M1059" s="277"/>
      <c r="N1059" s="258"/>
      <c r="O1059" s="258"/>
      <c r="P1059" s="258"/>
      <c r="Q1059" s="276"/>
      <c r="R1059" s="272"/>
      <c r="S1059" s="272"/>
      <c r="T1059" s="272"/>
      <c r="U1059" s="272"/>
      <c r="V1059" s="272"/>
      <c r="W1059" s="272"/>
      <c r="X1059" s="272"/>
      <c r="Y1059" s="272"/>
      <c r="Z1059" s="258"/>
      <c r="AA1059" s="258"/>
      <c r="AB1059" s="258"/>
      <c r="AC1059" s="258"/>
      <c r="AD1059" s="258"/>
      <c r="AE1059" s="258"/>
      <c r="AF1059" s="258"/>
      <c r="AG1059" s="258"/>
      <c r="AH1059" s="270"/>
      <c r="AI1059" s="270"/>
      <c r="AQ1059" s="259"/>
      <c r="AR1059" s="259"/>
      <c r="AS1059" s="259"/>
      <c r="AT1059" s="259"/>
      <c r="AU1059" s="259"/>
      <c r="AV1059" s="259"/>
      <c r="AW1059" s="259"/>
    </row>
    <row r="1060" spans="2:49" ht="15" customHeight="1" x14ac:dyDescent="0.25">
      <c r="B1060" s="260"/>
      <c r="D1060" s="262"/>
      <c r="G1060" s="288"/>
      <c r="H1060" s="265"/>
      <c r="I1060" s="266"/>
      <c r="K1060" s="268"/>
      <c r="L1060" s="278"/>
      <c r="M1060" s="274"/>
      <c r="N1060" s="258"/>
      <c r="O1060" s="258"/>
      <c r="P1060" s="258"/>
      <c r="Q1060" s="276"/>
      <c r="R1060" s="272"/>
      <c r="S1060" s="272"/>
      <c r="T1060" s="272"/>
      <c r="U1060" s="272"/>
      <c r="V1060" s="272"/>
      <c r="W1060" s="272"/>
      <c r="X1060" s="272"/>
      <c r="Y1060" s="272"/>
      <c r="Z1060" s="258"/>
      <c r="AA1060" s="258"/>
      <c r="AB1060" s="258"/>
      <c r="AC1060" s="258"/>
      <c r="AD1060" s="258"/>
      <c r="AE1060" s="258"/>
      <c r="AF1060" s="258"/>
      <c r="AG1060" s="258"/>
      <c r="AH1060" s="270"/>
      <c r="AI1060" s="270"/>
      <c r="AQ1060" s="259"/>
      <c r="AR1060" s="259"/>
      <c r="AS1060" s="259"/>
      <c r="AT1060" s="259"/>
      <c r="AU1060" s="259"/>
      <c r="AV1060" s="259"/>
      <c r="AW1060" s="259"/>
    </row>
    <row r="1061" spans="2:49" ht="15" customHeight="1" x14ac:dyDescent="0.25">
      <c r="B1061" s="260"/>
      <c r="D1061" s="262"/>
      <c r="G1061" s="288"/>
      <c r="H1061" s="265"/>
      <c r="I1061" s="266"/>
      <c r="K1061" s="268"/>
      <c r="L1061" s="278"/>
      <c r="M1061" s="274"/>
      <c r="N1061" s="258"/>
      <c r="O1061" s="258"/>
      <c r="P1061" s="258"/>
      <c r="Q1061" s="276"/>
      <c r="R1061" s="272"/>
      <c r="S1061" s="272"/>
      <c r="T1061" s="272"/>
      <c r="U1061" s="272"/>
      <c r="V1061" s="272"/>
      <c r="W1061" s="272"/>
      <c r="X1061" s="272"/>
      <c r="Y1061" s="272"/>
      <c r="Z1061" s="258"/>
      <c r="AA1061" s="258"/>
      <c r="AB1061" s="258"/>
      <c r="AC1061" s="258"/>
      <c r="AD1061" s="258"/>
      <c r="AE1061" s="258"/>
      <c r="AF1061" s="258"/>
      <c r="AG1061" s="258"/>
      <c r="AH1061" s="258"/>
      <c r="AQ1061" s="259"/>
      <c r="AR1061" s="259"/>
      <c r="AS1061" s="259"/>
      <c r="AT1061" s="259"/>
      <c r="AU1061" s="259"/>
      <c r="AV1061" s="259"/>
      <c r="AW1061" s="259"/>
    </row>
    <row r="1062" spans="2:49" ht="15" customHeight="1" x14ac:dyDescent="0.25">
      <c r="B1062" s="260"/>
      <c r="D1062" s="262"/>
      <c r="G1062" s="288"/>
      <c r="H1062" s="265"/>
      <c r="I1062" s="266"/>
      <c r="K1062" s="268"/>
      <c r="L1062" s="278"/>
      <c r="M1062" s="274"/>
      <c r="N1062" s="258"/>
      <c r="O1062" s="258"/>
      <c r="P1062" s="258"/>
      <c r="Q1062" s="276"/>
      <c r="R1062" s="272"/>
      <c r="S1062" s="272"/>
      <c r="T1062" s="272"/>
      <c r="U1062" s="272"/>
      <c r="V1062" s="272"/>
      <c r="W1062" s="272"/>
      <c r="X1062" s="272"/>
      <c r="Y1062" s="272"/>
      <c r="Z1062" s="258"/>
      <c r="AA1062" s="258"/>
      <c r="AB1062" s="258"/>
      <c r="AC1062" s="258"/>
      <c r="AD1062" s="258"/>
      <c r="AE1062" s="258"/>
      <c r="AF1062" s="258"/>
      <c r="AG1062" s="258"/>
      <c r="AH1062" s="258"/>
      <c r="AQ1062" s="259"/>
      <c r="AR1062" s="259"/>
      <c r="AS1062" s="259"/>
      <c r="AT1062" s="259"/>
      <c r="AU1062" s="259"/>
      <c r="AV1062" s="259"/>
      <c r="AW1062" s="259"/>
    </row>
    <row r="1063" spans="2:49" ht="15" customHeight="1" x14ac:dyDescent="0.25">
      <c r="B1063" s="260"/>
      <c r="D1063" s="262"/>
      <c r="E1063" s="291"/>
      <c r="F1063" s="293"/>
      <c r="G1063" s="288"/>
      <c r="H1063" s="265"/>
      <c r="I1063" s="266"/>
      <c r="K1063" s="268"/>
      <c r="L1063" s="278"/>
      <c r="M1063" s="274"/>
      <c r="N1063" s="258"/>
      <c r="O1063" s="258"/>
      <c r="P1063" s="258"/>
      <c r="Q1063" s="276"/>
      <c r="R1063" s="272"/>
      <c r="S1063" s="272"/>
      <c r="T1063" s="272"/>
      <c r="U1063" s="272"/>
      <c r="V1063" s="272"/>
      <c r="W1063" s="272"/>
      <c r="X1063" s="272"/>
      <c r="Y1063" s="272"/>
      <c r="Z1063" s="258"/>
      <c r="AA1063" s="258"/>
      <c r="AB1063" s="258"/>
      <c r="AC1063" s="258"/>
      <c r="AD1063" s="258"/>
      <c r="AE1063" s="258"/>
      <c r="AF1063" s="258"/>
      <c r="AG1063" s="258"/>
      <c r="AH1063" s="258"/>
      <c r="AQ1063" s="259"/>
      <c r="AR1063" s="259"/>
      <c r="AS1063" s="259"/>
      <c r="AT1063" s="259"/>
      <c r="AU1063" s="259"/>
      <c r="AV1063" s="259"/>
      <c r="AW1063" s="259"/>
    </row>
    <row r="1064" spans="2:49" ht="15" customHeight="1" x14ac:dyDescent="0.25">
      <c r="B1064" s="260"/>
      <c r="C1064" s="290"/>
      <c r="D1064" s="262"/>
      <c r="E1064" s="291"/>
      <c r="F1064" s="262"/>
      <c r="G1064" s="289"/>
      <c r="H1064" s="243"/>
      <c r="I1064" s="266"/>
      <c r="K1064" s="268"/>
      <c r="L1064" s="278"/>
      <c r="M1064" s="274"/>
      <c r="N1064" s="258"/>
      <c r="O1064" s="258"/>
      <c r="P1064" s="258"/>
      <c r="Q1064" s="276"/>
      <c r="R1064" s="272"/>
      <c r="S1064" s="272"/>
      <c r="T1064" s="272"/>
      <c r="U1064" s="272"/>
      <c r="V1064" s="272"/>
      <c r="W1064" s="272"/>
      <c r="X1064" s="272"/>
      <c r="Y1064" s="272"/>
      <c r="Z1064" s="258"/>
      <c r="AA1064" s="258"/>
      <c r="AB1064" s="258"/>
      <c r="AC1064" s="258"/>
      <c r="AD1064" s="258"/>
      <c r="AE1064" s="258"/>
      <c r="AF1064" s="258"/>
      <c r="AG1064" s="258"/>
      <c r="AH1064" s="258"/>
      <c r="AQ1064" s="259"/>
      <c r="AR1064" s="259"/>
      <c r="AS1064" s="259"/>
      <c r="AT1064" s="259"/>
      <c r="AU1064" s="259"/>
      <c r="AV1064" s="259"/>
      <c r="AW1064" s="259"/>
    </row>
    <row r="1065" spans="2:49" ht="15" customHeight="1" x14ac:dyDescent="0.25">
      <c r="B1065" s="260"/>
      <c r="D1065" s="262"/>
      <c r="G1065" s="289"/>
      <c r="H1065" s="265"/>
      <c r="I1065" s="266"/>
      <c r="K1065" s="268"/>
      <c r="L1065" s="278"/>
      <c r="M1065" s="274"/>
      <c r="N1065" s="258"/>
      <c r="O1065" s="258"/>
      <c r="P1065" s="258"/>
      <c r="Q1065" s="276"/>
      <c r="W1065" s="272"/>
      <c r="X1065" s="272"/>
      <c r="Y1065" s="272"/>
      <c r="Z1065" s="258"/>
      <c r="AA1065" s="258"/>
      <c r="AB1065" s="258"/>
      <c r="AC1065" s="258"/>
      <c r="AD1065" s="258"/>
      <c r="AE1065" s="258"/>
      <c r="AF1065" s="258"/>
      <c r="AG1065" s="258"/>
      <c r="AH1065" s="258"/>
      <c r="AQ1065" s="259"/>
      <c r="AR1065" s="259"/>
      <c r="AS1065" s="259"/>
      <c r="AT1065" s="259"/>
      <c r="AU1065" s="259"/>
      <c r="AV1065" s="259"/>
      <c r="AW1065" s="259"/>
    </row>
    <row r="1066" spans="2:49" ht="15" customHeight="1" x14ac:dyDescent="0.25">
      <c r="D1066" s="262"/>
      <c r="G1066" s="288"/>
      <c r="H1066" s="265"/>
      <c r="L1066" s="278"/>
      <c r="M1066" s="274"/>
      <c r="N1066" s="258"/>
      <c r="O1066" s="258"/>
      <c r="P1066" s="258"/>
      <c r="Q1066" s="276"/>
      <c r="W1066" s="272"/>
      <c r="X1066" s="272"/>
      <c r="Y1066" s="272"/>
      <c r="Z1066" s="258"/>
      <c r="AA1066" s="258"/>
      <c r="AB1066" s="258"/>
      <c r="AC1066" s="258"/>
      <c r="AD1066" s="258"/>
      <c r="AE1066" s="258"/>
      <c r="AF1066" s="258"/>
      <c r="AG1066" s="258"/>
      <c r="AH1066" s="258"/>
      <c r="AQ1066" s="259"/>
      <c r="AR1066" s="259"/>
      <c r="AS1066" s="259"/>
      <c r="AT1066" s="259"/>
      <c r="AU1066" s="259"/>
      <c r="AV1066" s="259"/>
      <c r="AW1066" s="259"/>
    </row>
    <row r="1067" spans="2:49" ht="15" customHeight="1" x14ac:dyDescent="0.25">
      <c r="B1067" s="260"/>
      <c r="D1067" s="262"/>
      <c r="G1067" s="288"/>
      <c r="H1067" s="265"/>
      <c r="I1067" s="266"/>
      <c r="K1067" s="268"/>
      <c r="L1067" s="278"/>
      <c r="M1067" s="274"/>
      <c r="N1067" s="258"/>
      <c r="O1067" s="258"/>
      <c r="P1067" s="258"/>
      <c r="Q1067" s="276"/>
      <c r="W1067" s="272"/>
      <c r="X1067" s="272"/>
      <c r="Y1067" s="272"/>
      <c r="Z1067" s="258"/>
      <c r="AA1067" s="258"/>
      <c r="AB1067" s="258"/>
      <c r="AC1067" s="258"/>
      <c r="AD1067" s="258"/>
      <c r="AE1067" s="258"/>
      <c r="AF1067" s="258"/>
      <c r="AG1067" s="258"/>
      <c r="AH1067" s="258"/>
      <c r="AQ1067" s="259"/>
      <c r="AR1067" s="259"/>
      <c r="AS1067" s="259"/>
      <c r="AT1067" s="259"/>
      <c r="AU1067" s="259"/>
      <c r="AV1067" s="259"/>
      <c r="AW1067" s="259"/>
    </row>
    <row r="1068" spans="2:49" ht="15" customHeight="1" x14ac:dyDescent="0.25">
      <c r="B1068" s="260"/>
      <c r="D1068" s="262"/>
      <c r="G1068" s="288"/>
      <c r="H1068" s="265"/>
      <c r="I1068" s="266"/>
      <c r="K1068" s="268"/>
      <c r="L1068" s="273"/>
      <c r="M1068" s="274"/>
      <c r="N1068" s="270"/>
      <c r="O1068" s="270"/>
      <c r="P1068" s="270"/>
      <c r="Q1068" s="275"/>
      <c r="R1068" s="272"/>
      <c r="S1068" s="272"/>
      <c r="T1068" s="272"/>
      <c r="U1068" s="272"/>
      <c r="V1068" s="272"/>
      <c r="W1068" s="272"/>
      <c r="X1068" s="272"/>
      <c r="Y1068" s="272"/>
      <c r="Z1068" s="258"/>
      <c r="AA1068" s="258"/>
      <c r="AB1068" s="258"/>
      <c r="AC1068" s="258"/>
      <c r="AD1068" s="258"/>
      <c r="AE1068" s="258"/>
      <c r="AF1068" s="258"/>
      <c r="AG1068" s="258"/>
      <c r="AH1068" s="258"/>
      <c r="AI1068" s="258"/>
      <c r="AQ1068" s="259"/>
      <c r="AR1068" s="259"/>
      <c r="AS1068" s="259"/>
      <c r="AT1068" s="259"/>
      <c r="AU1068" s="259"/>
      <c r="AV1068" s="259"/>
      <c r="AW1068" s="259"/>
    </row>
    <row r="1069" spans="2:49" ht="15" customHeight="1" x14ac:dyDescent="0.25">
      <c r="B1069" s="260"/>
      <c r="D1069" s="262"/>
      <c r="G1069" s="288"/>
      <c r="H1069" s="265"/>
      <c r="I1069" s="266"/>
      <c r="K1069" s="268"/>
      <c r="L1069" s="273"/>
      <c r="M1069" s="274"/>
      <c r="N1069" s="258"/>
      <c r="O1069" s="258"/>
      <c r="P1069" s="258"/>
      <c r="Q1069" s="276"/>
      <c r="R1069" s="272"/>
      <c r="S1069" s="272"/>
      <c r="T1069" s="272"/>
      <c r="U1069" s="272"/>
      <c r="V1069" s="272"/>
      <c r="W1069" s="272"/>
      <c r="X1069" s="272"/>
      <c r="Y1069" s="272"/>
      <c r="Z1069" s="258"/>
      <c r="AA1069" s="258"/>
      <c r="AB1069" s="258"/>
      <c r="AC1069" s="258"/>
      <c r="AD1069" s="258"/>
      <c r="AE1069" s="258"/>
      <c r="AF1069" s="258"/>
      <c r="AG1069" s="258"/>
      <c r="AH1069" s="258"/>
      <c r="AI1069" s="258"/>
      <c r="AQ1069" s="259"/>
      <c r="AR1069" s="259"/>
      <c r="AS1069" s="259"/>
      <c r="AT1069" s="259"/>
      <c r="AU1069" s="259"/>
      <c r="AV1069" s="259"/>
      <c r="AW1069" s="259"/>
    </row>
    <row r="1070" spans="2:49" ht="15" customHeight="1" x14ac:dyDescent="0.25">
      <c r="B1070" s="260"/>
      <c r="D1070" s="262"/>
      <c r="G1070" s="288"/>
      <c r="H1070" s="265"/>
      <c r="I1070" s="266"/>
      <c r="K1070" s="268"/>
      <c r="L1070" s="273"/>
      <c r="M1070" s="274"/>
      <c r="N1070" s="258"/>
      <c r="O1070" s="258"/>
      <c r="P1070" s="258"/>
      <c r="Q1070" s="276"/>
      <c r="R1070" s="272"/>
      <c r="S1070" s="272"/>
      <c r="T1070" s="272"/>
      <c r="U1070" s="272"/>
      <c r="V1070" s="272"/>
      <c r="W1070" s="272"/>
      <c r="X1070" s="272"/>
      <c r="Y1070" s="272"/>
      <c r="Z1070" s="258"/>
      <c r="AA1070" s="258"/>
      <c r="AB1070" s="258"/>
      <c r="AC1070" s="258"/>
      <c r="AD1070" s="258"/>
      <c r="AE1070" s="258"/>
      <c r="AF1070" s="258"/>
      <c r="AG1070" s="258"/>
      <c r="AH1070" s="270"/>
      <c r="AI1070" s="270"/>
      <c r="AQ1070" s="259"/>
      <c r="AR1070" s="259"/>
      <c r="AS1070" s="259"/>
      <c r="AT1070" s="259"/>
      <c r="AU1070" s="259"/>
      <c r="AV1070" s="259"/>
      <c r="AW1070" s="259"/>
    </row>
    <row r="1071" spans="2:49" ht="15" customHeight="1" x14ac:dyDescent="0.25">
      <c r="B1071" s="260"/>
      <c r="D1071" s="262"/>
      <c r="E1071" s="291"/>
      <c r="F1071" s="293"/>
      <c r="G1071" s="288"/>
      <c r="H1071" s="265"/>
      <c r="I1071" s="266"/>
      <c r="K1071" s="268"/>
      <c r="L1071" s="273"/>
      <c r="M1071" s="277"/>
      <c r="N1071" s="258"/>
      <c r="O1071" s="258"/>
      <c r="P1071" s="258"/>
      <c r="Q1071" s="276"/>
      <c r="R1071" s="272"/>
      <c r="S1071" s="272"/>
      <c r="T1071" s="272"/>
      <c r="U1071" s="272"/>
      <c r="V1071" s="272"/>
      <c r="W1071" s="272"/>
      <c r="X1071" s="272"/>
      <c r="Y1071" s="272"/>
      <c r="Z1071" s="258"/>
      <c r="AA1071" s="258"/>
      <c r="AB1071" s="258"/>
      <c r="AC1071" s="258"/>
      <c r="AD1071" s="258"/>
      <c r="AE1071" s="258"/>
      <c r="AF1071" s="258"/>
      <c r="AG1071" s="258"/>
      <c r="AH1071" s="270"/>
      <c r="AI1071" s="270"/>
      <c r="AQ1071" s="259"/>
      <c r="AR1071" s="259"/>
      <c r="AS1071" s="259"/>
      <c r="AT1071" s="259"/>
      <c r="AU1071" s="259"/>
      <c r="AV1071" s="259"/>
      <c r="AW1071" s="259"/>
    </row>
    <row r="1072" spans="2:49" ht="15" customHeight="1" x14ac:dyDescent="0.25">
      <c r="B1072" s="260"/>
      <c r="C1072" s="290"/>
      <c r="D1072" s="262"/>
      <c r="E1072" s="291"/>
      <c r="F1072" s="262"/>
      <c r="G1072" s="289"/>
      <c r="H1072" s="243"/>
      <c r="I1072" s="266"/>
      <c r="K1072" s="268"/>
      <c r="L1072" s="278"/>
      <c r="M1072" s="274"/>
      <c r="N1072" s="258"/>
      <c r="O1072" s="258"/>
      <c r="P1072" s="258"/>
      <c r="Q1072" s="276"/>
      <c r="R1072" s="272"/>
      <c r="S1072" s="272"/>
      <c r="T1072" s="272"/>
      <c r="U1072" s="272"/>
      <c r="V1072" s="272"/>
      <c r="W1072" s="272"/>
      <c r="X1072" s="272"/>
      <c r="Y1072" s="272"/>
      <c r="Z1072" s="258"/>
      <c r="AA1072" s="258"/>
      <c r="AB1072" s="258"/>
      <c r="AC1072" s="258"/>
      <c r="AD1072" s="258"/>
      <c r="AE1072" s="258"/>
      <c r="AF1072" s="258"/>
      <c r="AG1072" s="258"/>
      <c r="AH1072" s="270"/>
      <c r="AI1072" s="270"/>
      <c r="AQ1072" s="259"/>
      <c r="AR1072" s="259"/>
      <c r="AS1072" s="259"/>
      <c r="AT1072" s="259"/>
      <c r="AU1072" s="259"/>
      <c r="AV1072" s="259"/>
      <c r="AW1072" s="259"/>
    </row>
    <row r="1073" spans="2:49" ht="15" customHeight="1" x14ac:dyDescent="0.25">
      <c r="B1073" s="260"/>
      <c r="D1073" s="262"/>
      <c r="G1073" s="289"/>
      <c r="H1073" s="265"/>
      <c r="I1073" s="266"/>
      <c r="K1073" s="268"/>
      <c r="L1073" s="278"/>
      <c r="M1073" s="274"/>
      <c r="N1073" s="258"/>
      <c r="O1073" s="258"/>
      <c r="P1073" s="258"/>
      <c r="Q1073" s="276"/>
      <c r="R1073" s="272"/>
      <c r="S1073" s="272"/>
      <c r="T1073" s="272"/>
      <c r="U1073" s="272"/>
      <c r="V1073" s="272"/>
      <c r="W1073" s="272"/>
      <c r="X1073" s="272"/>
      <c r="Y1073" s="272"/>
      <c r="Z1073" s="258"/>
      <c r="AA1073" s="258"/>
      <c r="AB1073" s="258"/>
      <c r="AC1073" s="258"/>
      <c r="AD1073" s="258"/>
      <c r="AE1073" s="258"/>
      <c r="AF1073" s="258"/>
      <c r="AG1073" s="258"/>
      <c r="AH1073" s="258"/>
      <c r="AQ1073" s="259"/>
      <c r="AR1073" s="259"/>
      <c r="AS1073" s="259"/>
      <c r="AT1073" s="259"/>
      <c r="AU1073" s="259"/>
      <c r="AV1073" s="259"/>
      <c r="AW1073" s="259"/>
    </row>
    <row r="1074" spans="2:49" ht="15" customHeight="1" x14ac:dyDescent="0.25">
      <c r="B1074" s="260"/>
      <c r="D1074" s="262"/>
      <c r="G1074" s="289"/>
      <c r="H1074" s="265"/>
      <c r="I1074" s="266"/>
      <c r="K1074" s="268"/>
      <c r="L1074" s="278"/>
      <c r="M1074" s="274"/>
      <c r="N1074" s="258"/>
      <c r="O1074" s="258"/>
      <c r="P1074" s="258"/>
      <c r="Q1074" s="276"/>
      <c r="R1074" s="272"/>
      <c r="S1074" s="272"/>
      <c r="T1074" s="272"/>
      <c r="U1074" s="272"/>
      <c r="V1074" s="272"/>
      <c r="W1074" s="272"/>
      <c r="X1074" s="272"/>
      <c r="Y1074" s="272"/>
      <c r="Z1074" s="258"/>
      <c r="AA1074" s="258"/>
      <c r="AB1074" s="258"/>
      <c r="AC1074" s="258"/>
      <c r="AD1074" s="258"/>
      <c r="AE1074" s="258"/>
      <c r="AF1074" s="258"/>
      <c r="AG1074" s="258"/>
      <c r="AH1074" s="258"/>
      <c r="AQ1074" s="259"/>
      <c r="AR1074" s="259"/>
      <c r="AS1074" s="259"/>
      <c r="AT1074" s="259"/>
      <c r="AU1074" s="259"/>
      <c r="AV1074" s="259"/>
      <c r="AW1074" s="259"/>
    </row>
    <row r="1075" spans="2:49" ht="15" customHeight="1" x14ac:dyDescent="0.25">
      <c r="D1075" s="262"/>
      <c r="G1075" s="288"/>
      <c r="H1075" s="265"/>
      <c r="L1075" s="278"/>
      <c r="M1075" s="274"/>
      <c r="N1075" s="258"/>
      <c r="O1075" s="258"/>
      <c r="P1075" s="258"/>
      <c r="Q1075" s="276"/>
      <c r="R1075" s="272"/>
      <c r="S1075" s="272"/>
      <c r="T1075" s="272"/>
      <c r="U1075" s="272"/>
      <c r="V1075" s="272"/>
      <c r="W1075" s="272"/>
      <c r="X1075" s="272"/>
      <c r="Y1075" s="272"/>
      <c r="Z1075" s="258"/>
      <c r="AA1075" s="258"/>
      <c r="AB1075" s="258"/>
      <c r="AC1075" s="258"/>
      <c r="AD1075" s="258"/>
      <c r="AE1075" s="258"/>
      <c r="AF1075" s="258"/>
      <c r="AG1075" s="258"/>
      <c r="AH1075" s="258"/>
      <c r="AQ1075" s="259"/>
      <c r="AR1075" s="259"/>
      <c r="AS1075" s="259"/>
      <c r="AT1075" s="259"/>
      <c r="AU1075" s="259"/>
      <c r="AV1075" s="259"/>
      <c r="AW1075" s="259"/>
    </row>
    <row r="1076" spans="2:49" ht="15" customHeight="1" x14ac:dyDescent="0.25">
      <c r="D1076" s="262"/>
      <c r="G1076" s="288"/>
      <c r="H1076" s="265"/>
      <c r="L1076" s="278"/>
      <c r="M1076" s="274"/>
      <c r="N1076" s="258"/>
      <c r="O1076" s="258"/>
      <c r="P1076" s="258"/>
      <c r="Q1076" s="276"/>
      <c r="R1076" s="272"/>
      <c r="S1076" s="272"/>
      <c r="T1076" s="272"/>
      <c r="U1076" s="272"/>
      <c r="V1076" s="272"/>
      <c r="W1076" s="272"/>
      <c r="X1076" s="272"/>
      <c r="Y1076" s="272"/>
      <c r="Z1076" s="258"/>
      <c r="AA1076" s="258"/>
      <c r="AB1076" s="258"/>
      <c r="AC1076" s="258"/>
      <c r="AD1076" s="258"/>
      <c r="AE1076" s="258"/>
      <c r="AF1076" s="258"/>
      <c r="AG1076" s="258"/>
      <c r="AH1076" s="258"/>
      <c r="AQ1076" s="259"/>
      <c r="AR1076" s="259"/>
      <c r="AS1076" s="259"/>
      <c r="AT1076" s="259"/>
      <c r="AU1076" s="259"/>
      <c r="AV1076" s="259"/>
      <c r="AW1076" s="259"/>
    </row>
    <row r="1077" spans="2:49" ht="15" customHeight="1" x14ac:dyDescent="0.25">
      <c r="D1077" s="262"/>
      <c r="G1077" s="288"/>
      <c r="H1077" s="265"/>
      <c r="L1077" s="278"/>
      <c r="M1077" s="274"/>
      <c r="N1077" s="258"/>
      <c r="O1077" s="258"/>
      <c r="P1077" s="258"/>
      <c r="Q1077" s="276"/>
      <c r="W1077" s="272"/>
      <c r="X1077" s="272"/>
      <c r="Y1077" s="272"/>
      <c r="Z1077" s="258"/>
      <c r="AA1077" s="258"/>
      <c r="AB1077" s="258"/>
      <c r="AC1077" s="258"/>
      <c r="AD1077" s="258"/>
      <c r="AE1077" s="258"/>
      <c r="AF1077" s="258"/>
      <c r="AG1077" s="258"/>
      <c r="AH1077" s="258"/>
      <c r="AQ1077" s="259"/>
      <c r="AR1077" s="259"/>
      <c r="AS1077" s="259"/>
      <c r="AT1077" s="259"/>
      <c r="AU1077" s="259"/>
      <c r="AV1077" s="259"/>
      <c r="AW1077" s="259"/>
    </row>
    <row r="1078" spans="2:49" ht="15" customHeight="1" x14ac:dyDescent="0.25">
      <c r="D1078" s="262"/>
      <c r="G1078" s="288"/>
      <c r="H1078" s="265"/>
      <c r="L1078" s="278"/>
      <c r="M1078" s="274"/>
      <c r="N1078" s="258"/>
      <c r="O1078" s="258"/>
      <c r="P1078" s="258"/>
      <c r="Q1078" s="276"/>
      <c r="W1078" s="272"/>
      <c r="X1078" s="272"/>
      <c r="Y1078" s="272"/>
      <c r="Z1078" s="258"/>
      <c r="AA1078" s="258"/>
      <c r="AB1078" s="258"/>
      <c r="AC1078" s="258"/>
      <c r="AD1078" s="258"/>
      <c r="AE1078" s="258"/>
      <c r="AF1078" s="258"/>
      <c r="AG1078" s="258"/>
      <c r="AH1078" s="258"/>
      <c r="AQ1078" s="259"/>
      <c r="AR1078" s="259"/>
      <c r="AS1078" s="259"/>
      <c r="AT1078" s="259"/>
      <c r="AU1078" s="259"/>
      <c r="AV1078" s="259"/>
      <c r="AW1078" s="259"/>
    </row>
    <row r="1079" spans="2:49" ht="15" customHeight="1" x14ac:dyDescent="0.25">
      <c r="D1079" s="262"/>
      <c r="G1079" s="288"/>
      <c r="H1079" s="265"/>
      <c r="L1079" s="278"/>
      <c r="M1079" s="274"/>
      <c r="N1079" s="258"/>
      <c r="O1079" s="258"/>
      <c r="P1079" s="258"/>
      <c r="Q1079" s="276"/>
      <c r="W1079" s="272"/>
      <c r="X1079" s="272"/>
      <c r="Y1079" s="272"/>
      <c r="Z1079" s="258"/>
      <c r="AA1079" s="258"/>
      <c r="AB1079" s="258"/>
      <c r="AC1079" s="258"/>
      <c r="AD1079" s="258"/>
      <c r="AE1079" s="258"/>
      <c r="AF1079" s="258"/>
      <c r="AG1079" s="258"/>
      <c r="AH1079" s="258"/>
      <c r="AQ1079" s="259"/>
      <c r="AR1079" s="259"/>
      <c r="AS1079" s="259"/>
      <c r="AT1079" s="259"/>
      <c r="AU1079" s="259"/>
      <c r="AV1079" s="259"/>
      <c r="AW1079" s="259"/>
    </row>
    <row r="1080" spans="2:49" ht="15" customHeight="1" x14ac:dyDescent="0.25">
      <c r="D1080" s="262"/>
      <c r="G1080" s="288"/>
      <c r="H1080" s="265"/>
      <c r="L1080" s="273"/>
      <c r="M1080" s="274"/>
      <c r="N1080" s="270"/>
      <c r="O1080" s="270"/>
      <c r="P1080" s="270"/>
      <c r="Q1080" s="275"/>
      <c r="R1080" s="272"/>
      <c r="S1080" s="272"/>
      <c r="T1080" s="272"/>
      <c r="U1080" s="272"/>
      <c r="V1080" s="272"/>
      <c r="W1080" s="272"/>
      <c r="X1080" s="272"/>
      <c r="Y1080" s="272"/>
      <c r="Z1080" s="258"/>
      <c r="AA1080" s="258"/>
      <c r="AB1080" s="258"/>
      <c r="AC1080" s="258"/>
      <c r="AD1080" s="258"/>
      <c r="AE1080" s="258"/>
      <c r="AF1080" s="258"/>
      <c r="AG1080" s="258"/>
      <c r="AH1080" s="258"/>
      <c r="AI1080" s="258"/>
      <c r="AQ1080" s="259"/>
      <c r="AR1080" s="259"/>
      <c r="AS1080" s="259"/>
      <c r="AT1080" s="259"/>
      <c r="AU1080" s="259"/>
      <c r="AV1080" s="259"/>
      <c r="AW1080" s="259"/>
    </row>
    <row r="1081" spans="2:49" ht="15" customHeight="1" x14ac:dyDescent="0.25">
      <c r="D1081" s="262"/>
      <c r="G1081" s="288"/>
      <c r="H1081" s="265"/>
      <c r="L1081" s="273"/>
      <c r="M1081" s="274"/>
      <c r="N1081" s="258"/>
      <c r="O1081" s="258"/>
      <c r="P1081" s="258"/>
      <c r="Q1081" s="276"/>
      <c r="R1081" s="272"/>
      <c r="S1081" s="272"/>
      <c r="T1081" s="272"/>
      <c r="U1081" s="272"/>
      <c r="V1081" s="272"/>
      <c r="W1081" s="272"/>
      <c r="X1081" s="272"/>
      <c r="Y1081" s="272"/>
      <c r="Z1081" s="258"/>
      <c r="AA1081" s="258"/>
      <c r="AB1081" s="258"/>
      <c r="AC1081" s="258"/>
      <c r="AD1081" s="258"/>
      <c r="AE1081" s="258"/>
      <c r="AF1081" s="258"/>
      <c r="AG1081" s="258"/>
      <c r="AH1081" s="258"/>
      <c r="AI1081" s="258"/>
      <c r="AQ1081" s="259"/>
      <c r="AR1081" s="259"/>
      <c r="AS1081" s="259"/>
      <c r="AT1081" s="259"/>
      <c r="AU1081" s="259"/>
      <c r="AV1081" s="259"/>
      <c r="AW1081" s="259"/>
    </row>
    <row r="1082" spans="2:49" ht="15" customHeight="1" x14ac:dyDescent="0.25">
      <c r="D1082" s="262"/>
      <c r="G1082" s="288"/>
      <c r="H1082" s="265"/>
      <c r="L1082" s="273"/>
      <c r="M1082" s="274"/>
      <c r="N1082" s="258"/>
      <c r="O1082" s="258"/>
      <c r="P1082" s="258"/>
      <c r="Q1082" s="276"/>
      <c r="R1082" s="272"/>
      <c r="S1082" s="272"/>
      <c r="T1082" s="272"/>
      <c r="U1082" s="272"/>
      <c r="V1082" s="272"/>
      <c r="W1082" s="272"/>
      <c r="X1082" s="272"/>
      <c r="Y1082" s="272"/>
      <c r="Z1082" s="258"/>
      <c r="AA1082" s="258"/>
      <c r="AB1082" s="258"/>
      <c r="AC1082" s="258"/>
      <c r="AD1082" s="258"/>
      <c r="AE1082" s="258"/>
      <c r="AF1082" s="258"/>
      <c r="AG1082" s="258"/>
      <c r="AH1082" s="270"/>
      <c r="AI1082" s="270"/>
      <c r="AQ1082" s="259"/>
      <c r="AR1082" s="259"/>
      <c r="AS1082" s="259"/>
      <c r="AT1082" s="259"/>
      <c r="AU1082" s="259"/>
      <c r="AV1082" s="259"/>
      <c r="AW1082" s="259"/>
    </row>
    <row r="1083" spans="2:49" ht="15" customHeight="1" x14ac:dyDescent="0.25">
      <c r="B1083" s="260"/>
      <c r="D1083" s="262"/>
      <c r="G1083" s="289"/>
      <c r="H1083" s="265"/>
      <c r="I1083" s="266"/>
      <c r="K1083" s="268"/>
      <c r="L1083" s="273"/>
      <c r="M1083" s="277"/>
      <c r="N1083" s="258"/>
      <c r="O1083" s="258"/>
      <c r="P1083" s="258"/>
      <c r="Q1083" s="276"/>
      <c r="R1083" s="272"/>
      <c r="S1083" s="272"/>
      <c r="T1083" s="272"/>
      <c r="U1083" s="272"/>
      <c r="V1083" s="272"/>
      <c r="W1083" s="272"/>
      <c r="X1083" s="272"/>
      <c r="Y1083" s="272"/>
      <c r="Z1083" s="258"/>
      <c r="AA1083" s="258"/>
      <c r="AB1083" s="258"/>
      <c r="AC1083" s="258"/>
      <c r="AD1083" s="258"/>
      <c r="AE1083" s="258"/>
      <c r="AF1083" s="258"/>
      <c r="AG1083" s="258"/>
      <c r="AH1083" s="270"/>
      <c r="AI1083" s="270"/>
      <c r="AQ1083" s="259"/>
      <c r="AR1083" s="259"/>
      <c r="AS1083" s="259"/>
      <c r="AT1083" s="259"/>
      <c r="AU1083" s="259"/>
      <c r="AV1083" s="259"/>
      <c r="AW1083" s="259"/>
    </row>
    <row r="1084" spans="2:49" ht="15" customHeight="1" x14ac:dyDescent="0.25">
      <c r="B1084" s="260"/>
      <c r="D1084" s="262"/>
      <c r="G1084" s="289"/>
      <c r="H1084" s="265"/>
      <c r="I1084" s="266"/>
      <c r="K1084" s="268"/>
      <c r="L1084" s="278"/>
      <c r="M1084" s="274"/>
      <c r="N1084" s="258"/>
      <c r="O1084" s="258"/>
      <c r="P1084" s="258"/>
      <c r="Q1084" s="276"/>
      <c r="R1084" s="272"/>
      <c r="S1084" s="272"/>
      <c r="T1084" s="272"/>
      <c r="U1084" s="272"/>
      <c r="V1084" s="272"/>
      <c r="W1084" s="272"/>
      <c r="X1084" s="272"/>
      <c r="Y1084" s="272"/>
      <c r="Z1084" s="258"/>
      <c r="AA1084" s="258"/>
      <c r="AB1084" s="258"/>
      <c r="AC1084" s="258"/>
      <c r="AD1084" s="258"/>
      <c r="AE1084" s="258"/>
      <c r="AF1084" s="258"/>
      <c r="AG1084" s="258"/>
      <c r="AH1084" s="270"/>
      <c r="AI1084" s="270"/>
      <c r="AQ1084" s="259"/>
      <c r="AR1084" s="259"/>
      <c r="AS1084" s="259"/>
      <c r="AT1084" s="259"/>
      <c r="AU1084" s="259"/>
      <c r="AV1084" s="259"/>
      <c r="AW1084" s="259"/>
    </row>
    <row r="1085" spans="2:49" ht="15" customHeight="1" x14ac:dyDescent="0.25">
      <c r="B1085" s="260"/>
      <c r="D1085" s="262"/>
      <c r="G1085" s="289"/>
      <c r="H1085" s="265"/>
      <c r="I1085" s="266"/>
      <c r="K1085" s="268"/>
      <c r="L1085" s="278"/>
      <c r="M1085" s="274"/>
      <c r="N1085" s="258"/>
      <c r="O1085" s="258"/>
      <c r="P1085" s="258"/>
      <c r="Q1085" s="276"/>
      <c r="R1085" s="272"/>
      <c r="S1085" s="272"/>
      <c r="T1085" s="272"/>
      <c r="U1085" s="272"/>
      <c r="V1085" s="272"/>
      <c r="W1085" s="272"/>
      <c r="X1085" s="272"/>
      <c r="Y1085" s="272"/>
      <c r="Z1085" s="258"/>
      <c r="AA1085" s="258"/>
      <c r="AB1085" s="258"/>
      <c r="AC1085" s="258"/>
      <c r="AD1085" s="258"/>
      <c r="AE1085" s="258"/>
      <c r="AF1085" s="258"/>
      <c r="AG1085" s="258"/>
      <c r="AH1085" s="258"/>
      <c r="AQ1085" s="259"/>
      <c r="AR1085" s="259"/>
      <c r="AS1085" s="259"/>
      <c r="AT1085" s="259"/>
      <c r="AU1085" s="259"/>
      <c r="AV1085" s="259"/>
      <c r="AW1085" s="259"/>
    </row>
    <row r="1086" spans="2:49" ht="15" customHeight="1" x14ac:dyDescent="0.25">
      <c r="B1086" s="260"/>
      <c r="D1086" s="262"/>
      <c r="G1086" s="288"/>
      <c r="H1086" s="265"/>
      <c r="I1086" s="266"/>
      <c r="K1086" s="268"/>
      <c r="L1086" s="278"/>
      <c r="M1086" s="274"/>
      <c r="N1086" s="258"/>
      <c r="O1086" s="258"/>
      <c r="P1086" s="258"/>
      <c r="Q1086" s="276"/>
      <c r="R1086" s="272"/>
      <c r="S1086" s="272"/>
      <c r="T1086" s="272"/>
      <c r="U1086" s="272"/>
      <c r="V1086" s="272"/>
      <c r="W1086" s="272"/>
      <c r="X1086" s="272"/>
      <c r="Y1086" s="272"/>
      <c r="Z1086" s="258"/>
      <c r="AA1086" s="258"/>
      <c r="AB1086" s="258"/>
      <c r="AC1086" s="258"/>
      <c r="AD1086" s="258"/>
      <c r="AE1086" s="258"/>
      <c r="AF1086" s="258"/>
      <c r="AG1086" s="258"/>
      <c r="AH1086" s="258"/>
      <c r="AQ1086" s="259"/>
      <c r="AR1086" s="259"/>
      <c r="AS1086" s="259"/>
      <c r="AT1086" s="259"/>
      <c r="AU1086" s="259"/>
      <c r="AV1086" s="259"/>
      <c r="AW1086" s="259"/>
    </row>
    <row r="1087" spans="2:49" ht="15" customHeight="1" x14ac:dyDescent="0.25">
      <c r="D1087" s="262"/>
      <c r="G1087" s="288"/>
      <c r="H1087" s="265"/>
      <c r="L1087" s="278"/>
      <c r="M1087" s="274"/>
      <c r="N1087" s="258"/>
      <c r="O1087" s="258"/>
      <c r="P1087" s="258"/>
      <c r="Q1087" s="276"/>
      <c r="R1087" s="272"/>
      <c r="S1087" s="272"/>
      <c r="T1087" s="272"/>
      <c r="U1087" s="272"/>
      <c r="V1087" s="272"/>
      <c r="W1087" s="272"/>
      <c r="X1087" s="272"/>
      <c r="Y1087" s="272"/>
      <c r="Z1087" s="258"/>
      <c r="AA1087" s="258"/>
      <c r="AB1087" s="258"/>
      <c r="AC1087" s="258"/>
      <c r="AD1087" s="258"/>
      <c r="AE1087" s="258"/>
      <c r="AF1087" s="258"/>
      <c r="AG1087" s="258"/>
      <c r="AH1087" s="258"/>
      <c r="AQ1087" s="259"/>
      <c r="AR1087" s="259"/>
      <c r="AS1087" s="259"/>
      <c r="AT1087" s="259"/>
      <c r="AU1087" s="259"/>
      <c r="AV1087" s="259"/>
      <c r="AW1087" s="259"/>
    </row>
    <row r="1088" spans="2:49" ht="15" customHeight="1" x14ac:dyDescent="0.25">
      <c r="D1088" s="262"/>
      <c r="G1088" s="288"/>
      <c r="H1088" s="265"/>
      <c r="L1088" s="278"/>
      <c r="M1088" s="274"/>
      <c r="N1088" s="258"/>
      <c r="O1088" s="258"/>
      <c r="P1088" s="258"/>
      <c r="Q1088" s="276"/>
      <c r="R1088" s="272"/>
      <c r="S1088" s="272"/>
      <c r="T1088" s="272"/>
      <c r="U1088" s="272"/>
      <c r="V1088" s="272"/>
      <c r="W1088" s="272"/>
      <c r="X1088" s="272"/>
      <c r="Y1088" s="272"/>
      <c r="Z1088" s="258"/>
      <c r="AA1088" s="258"/>
      <c r="AB1088" s="258"/>
      <c r="AC1088" s="258"/>
      <c r="AD1088" s="258"/>
      <c r="AE1088" s="258"/>
      <c r="AF1088" s="258"/>
      <c r="AG1088" s="258"/>
      <c r="AH1088" s="258"/>
      <c r="AQ1088" s="259"/>
      <c r="AR1088" s="259"/>
      <c r="AS1088" s="259"/>
      <c r="AT1088" s="259"/>
      <c r="AU1088" s="259"/>
      <c r="AV1088" s="259"/>
      <c r="AW1088" s="259"/>
    </row>
    <row r="1089" spans="2:49" ht="15" customHeight="1" x14ac:dyDescent="0.25">
      <c r="D1089" s="262"/>
      <c r="G1089" s="288"/>
      <c r="H1089" s="265"/>
      <c r="L1089" s="278"/>
      <c r="M1089" s="274"/>
      <c r="N1089" s="258"/>
      <c r="O1089" s="258"/>
      <c r="P1089" s="258"/>
      <c r="Q1089" s="276"/>
      <c r="W1089" s="272"/>
      <c r="X1089" s="272"/>
      <c r="Y1089" s="272"/>
      <c r="Z1089" s="258"/>
      <c r="AA1089" s="258"/>
      <c r="AB1089" s="258"/>
      <c r="AC1089" s="258"/>
      <c r="AD1089" s="258"/>
      <c r="AE1089" s="258"/>
      <c r="AF1089" s="258"/>
      <c r="AG1089" s="258"/>
      <c r="AH1089" s="258"/>
      <c r="AQ1089" s="259"/>
      <c r="AR1089" s="259"/>
      <c r="AS1089" s="259"/>
      <c r="AT1089" s="259"/>
      <c r="AU1089" s="259"/>
      <c r="AV1089" s="259"/>
      <c r="AW1089" s="259"/>
    </row>
    <row r="1090" spans="2:49" ht="15" customHeight="1" x14ac:dyDescent="0.25">
      <c r="D1090" s="262"/>
      <c r="G1090" s="288"/>
      <c r="H1090" s="265"/>
      <c r="L1090" s="278"/>
      <c r="M1090" s="274"/>
      <c r="N1090" s="258"/>
      <c r="O1090" s="258"/>
      <c r="P1090" s="258"/>
      <c r="Q1090" s="276"/>
      <c r="W1090" s="272"/>
      <c r="X1090" s="272"/>
      <c r="Y1090" s="272"/>
      <c r="Z1090" s="258"/>
      <c r="AA1090" s="258"/>
      <c r="AB1090" s="258"/>
      <c r="AC1090" s="258"/>
      <c r="AD1090" s="258"/>
      <c r="AE1090" s="258"/>
      <c r="AF1090" s="258"/>
      <c r="AG1090" s="258"/>
      <c r="AH1090" s="258"/>
      <c r="AQ1090" s="259"/>
      <c r="AR1090" s="259"/>
      <c r="AS1090" s="259"/>
      <c r="AT1090" s="259"/>
      <c r="AU1090" s="259"/>
      <c r="AV1090" s="259"/>
      <c r="AW1090" s="259"/>
    </row>
    <row r="1091" spans="2:49" ht="15" customHeight="1" x14ac:dyDescent="0.25">
      <c r="B1091" s="260"/>
      <c r="D1091" s="262"/>
      <c r="G1091" s="288"/>
      <c r="H1091" s="265"/>
      <c r="I1091" s="266"/>
      <c r="K1091" s="268"/>
      <c r="L1091" s="278"/>
      <c r="M1091" s="274"/>
      <c r="N1091" s="258"/>
      <c r="O1091" s="258"/>
      <c r="P1091" s="258"/>
      <c r="Q1091" s="276"/>
      <c r="W1091" s="272"/>
      <c r="X1091" s="272"/>
      <c r="Y1091" s="272"/>
      <c r="Z1091" s="258"/>
      <c r="AA1091" s="258"/>
      <c r="AB1091" s="258"/>
      <c r="AC1091" s="258"/>
      <c r="AD1091" s="258"/>
      <c r="AE1091" s="258"/>
      <c r="AF1091" s="258"/>
      <c r="AG1091" s="258"/>
      <c r="AH1091" s="258"/>
      <c r="AQ1091" s="259"/>
      <c r="AR1091" s="259"/>
      <c r="AS1091" s="259"/>
      <c r="AT1091" s="259"/>
      <c r="AU1091" s="259"/>
      <c r="AV1091" s="259"/>
      <c r="AW1091" s="259"/>
    </row>
    <row r="1092" spans="2:49" ht="15" customHeight="1" x14ac:dyDescent="0.25">
      <c r="B1092" s="260"/>
      <c r="D1092" s="262"/>
      <c r="G1092" s="288"/>
      <c r="H1092" s="265"/>
      <c r="I1092" s="266"/>
      <c r="K1092" s="268"/>
      <c r="L1092" s="273"/>
      <c r="M1092" s="274"/>
      <c r="N1092" s="270"/>
      <c r="O1092" s="270"/>
      <c r="P1092" s="270"/>
      <c r="Q1092" s="275"/>
      <c r="R1092" s="272"/>
      <c r="S1092" s="272"/>
      <c r="T1092" s="272"/>
      <c r="U1092" s="272"/>
      <c r="V1092" s="272"/>
      <c r="W1092" s="272"/>
      <c r="X1092" s="272"/>
      <c r="Y1092" s="272"/>
      <c r="Z1092" s="258"/>
      <c r="AA1092" s="258"/>
      <c r="AB1092" s="258"/>
      <c r="AC1092" s="258"/>
      <c r="AD1092" s="258"/>
      <c r="AE1092" s="258"/>
      <c r="AF1092" s="258"/>
      <c r="AG1092" s="258"/>
      <c r="AH1092" s="258"/>
      <c r="AI1092" s="258"/>
      <c r="AQ1092" s="259"/>
      <c r="AR1092" s="259"/>
      <c r="AS1092" s="259"/>
      <c r="AT1092" s="259"/>
      <c r="AU1092" s="259"/>
      <c r="AV1092" s="259"/>
      <c r="AW1092" s="259"/>
    </row>
    <row r="1093" spans="2:49" ht="15" customHeight="1" x14ac:dyDescent="0.25">
      <c r="B1093" s="260"/>
      <c r="D1093" s="262"/>
      <c r="G1093" s="288"/>
      <c r="H1093" s="265"/>
      <c r="I1093" s="266"/>
      <c r="K1093" s="268"/>
      <c r="L1093" s="273"/>
      <c r="M1093" s="274"/>
      <c r="N1093" s="258"/>
      <c r="O1093" s="258"/>
      <c r="P1093" s="258"/>
      <c r="Q1093" s="276"/>
      <c r="R1093" s="272"/>
      <c r="S1093" s="272"/>
      <c r="T1093" s="272"/>
      <c r="U1093" s="272"/>
      <c r="V1093" s="272"/>
      <c r="W1093" s="272"/>
      <c r="X1093" s="272"/>
      <c r="Y1093" s="272"/>
      <c r="Z1093" s="258"/>
      <c r="AA1093" s="258"/>
      <c r="AB1093" s="258"/>
      <c r="AC1093" s="258"/>
      <c r="AD1093" s="258"/>
      <c r="AE1093" s="258"/>
      <c r="AF1093" s="258"/>
      <c r="AG1093" s="258"/>
      <c r="AH1093" s="258"/>
      <c r="AI1093" s="258"/>
      <c r="AQ1093" s="259"/>
      <c r="AR1093" s="259"/>
      <c r="AS1093" s="259"/>
      <c r="AT1093" s="259"/>
      <c r="AU1093" s="259"/>
      <c r="AV1093" s="259"/>
      <c r="AW1093" s="259"/>
    </row>
    <row r="1094" spans="2:49" ht="15" customHeight="1" x14ac:dyDescent="0.25">
      <c r="B1094" s="260"/>
      <c r="D1094" s="262"/>
      <c r="G1094" s="288"/>
      <c r="H1094" s="265"/>
      <c r="I1094" s="266"/>
      <c r="K1094" s="268"/>
      <c r="L1094" s="273"/>
      <c r="M1094" s="274"/>
      <c r="N1094" s="258"/>
      <c r="O1094" s="258"/>
      <c r="P1094" s="258"/>
      <c r="Q1094" s="276"/>
      <c r="R1094" s="272"/>
      <c r="S1094" s="272"/>
      <c r="T1094" s="272"/>
      <c r="U1094" s="272"/>
      <c r="V1094" s="272"/>
      <c r="W1094" s="272"/>
      <c r="X1094" s="272"/>
      <c r="Y1094" s="272"/>
      <c r="Z1094" s="258"/>
      <c r="AA1094" s="258"/>
      <c r="AB1094" s="258"/>
      <c r="AC1094" s="258"/>
      <c r="AD1094" s="258"/>
      <c r="AE1094" s="258"/>
      <c r="AF1094" s="258"/>
      <c r="AG1094" s="258"/>
      <c r="AH1094" s="270"/>
      <c r="AI1094" s="270"/>
      <c r="AQ1094" s="259"/>
      <c r="AR1094" s="259"/>
      <c r="AS1094" s="259"/>
      <c r="AT1094" s="259"/>
      <c r="AU1094" s="259"/>
      <c r="AV1094" s="259"/>
      <c r="AW1094" s="259"/>
    </row>
    <row r="1095" spans="2:49" ht="15" customHeight="1" x14ac:dyDescent="0.25">
      <c r="B1095" s="260"/>
      <c r="D1095" s="262"/>
      <c r="G1095" s="288"/>
      <c r="H1095" s="265"/>
      <c r="I1095" s="266"/>
      <c r="K1095" s="268"/>
      <c r="L1095" s="273"/>
      <c r="M1095" s="277"/>
      <c r="N1095" s="258"/>
      <c r="O1095" s="258"/>
      <c r="P1095" s="258"/>
      <c r="Q1095" s="276"/>
      <c r="R1095" s="272"/>
      <c r="S1095" s="272"/>
      <c r="T1095" s="272"/>
      <c r="U1095" s="272"/>
      <c r="V1095" s="272"/>
      <c r="W1095" s="272"/>
      <c r="X1095" s="272"/>
      <c r="Y1095" s="272"/>
      <c r="Z1095" s="258"/>
      <c r="AA1095" s="258"/>
      <c r="AB1095" s="258"/>
      <c r="AC1095" s="258"/>
      <c r="AD1095" s="258"/>
      <c r="AE1095" s="258"/>
      <c r="AF1095" s="258"/>
      <c r="AG1095" s="258"/>
      <c r="AH1095" s="270"/>
      <c r="AI1095" s="270"/>
      <c r="AQ1095" s="259"/>
      <c r="AR1095" s="259"/>
      <c r="AS1095" s="259"/>
      <c r="AT1095" s="259"/>
      <c r="AU1095" s="259"/>
      <c r="AV1095" s="259"/>
      <c r="AW1095" s="259"/>
    </row>
    <row r="1096" spans="2:49" ht="15" customHeight="1" x14ac:dyDescent="0.25">
      <c r="B1096" s="260"/>
      <c r="D1096" s="262"/>
      <c r="E1096" s="291"/>
      <c r="F1096" s="293"/>
      <c r="G1096" s="288"/>
      <c r="H1096" s="265"/>
      <c r="I1096" s="266"/>
      <c r="K1096" s="268"/>
      <c r="L1096" s="278"/>
      <c r="M1096" s="274"/>
      <c r="N1096" s="258"/>
      <c r="O1096" s="258"/>
      <c r="P1096" s="258"/>
      <c r="Q1096" s="276"/>
      <c r="R1096" s="272"/>
      <c r="S1096" s="272"/>
      <c r="T1096" s="272"/>
      <c r="U1096" s="272"/>
      <c r="V1096" s="272"/>
      <c r="W1096" s="272"/>
      <c r="X1096" s="272"/>
      <c r="Y1096" s="272"/>
      <c r="Z1096" s="258"/>
      <c r="AA1096" s="258"/>
      <c r="AB1096" s="258"/>
      <c r="AC1096" s="258"/>
      <c r="AD1096" s="258"/>
      <c r="AE1096" s="258"/>
      <c r="AF1096" s="258"/>
      <c r="AG1096" s="258"/>
      <c r="AH1096" s="270"/>
      <c r="AI1096" s="270"/>
      <c r="AQ1096" s="259"/>
      <c r="AR1096" s="259"/>
      <c r="AS1096" s="259"/>
      <c r="AT1096" s="259"/>
      <c r="AU1096" s="259"/>
      <c r="AV1096" s="259"/>
      <c r="AW1096" s="259"/>
    </row>
    <row r="1097" spans="2:49" ht="15" customHeight="1" x14ac:dyDescent="0.25">
      <c r="B1097" s="260"/>
      <c r="C1097" s="290"/>
      <c r="D1097" s="262"/>
      <c r="E1097" s="291"/>
      <c r="F1097" s="262"/>
      <c r="G1097" s="289"/>
      <c r="H1097" s="243"/>
      <c r="I1097" s="266"/>
      <c r="K1097" s="268"/>
      <c r="L1097" s="278"/>
      <c r="M1097" s="274"/>
      <c r="N1097" s="258"/>
      <c r="O1097" s="258"/>
      <c r="P1097" s="258"/>
      <c r="Q1097" s="276"/>
      <c r="R1097" s="272"/>
      <c r="S1097" s="272"/>
      <c r="T1097" s="272"/>
      <c r="U1097" s="272"/>
      <c r="V1097" s="272"/>
      <c r="W1097" s="272"/>
      <c r="X1097" s="272"/>
      <c r="Y1097" s="272"/>
      <c r="Z1097" s="258"/>
      <c r="AA1097" s="258"/>
      <c r="AB1097" s="258"/>
      <c r="AC1097" s="258"/>
      <c r="AD1097" s="258"/>
      <c r="AE1097" s="258"/>
      <c r="AF1097" s="258"/>
      <c r="AG1097" s="258"/>
      <c r="AH1097" s="258"/>
      <c r="AQ1097" s="259"/>
      <c r="AR1097" s="259"/>
      <c r="AS1097" s="259"/>
      <c r="AT1097" s="259"/>
      <c r="AU1097" s="259"/>
      <c r="AV1097" s="259"/>
      <c r="AW1097" s="259"/>
    </row>
    <row r="1098" spans="2:49" ht="15" customHeight="1" x14ac:dyDescent="0.25">
      <c r="B1098" s="260"/>
      <c r="D1098" s="262"/>
      <c r="G1098" s="289"/>
      <c r="H1098" s="265"/>
      <c r="I1098" s="266"/>
      <c r="K1098" s="268"/>
      <c r="L1098" s="278"/>
      <c r="M1098" s="274"/>
      <c r="N1098" s="258"/>
      <c r="O1098" s="258"/>
      <c r="P1098" s="258"/>
      <c r="Q1098" s="276"/>
      <c r="R1098" s="272"/>
      <c r="S1098" s="272"/>
      <c r="T1098" s="272"/>
      <c r="U1098" s="272"/>
      <c r="V1098" s="272"/>
      <c r="W1098" s="272"/>
      <c r="X1098" s="272"/>
      <c r="Y1098" s="272"/>
      <c r="Z1098" s="258"/>
      <c r="AA1098" s="258"/>
      <c r="AB1098" s="258"/>
      <c r="AC1098" s="258"/>
      <c r="AD1098" s="258"/>
      <c r="AE1098" s="258"/>
      <c r="AF1098" s="258"/>
      <c r="AG1098" s="258"/>
      <c r="AH1098" s="258"/>
      <c r="AQ1098" s="259"/>
      <c r="AR1098" s="259"/>
      <c r="AS1098" s="259"/>
      <c r="AT1098" s="259"/>
      <c r="AU1098" s="259"/>
      <c r="AV1098" s="259"/>
      <c r="AW1098" s="259"/>
    </row>
    <row r="1099" spans="2:49" ht="15" customHeight="1" x14ac:dyDescent="0.25">
      <c r="B1099" s="260"/>
      <c r="D1099" s="262"/>
      <c r="G1099" s="288"/>
      <c r="H1099" s="265"/>
      <c r="I1099" s="266"/>
      <c r="K1099" s="268"/>
      <c r="L1099" s="278"/>
      <c r="M1099" s="274"/>
      <c r="N1099" s="258"/>
      <c r="O1099" s="258"/>
      <c r="P1099" s="258"/>
      <c r="Q1099" s="276"/>
      <c r="R1099" s="272"/>
      <c r="S1099" s="272"/>
      <c r="T1099" s="272"/>
      <c r="U1099" s="272"/>
      <c r="V1099" s="272"/>
      <c r="W1099" s="272"/>
      <c r="X1099" s="272"/>
      <c r="Y1099" s="272"/>
      <c r="Z1099" s="258"/>
      <c r="AA1099" s="258"/>
      <c r="AB1099" s="258"/>
      <c r="AC1099" s="258"/>
      <c r="AD1099" s="258"/>
      <c r="AE1099" s="258"/>
      <c r="AF1099" s="258"/>
      <c r="AG1099" s="258"/>
      <c r="AH1099" s="258"/>
      <c r="AQ1099" s="259"/>
      <c r="AR1099" s="259"/>
      <c r="AS1099" s="259"/>
      <c r="AT1099" s="259"/>
      <c r="AU1099" s="259"/>
      <c r="AV1099" s="259"/>
      <c r="AW1099" s="259"/>
    </row>
    <row r="1100" spans="2:49" ht="15" customHeight="1" x14ac:dyDescent="0.25">
      <c r="D1100" s="262"/>
      <c r="G1100" s="288"/>
      <c r="H1100" s="265"/>
      <c r="L1100" s="278"/>
      <c r="M1100" s="274"/>
      <c r="N1100" s="258"/>
      <c r="O1100" s="258"/>
      <c r="P1100" s="258"/>
      <c r="Q1100" s="276"/>
      <c r="R1100" s="272"/>
      <c r="S1100" s="272"/>
      <c r="T1100" s="272"/>
      <c r="U1100" s="272"/>
      <c r="V1100" s="272"/>
      <c r="W1100" s="272"/>
      <c r="X1100" s="272"/>
      <c r="Y1100" s="272"/>
      <c r="Z1100" s="258"/>
      <c r="AA1100" s="258"/>
      <c r="AB1100" s="258"/>
      <c r="AC1100" s="258"/>
      <c r="AD1100" s="258"/>
      <c r="AE1100" s="258"/>
      <c r="AF1100" s="258"/>
      <c r="AG1100" s="258"/>
      <c r="AH1100" s="258"/>
      <c r="AQ1100" s="259"/>
      <c r="AR1100" s="259"/>
      <c r="AS1100" s="259"/>
      <c r="AT1100" s="259"/>
      <c r="AU1100" s="259"/>
      <c r="AV1100" s="259"/>
      <c r="AW1100" s="259"/>
    </row>
    <row r="1101" spans="2:49" ht="15" customHeight="1" x14ac:dyDescent="0.25">
      <c r="D1101" s="262"/>
      <c r="G1101" s="288"/>
      <c r="H1101" s="265"/>
      <c r="L1101" s="278"/>
      <c r="M1101" s="274"/>
      <c r="N1101" s="258"/>
      <c r="O1101" s="258"/>
      <c r="P1101" s="258"/>
      <c r="Q1101" s="276"/>
      <c r="W1101" s="272"/>
      <c r="X1101" s="272"/>
      <c r="Y1101" s="272"/>
      <c r="Z1101" s="258"/>
      <c r="AA1101" s="258"/>
      <c r="AB1101" s="258"/>
      <c r="AC1101" s="258"/>
      <c r="AD1101" s="258"/>
      <c r="AE1101" s="258"/>
      <c r="AF1101" s="258"/>
      <c r="AG1101" s="258"/>
      <c r="AH1101" s="258"/>
      <c r="AQ1101" s="259"/>
      <c r="AR1101" s="259"/>
      <c r="AS1101" s="259"/>
      <c r="AT1101" s="259"/>
      <c r="AU1101" s="259"/>
      <c r="AV1101" s="259"/>
      <c r="AW1101" s="259"/>
    </row>
    <row r="1102" spans="2:49" ht="15" customHeight="1" x14ac:dyDescent="0.25">
      <c r="D1102" s="262"/>
      <c r="G1102" s="288"/>
      <c r="H1102" s="265"/>
      <c r="L1102" s="278"/>
      <c r="M1102" s="274"/>
      <c r="N1102" s="258"/>
      <c r="O1102" s="258"/>
      <c r="P1102" s="258"/>
      <c r="Q1102" s="276"/>
      <c r="W1102" s="272"/>
      <c r="X1102" s="272"/>
      <c r="Y1102" s="272"/>
      <c r="Z1102" s="258"/>
      <c r="AA1102" s="258"/>
      <c r="AB1102" s="258"/>
      <c r="AC1102" s="258"/>
      <c r="AD1102" s="258"/>
      <c r="AE1102" s="258"/>
      <c r="AF1102" s="258"/>
      <c r="AG1102" s="258"/>
      <c r="AH1102" s="258"/>
      <c r="AQ1102" s="259"/>
      <c r="AR1102" s="259"/>
      <c r="AS1102" s="259"/>
      <c r="AT1102" s="259"/>
      <c r="AU1102" s="259"/>
      <c r="AV1102" s="259"/>
      <c r="AW1102" s="259"/>
    </row>
    <row r="1103" spans="2:49" ht="15" customHeight="1" x14ac:dyDescent="0.25">
      <c r="D1103" s="262"/>
      <c r="G1103" s="288"/>
      <c r="H1103" s="265"/>
      <c r="L1103" s="278"/>
      <c r="M1103" s="274"/>
      <c r="N1103" s="258"/>
      <c r="O1103" s="258"/>
      <c r="P1103" s="258"/>
      <c r="Q1103" s="276"/>
      <c r="W1103" s="272"/>
      <c r="X1103" s="272"/>
      <c r="Y1103" s="272"/>
      <c r="Z1103" s="258"/>
      <c r="AA1103" s="258"/>
      <c r="AB1103" s="258"/>
      <c r="AC1103" s="258"/>
      <c r="AD1103" s="258"/>
      <c r="AE1103" s="258"/>
      <c r="AF1103" s="258"/>
      <c r="AG1103" s="258"/>
      <c r="AH1103" s="258"/>
      <c r="AQ1103" s="259"/>
      <c r="AR1103" s="259"/>
      <c r="AS1103" s="259"/>
      <c r="AT1103" s="259"/>
      <c r="AU1103" s="259"/>
      <c r="AV1103" s="259"/>
      <c r="AW1103" s="259"/>
    </row>
    <row r="1104" spans="2:49" ht="15" customHeight="1" x14ac:dyDescent="0.25">
      <c r="D1104" s="262"/>
      <c r="G1104" s="288"/>
      <c r="H1104" s="265"/>
      <c r="L1104" s="273"/>
      <c r="M1104" s="274"/>
      <c r="N1104" s="270"/>
      <c r="O1104" s="270"/>
      <c r="P1104" s="270"/>
      <c r="Q1104" s="275"/>
      <c r="R1104" s="272"/>
      <c r="S1104" s="272"/>
      <c r="T1104" s="272"/>
      <c r="U1104" s="272"/>
      <c r="V1104" s="272"/>
      <c r="W1104" s="272"/>
      <c r="X1104" s="272"/>
      <c r="Y1104" s="272"/>
      <c r="Z1104" s="258"/>
      <c r="AA1104" s="258"/>
      <c r="AB1104" s="258"/>
      <c r="AC1104" s="258"/>
      <c r="AD1104" s="258"/>
      <c r="AE1104" s="258"/>
      <c r="AF1104" s="258"/>
      <c r="AG1104" s="258"/>
      <c r="AH1104" s="258"/>
      <c r="AI1104" s="258"/>
      <c r="AQ1104" s="259"/>
      <c r="AR1104" s="259"/>
      <c r="AS1104" s="259"/>
      <c r="AT1104" s="259"/>
      <c r="AU1104" s="259"/>
      <c r="AV1104" s="259"/>
      <c r="AW1104" s="259"/>
    </row>
    <row r="1105" spans="2:49" ht="15" customHeight="1" x14ac:dyDescent="0.25">
      <c r="D1105" s="262"/>
      <c r="G1105" s="288"/>
      <c r="H1105" s="265"/>
      <c r="L1105" s="273"/>
      <c r="M1105" s="274"/>
      <c r="N1105" s="258"/>
      <c r="O1105" s="258"/>
      <c r="P1105" s="258"/>
      <c r="Q1105" s="276"/>
      <c r="R1105" s="272"/>
      <c r="S1105" s="272"/>
      <c r="T1105" s="272"/>
      <c r="U1105" s="272"/>
      <c r="V1105" s="272"/>
      <c r="W1105" s="272"/>
      <c r="X1105" s="272"/>
      <c r="Y1105" s="272"/>
      <c r="Z1105" s="258"/>
      <c r="AA1105" s="258"/>
      <c r="AB1105" s="258"/>
      <c r="AC1105" s="258"/>
      <c r="AD1105" s="258"/>
      <c r="AE1105" s="258"/>
      <c r="AF1105" s="258"/>
      <c r="AG1105" s="258"/>
      <c r="AH1105" s="258"/>
      <c r="AI1105" s="258"/>
      <c r="AQ1105" s="259"/>
      <c r="AR1105" s="259"/>
      <c r="AS1105" s="259"/>
      <c r="AT1105" s="259"/>
      <c r="AU1105" s="259"/>
      <c r="AV1105" s="259"/>
      <c r="AW1105" s="259"/>
    </row>
    <row r="1106" spans="2:49" ht="15" customHeight="1" x14ac:dyDescent="0.25">
      <c r="D1106" s="262"/>
      <c r="G1106" s="288"/>
      <c r="H1106" s="265"/>
      <c r="L1106" s="273"/>
      <c r="M1106" s="274"/>
      <c r="N1106" s="258"/>
      <c r="O1106" s="258"/>
      <c r="P1106" s="258"/>
      <c r="Q1106" s="276"/>
      <c r="R1106" s="272"/>
      <c r="S1106" s="272"/>
      <c r="T1106" s="272"/>
      <c r="U1106" s="272"/>
      <c r="V1106" s="272"/>
      <c r="W1106" s="272"/>
      <c r="X1106" s="272"/>
      <c r="Y1106" s="272"/>
      <c r="Z1106" s="258"/>
      <c r="AA1106" s="258"/>
      <c r="AB1106" s="258"/>
      <c r="AC1106" s="258"/>
      <c r="AD1106" s="258"/>
      <c r="AE1106" s="258"/>
      <c r="AF1106" s="258"/>
      <c r="AG1106" s="258"/>
      <c r="AH1106" s="270"/>
      <c r="AI1106" s="270"/>
      <c r="AQ1106" s="259"/>
      <c r="AR1106" s="259"/>
      <c r="AS1106" s="259"/>
      <c r="AT1106" s="259"/>
      <c r="AU1106" s="259"/>
      <c r="AV1106" s="259"/>
      <c r="AW1106" s="259"/>
    </row>
    <row r="1107" spans="2:49" ht="15" customHeight="1" x14ac:dyDescent="0.25">
      <c r="D1107" s="262"/>
      <c r="G1107" s="288"/>
      <c r="H1107" s="265"/>
      <c r="L1107" s="273"/>
      <c r="M1107" s="277"/>
      <c r="N1107" s="258"/>
      <c r="O1107" s="258"/>
      <c r="P1107" s="258"/>
      <c r="Q1107" s="276"/>
      <c r="R1107" s="272"/>
      <c r="S1107" s="272"/>
      <c r="T1107" s="272"/>
      <c r="U1107" s="272"/>
      <c r="V1107" s="272"/>
      <c r="W1107" s="272"/>
      <c r="X1107" s="272"/>
      <c r="Y1107" s="272"/>
      <c r="Z1107" s="258"/>
      <c r="AA1107" s="258"/>
      <c r="AB1107" s="258"/>
      <c r="AC1107" s="258"/>
      <c r="AD1107" s="258"/>
      <c r="AE1107" s="258"/>
      <c r="AF1107" s="258"/>
      <c r="AG1107" s="258"/>
      <c r="AH1107" s="270"/>
      <c r="AI1107" s="270"/>
      <c r="AQ1107" s="259"/>
      <c r="AR1107" s="259"/>
      <c r="AS1107" s="259"/>
      <c r="AT1107" s="259"/>
      <c r="AU1107" s="259"/>
      <c r="AV1107" s="259"/>
      <c r="AW1107" s="259"/>
    </row>
    <row r="1108" spans="2:49" ht="15" customHeight="1" x14ac:dyDescent="0.25">
      <c r="D1108" s="262"/>
      <c r="G1108" s="288"/>
      <c r="H1108" s="265"/>
      <c r="L1108" s="278"/>
      <c r="M1108" s="274"/>
      <c r="N1108" s="258"/>
      <c r="O1108" s="258"/>
      <c r="P1108" s="258"/>
      <c r="Q1108" s="276"/>
      <c r="R1108" s="272"/>
      <c r="S1108" s="272"/>
      <c r="T1108" s="272"/>
      <c r="U1108" s="272"/>
      <c r="V1108" s="272"/>
      <c r="W1108" s="272"/>
      <c r="X1108" s="272"/>
      <c r="Y1108" s="272"/>
      <c r="Z1108" s="258"/>
      <c r="AA1108" s="258"/>
      <c r="AB1108" s="258"/>
      <c r="AC1108" s="258"/>
      <c r="AD1108" s="258"/>
      <c r="AE1108" s="258"/>
      <c r="AF1108" s="258"/>
      <c r="AG1108" s="258"/>
      <c r="AH1108" s="270"/>
      <c r="AI1108" s="270"/>
      <c r="AQ1108" s="259"/>
      <c r="AR1108" s="259"/>
      <c r="AS1108" s="259"/>
      <c r="AT1108" s="259"/>
      <c r="AU1108" s="259"/>
      <c r="AV1108" s="259"/>
      <c r="AW1108" s="259"/>
    </row>
    <row r="1109" spans="2:49" ht="15" customHeight="1" x14ac:dyDescent="0.25">
      <c r="B1109" s="260"/>
      <c r="D1109" s="262"/>
      <c r="G1109" s="288"/>
      <c r="H1109" s="265"/>
      <c r="I1109" s="266"/>
      <c r="K1109" s="268"/>
      <c r="L1109" s="278"/>
      <c r="M1109" s="274"/>
      <c r="N1109" s="258"/>
      <c r="O1109" s="258"/>
      <c r="P1109" s="258"/>
      <c r="Q1109" s="276"/>
      <c r="R1109" s="272"/>
      <c r="S1109" s="272"/>
      <c r="T1109" s="272"/>
      <c r="U1109" s="272"/>
      <c r="V1109" s="272"/>
      <c r="W1109" s="272"/>
      <c r="X1109" s="272"/>
      <c r="Y1109" s="272"/>
      <c r="Z1109" s="258"/>
      <c r="AA1109" s="258"/>
      <c r="AB1109" s="258"/>
      <c r="AC1109" s="258"/>
      <c r="AD1109" s="258"/>
      <c r="AE1109" s="258"/>
      <c r="AF1109" s="258"/>
      <c r="AG1109" s="258"/>
      <c r="AH1109" s="258"/>
      <c r="AQ1109" s="259"/>
      <c r="AR1109" s="259"/>
      <c r="AS1109" s="259"/>
      <c r="AT1109" s="259"/>
      <c r="AU1109" s="259"/>
      <c r="AV1109" s="259"/>
      <c r="AW1109" s="259"/>
    </row>
    <row r="1110" spans="2:49" ht="15" customHeight="1" x14ac:dyDescent="0.25">
      <c r="B1110" s="260"/>
      <c r="D1110" s="262"/>
      <c r="G1110" s="288"/>
      <c r="H1110" s="265"/>
      <c r="I1110" s="266"/>
      <c r="K1110" s="268"/>
      <c r="L1110" s="278"/>
      <c r="M1110" s="274"/>
      <c r="N1110" s="258"/>
      <c r="O1110" s="258"/>
      <c r="P1110" s="258"/>
      <c r="Q1110" s="276"/>
      <c r="R1110" s="272"/>
      <c r="S1110" s="272"/>
      <c r="T1110" s="272"/>
      <c r="U1110" s="272"/>
      <c r="V1110" s="272"/>
      <c r="W1110" s="272"/>
      <c r="X1110" s="272"/>
      <c r="Y1110" s="272"/>
      <c r="Z1110" s="258"/>
      <c r="AA1110" s="258"/>
      <c r="AB1110" s="258"/>
      <c r="AC1110" s="258"/>
      <c r="AD1110" s="258"/>
      <c r="AE1110" s="258"/>
      <c r="AF1110" s="258"/>
      <c r="AG1110" s="258"/>
      <c r="AH1110" s="258"/>
      <c r="AQ1110" s="259"/>
      <c r="AR1110" s="259"/>
      <c r="AS1110" s="259"/>
      <c r="AT1110" s="259"/>
      <c r="AU1110" s="259"/>
      <c r="AV1110" s="259"/>
      <c r="AW1110" s="259"/>
    </row>
    <row r="1111" spans="2:49" ht="15" customHeight="1" x14ac:dyDescent="0.25">
      <c r="B1111" s="260"/>
      <c r="D1111" s="262"/>
      <c r="G1111" s="288"/>
      <c r="H1111" s="265"/>
      <c r="I1111" s="266"/>
      <c r="K1111" s="268"/>
      <c r="L1111" s="278"/>
      <c r="M1111" s="274"/>
      <c r="N1111" s="258"/>
      <c r="O1111" s="258"/>
      <c r="P1111" s="258"/>
      <c r="Q1111" s="276"/>
      <c r="R1111" s="272"/>
      <c r="S1111" s="272"/>
      <c r="T1111" s="272"/>
      <c r="U1111" s="272"/>
      <c r="V1111" s="272"/>
      <c r="W1111" s="272"/>
      <c r="X1111" s="272"/>
      <c r="Y1111" s="272"/>
      <c r="Z1111" s="258"/>
      <c r="AA1111" s="258"/>
      <c r="AB1111" s="258"/>
      <c r="AC1111" s="258"/>
      <c r="AD1111" s="258"/>
      <c r="AE1111" s="258"/>
      <c r="AF1111" s="258"/>
      <c r="AG1111" s="258"/>
      <c r="AH1111" s="258"/>
      <c r="AQ1111" s="259"/>
      <c r="AR1111" s="259"/>
      <c r="AS1111" s="259"/>
      <c r="AT1111" s="259"/>
      <c r="AU1111" s="259"/>
      <c r="AV1111" s="259"/>
      <c r="AW1111" s="259"/>
    </row>
    <row r="1112" spans="2:49" ht="15" customHeight="1" x14ac:dyDescent="0.25">
      <c r="B1112" s="260"/>
      <c r="D1112" s="262"/>
      <c r="E1112" s="291"/>
      <c r="F1112" s="293"/>
      <c r="G1112" s="288"/>
      <c r="H1112" s="265"/>
      <c r="I1112" s="266"/>
      <c r="K1112" s="268"/>
      <c r="L1112" s="278"/>
      <c r="M1112" s="274"/>
      <c r="N1112" s="258"/>
      <c r="O1112" s="258"/>
      <c r="P1112" s="258"/>
      <c r="Q1112" s="276"/>
      <c r="R1112" s="272"/>
      <c r="S1112" s="272"/>
      <c r="T1112" s="272"/>
      <c r="U1112" s="272"/>
      <c r="V1112" s="272"/>
      <c r="W1112" s="272"/>
      <c r="X1112" s="272"/>
      <c r="Y1112" s="272"/>
      <c r="Z1112" s="258"/>
      <c r="AA1112" s="258"/>
      <c r="AB1112" s="258"/>
      <c r="AC1112" s="258"/>
      <c r="AD1112" s="258"/>
      <c r="AE1112" s="258"/>
      <c r="AF1112" s="258"/>
      <c r="AG1112" s="258"/>
      <c r="AH1112" s="258"/>
      <c r="AQ1112" s="259"/>
      <c r="AR1112" s="259"/>
      <c r="AS1112" s="259"/>
      <c r="AT1112" s="259"/>
      <c r="AU1112" s="259"/>
      <c r="AV1112" s="259"/>
      <c r="AW1112" s="259"/>
    </row>
    <row r="1113" spans="2:49" ht="15" customHeight="1" x14ac:dyDescent="0.25">
      <c r="B1113" s="260"/>
      <c r="C1113" s="290"/>
      <c r="D1113" s="262"/>
      <c r="E1113" s="291"/>
      <c r="F1113" s="262"/>
      <c r="G1113" s="289"/>
      <c r="H1113" s="243"/>
      <c r="I1113" s="266"/>
      <c r="K1113" s="268"/>
      <c r="L1113" s="278"/>
      <c r="M1113" s="274"/>
      <c r="N1113" s="258"/>
      <c r="O1113" s="258"/>
      <c r="P1113" s="258"/>
      <c r="Q1113" s="276"/>
      <c r="W1113" s="272"/>
      <c r="X1113" s="272"/>
      <c r="Y1113" s="272"/>
      <c r="Z1113" s="258"/>
      <c r="AA1113" s="258"/>
      <c r="AB1113" s="258"/>
      <c r="AC1113" s="258"/>
      <c r="AD1113" s="258"/>
      <c r="AE1113" s="258"/>
      <c r="AF1113" s="258"/>
      <c r="AG1113" s="258"/>
      <c r="AH1113" s="258"/>
      <c r="AQ1113" s="259"/>
      <c r="AR1113" s="259"/>
      <c r="AS1113" s="259"/>
      <c r="AT1113" s="259"/>
      <c r="AU1113" s="259"/>
      <c r="AV1113" s="259"/>
      <c r="AW1113" s="259"/>
    </row>
    <row r="1114" spans="2:49" ht="15" customHeight="1" x14ac:dyDescent="0.25">
      <c r="D1114" s="262"/>
      <c r="G1114" s="288"/>
      <c r="H1114" s="265"/>
      <c r="L1114" s="278"/>
      <c r="M1114" s="274"/>
      <c r="N1114" s="258"/>
      <c r="O1114" s="258"/>
      <c r="P1114" s="258"/>
      <c r="Q1114" s="276"/>
      <c r="W1114" s="272"/>
      <c r="X1114" s="272"/>
      <c r="Y1114" s="272"/>
      <c r="Z1114" s="258"/>
      <c r="AA1114" s="258"/>
      <c r="AB1114" s="258"/>
      <c r="AC1114" s="258"/>
      <c r="AD1114" s="258"/>
      <c r="AE1114" s="258"/>
      <c r="AF1114" s="258"/>
      <c r="AG1114" s="258"/>
      <c r="AH1114" s="258"/>
      <c r="AQ1114" s="259"/>
      <c r="AR1114" s="259"/>
      <c r="AS1114" s="259"/>
      <c r="AT1114" s="259"/>
      <c r="AU1114" s="259"/>
      <c r="AV1114" s="259"/>
      <c r="AW1114" s="259"/>
    </row>
    <row r="1115" spans="2:49" ht="15" customHeight="1" x14ac:dyDescent="0.25">
      <c r="B1115" s="260"/>
      <c r="D1115" s="262"/>
      <c r="G1115" s="288"/>
      <c r="H1115" s="265"/>
      <c r="I1115" s="266"/>
      <c r="K1115" s="268"/>
      <c r="L1115" s="278"/>
      <c r="M1115" s="274"/>
      <c r="N1115" s="258"/>
      <c r="O1115" s="258"/>
      <c r="P1115" s="258"/>
      <c r="Q1115" s="276"/>
      <c r="W1115" s="272"/>
      <c r="X1115" s="272"/>
      <c r="Y1115" s="272"/>
      <c r="Z1115" s="258"/>
      <c r="AA1115" s="258"/>
      <c r="AB1115" s="258"/>
      <c r="AC1115" s="258"/>
      <c r="AD1115" s="258"/>
      <c r="AE1115" s="258"/>
      <c r="AF1115" s="258"/>
      <c r="AG1115" s="258"/>
      <c r="AH1115" s="258"/>
      <c r="AQ1115" s="259"/>
      <c r="AR1115" s="259"/>
      <c r="AS1115" s="259"/>
      <c r="AT1115" s="259"/>
      <c r="AU1115" s="259"/>
      <c r="AV1115" s="259"/>
      <c r="AW1115" s="259"/>
    </row>
    <row r="1116" spans="2:49" ht="15" customHeight="1" x14ac:dyDescent="0.25">
      <c r="B1116" s="260"/>
      <c r="D1116" s="262"/>
      <c r="G1116" s="288"/>
      <c r="H1116" s="265"/>
      <c r="I1116" s="266"/>
      <c r="K1116" s="268"/>
      <c r="L1116" s="273"/>
      <c r="M1116" s="274"/>
      <c r="N1116" s="270"/>
      <c r="O1116" s="270"/>
      <c r="P1116" s="270"/>
      <c r="Q1116" s="275"/>
      <c r="R1116" s="272"/>
      <c r="S1116" s="272"/>
      <c r="T1116" s="272"/>
      <c r="U1116" s="272"/>
      <c r="V1116" s="272"/>
      <c r="W1116" s="272"/>
      <c r="X1116" s="272"/>
      <c r="Y1116" s="272"/>
      <c r="Z1116" s="258"/>
      <c r="AA1116" s="258"/>
      <c r="AB1116" s="258"/>
      <c r="AC1116" s="258"/>
      <c r="AD1116" s="258"/>
      <c r="AE1116" s="258"/>
      <c r="AF1116" s="258"/>
      <c r="AG1116" s="258"/>
      <c r="AH1116" s="258"/>
      <c r="AI1116" s="258"/>
      <c r="AQ1116" s="259"/>
      <c r="AR1116" s="259"/>
      <c r="AS1116" s="259"/>
      <c r="AT1116" s="259"/>
      <c r="AU1116" s="259"/>
      <c r="AV1116" s="259"/>
      <c r="AW1116" s="259"/>
    </row>
    <row r="1117" spans="2:49" ht="15" customHeight="1" x14ac:dyDescent="0.25">
      <c r="B1117" s="260"/>
      <c r="D1117" s="262"/>
      <c r="G1117" s="288"/>
      <c r="H1117" s="265"/>
      <c r="I1117" s="266"/>
      <c r="K1117" s="268"/>
      <c r="L1117" s="273"/>
      <c r="M1117" s="274"/>
      <c r="N1117" s="258"/>
      <c r="O1117" s="258"/>
      <c r="P1117" s="258"/>
      <c r="Q1117" s="276"/>
      <c r="R1117" s="272"/>
      <c r="S1117" s="272"/>
      <c r="T1117" s="272"/>
      <c r="U1117" s="272"/>
      <c r="V1117" s="272"/>
      <c r="W1117" s="272"/>
      <c r="X1117" s="272"/>
      <c r="Y1117" s="272"/>
      <c r="Z1117" s="258"/>
      <c r="AA1117" s="258"/>
      <c r="AB1117" s="258"/>
      <c r="AC1117" s="258"/>
      <c r="AD1117" s="258"/>
      <c r="AE1117" s="258"/>
      <c r="AF1117" s="258"/>
      <c r="AG1117" s="258"/>
      <c r="AH1117" s="258"/>
      <c r="AI1117" s="258"/>
      <c r="AQ1117" s="259"/>
      <c r="AR1117" s="259"/>
      <c r="AS1117" s="259"/>
      <c r="AT1117" s="259"/>
      <c r="AU1117" s="259"/>
      <c r="AV1117" s="259"/>
      <c r="AW1117" s="259"/>
    </row>
    <row r="1118" spans="2:49" ht="15" customHeight="1" x14ac:dyDescent="0.25">
      <c r="B1118" s="260"/>
      <c r="D1118" s="262"/>
      <c r="G1118" s="288"/>
      <c r="H1118" s="265"/>
      <c r="I1118" s="266"/>
      <c r="K1118" s="268"/>
      <c r="L1118" s="273"/>
      <c r="M1118" s="274"/>
      <c r="N1118" s="258"/>
      <c r="O1118" s="258"/>
      <c r="P1118" s="258"/>
      <c r="Q1118" s="276"/>
      <c r="R1118" s="272"/>
      <c r="S1118" s="272"/>
      <c r="T1118" s="272"/>
      <c r="U1118" s="272"/>
      <c r="V1118" s="272"/>
      <c r="W1118" s="272"/>
      <c r="X1118" s="272"/>
      <c r="Y1118" s="272"/>
      <c r="Z1118" s="258"/>
      <c r="AA1118" s="258"/>
      <c r="AB1118" s="258"/>
      <c r="AC1118" s="258"/>
      <c r="AD1118" s="258"/>
      <c r="AE1118" s="258"/>
      <c r="AF1118" s="258"/>
      <c r="AG1118" s="258"/>
      <c r="AH1118" s="270"/>
      <c r="AI1118" s="270"/>
      <c r="AQ1118" s="259"/>
      <c r="AR1118" s="259"/>
      <c r="AS1118" s="259"/>
      <c r="AT1118" s="259"/>
      <c r="AU1118" s="259"/>
      <c r="AV1118" s="259"/>
      <c r="AW1118" s="259"/>
    </row>
    <row r="1119" spans="2:49" ht="15" customHeight="1" x14ac:dyDescent="0.25">
      <c r="B1119" s="260"/>
      <c r="D1119" s="262"/>
      <c r="E1119" s="291"/>
      <c r="F1119" s="293"/>
      <c r="G1119" s="288"/>
      <c r="H1119" s="265"/>
      <c r="I1119" s="266"/>
      <c r="K1119" s="268"/>
      <c r="L1119" s="273"/>
      <c r="M1119" s="277"/>
      <c r="N1119" s="258"/>
      <c r="O1119" s="258"/>
      <c r="P1119" s="258"/>
      <c r="Q1119" s="276"/>
      <c r="R1119" s="272"/>
      <c r="S1119" s="272"/>
      <c r="T1119" s="272"/>
      <c r="U1119" s="272"/>
      <c r="V1119" s="272"/>
      <c r="W1119" s="272"/>
      <c r="X1119" s="272"/>
      <c r="Y1119" s="272"/>
      <c r="Z1119" s="258"/>
      <c r="AA1119" s="258"/>
      <c r="AB1119" s="258"/>
      <c r="AC1119" s="258"/>
      <c r="AD1119" s="258"/>
      <c r="AE1119" s="258"/>
      <c r="AF1119" s="258"/>
      <c r="AG1119" s="258"/>
      <c r="AH1119" s="270"/>
      <c r="AI1119" s="270"/>
      <c r="AQ1119" s="259"/>
      <c r="AR1119" s="259"/>
      <c r="AS1119" s="259"/>
      <c r="AT1119" s="259"/>
      <c r="AU1119" s="259"/>
      <c r="AV1119" s="259"/>
      <c r="AW1119" s="259"/>
    </row>
    <row r="1120" spans="2:49" ht="15" customHeight="1" x14ac:dyDescent="0.25">
      <c r="B1120" s="260"/>
      <c r="C1120" s="290"/>
      <c r="D1120" s="262"/>
      <c r="E1120" s="291"/>
      <c r="F1120" s="262"/>
      <c r="G1120" s="289"/>
      <c r="H1120" s="243"/>
      <c r="I1120" s="266"/>
      <c r="K1120" s="268"/>
      <c r="L1120" s="278"/>
      <c r="M1120" s="274"/>
      <c r="N1120" s="258"/>
      <c r="O1120" s="258"/>
      <c r="P1120" s="258"/>
      <c r="Q1120" s="276"/>
      <c r="R1120" s="272"/>
      <c r="S1120" s="272"/>
      <c r="T1120" s="272"/>
      <c r="U1120" s="272"/>
      <c r="V1120" s="272"/>
      <c r="W1120" s="272"/>
      <c r="X1120" s="272"/>
      <c r="Y1120" s="272"/>
      <c r="Z1120" s="258"/>
      <c r="AA1120" s="258"/>
      <c r="AB1120" s="258"/>
      <c r="AC1120" s="258"/>
      <c r="AD1120" s="258"/>
      <c r="AE1120" s="258"/>
      <c r="AF1120" s="258"/>
      <c r="AG1120" s="258"/>
      <c r="AH1120" s="270"/>
      <c r="AI1120" s="270"/>
      <c r="AQ1120" s="259"/>
      <c r="AR1120" s="259"/>
      <c r="AS1120" s="259"/>
      <c r="AT1120" s="259"/>
      <c r="AU1120" s="259"/>
      <c r="AV1120" s="259"/>
      <c r="AW1120" s="259"/>
    </row>
    <row r="1121" spans="2:49" ht="15" customHeight="1" x14ac:dyDescent="0.25">
      <c r="B1121" s="260"/>
      <c r="D1121" s="262"/>
      <c r="G1121" s="289"/>
      <c r="H1121" s="265"/>
      <c r="I1121" s="266"/>
      <c r="K1121" s="268"/>
      <c r="L1121" s="278"/>
      <c r="M1121" s="274"/>
      <c r="N1121" s="258"/>
      <c r="O1121" s="258"/>
      <c r="P1121" s="258"/>
      <c r="Q1121" s="276"/>
      <c r="R1121" s="272"/>
      <c r="S1121" s="272"/>
      <c r="T1121" s="272"/>
      <c r="U1121" s="272"/>
      <c r="V1121" s="272"/>
      <c r="W1121" s="272"/>
      <c r="X1121" s="272"/>
      <c r="Y1121" s="272"/>
      <c r="Z1121" s="258"/>
      <c r="AA1121" s="258"/>
      <c r="AB1121" s="258"/>
      <c r="AC1121" s="258"/>
      <c r="AD1121" s="258"/>
      <c r="AE1121" s="258"/>
      <c r="AF1121" s="258"/>
      <c r="AG1121" s="258"/>
      <c r="AH1121" s="258"/>
      <c r="AQ1121" s="259"/>
      <c r="AR1121" s="259"/>
      <c r="AS1121" s="259"/>
      <c r="AT1121" s="259"/>
      <c r="AU1121" s="259"/>
      <c r="AV1121" s="259"/>
      <c r="AW1121" s="259"/>
    </row>
    <row r="1122" spans="2:49" ht="15" customHeight="1" x14ac:dyDescent="0.25">
      <c r="B1122" s="260"/>
      <c r="D1122" s="262"/>
      <c r="G1122" s="289"/>
      <c r="H1122" s="265"/>
      <c r="I1122" s="266"/>
      <c r="K1122" s="268"/>
      <c r="L1122" s="278"/>
      <c r="M1122" s="274"/>
      <c r="N1122" s="258"/>
      <c r="O1122" s="258"/>
      <c r="P1122" s="258"/>
      <c r="Q1122" s="276"/>
      <c r="R1122" s="272"/>
      <c r="S1122" s="272"/>
      <c r="T1122" s="272"/>
      <c r="U1122" s="272"/>
      <c r="V1122" s="272"/>
      <c r="W1122" s="272"/>
      <c r="X1122" s="272"/>
      <c r="Y1122" s="272"/>
      <c r="Z1122" s="258"/>
      <c r="AA1122" s="258"/>
      <c r="AB1122" s="258"/>
      <c r="AC1122" s="258"/>
      <c r="AD1122" s="258"/>
      <c r="AE1122" s="258"/>
      <c r="AF1122" s="258"/>
      <c r="AG1122" s="258"/>
      <c r="AH1122" s="258"/>
      <c r="AQ1122" s="259"/>
      <c r="AR1122" s="259"/>
      <c r="AS1122" s="259"/>
      <c r="AT1122" s="259"/>
      <c r="AU1122" s="259"/>
      <c r="AV1122" s="259"/>
      <c r="AW1122" s="259"/>
    </row>
    <row r="1123" spans="2:49" ht="15" customHeight="1" x14ac:dyDescent="0.25">
      <c r="B1123" s="260"/>
      <c r="D1123" s="262"/>
      <c r="G1123" s="289"/>
      <c r="H1123" s="265"/>
      <c r="I1123" s="266"/>
      <c r="K1123" s="268"/>
      <c r="L1123" s="278"/>
      <c r="M1123" s="274"/>
      <c r="N1123" s="258"/>
      <c r="O1123" s="258"/>
      <c r="P1123" s="258"/>
      <c r="Q1123" s="276"/>
      <c r="R1123" s="272"/>
      <c r="S1123" s="272"/>
      <c r="T1123" s="272"/>
      <c r="U1123" s="272"/>
      <c r="V1123" s="272"/>
      <c r="W1123" s="272"/>
      <c r="X1123" s="272"/>
      <c r="Y1123" s="272"/>
      <c r="Z1123" s="258"/>
      <c r="AA1123" s="258"/>
      <c r="AB1123" s="258"/>
      <c r="AC1123" s="258"/>
      <c r="AD1123" s="258"/>
      <c r="AE1123" s="258"/>
      <c r="AF1123" s="258"/>
      <c r="AG1123" s="258"/>
      <c r="AH1123" s="258"/>
      <c r="AQ1123" s="259"/>
      <c r="AR1123" s="259"/>
      <c r="AS1123" s="259"/>
      <c r="AT1123" s="259"/>
      <c r="AU1123" s="259"/>
      <c r="AV1123" s="259"/>
      <c r="AW1123" s="259"/>
    </row>
    <row r="1124" spans="2:49" ht="15" customHeight="1" x14ac:dyDescent="0.25">
      <c r="B1124" s="260"/>
      <c r="D1124" s="262"/>
      <c r="G1124" s="289"/>
      <c r="H1124" s="265"/>
      <c r="I1124" s="266"/>
      <c r="K1124" s="268"/>
      <c r="L1124" s="278"/>
      <c r="M1124" s="274"/>
      <c r="N1124" s="258"/>
      <c r="O1124" s="258"/>
      <c r="P1124" s="258"/>
      <c r="Q1124" s="276"/>
      <c r="R1124" s="272"/>
      <c r="S1124" s="272"/>
      <c r="T1124" s="272"/>
      <c r="U1124" s="272"/>
      <c r="V1124" s="272"/>
      <c r="W1124" s="272"/>
      <c r="X1124" s="272"/>
      <c r="Y1124" s="272"/>
      <c r="Z1124" s="258"/>
      <c r="AA1124" s="258"/>
      <c r="AB1124" s="258"/>
      <c r="AC1124" s="258"/>
      <c r="AD1124" s="258"/>
      <c r="AE1124" s="258"/>
      <c r="AF1124" s="258"/>
      <c r="AG1124" s="258"/>
      <c r="AH1124" s="258"/>
      <c r="AQ1124" s="259"/>
      <c r="AR1124" s="259"/>
      <c r="AS1124" s="259"/>
      <c r="AT1124" s="259"/>
      <c r="AU1124" s="259"/>
      <c r="AV1124" s="259"/>
      <c r="AW1124" s="259"/>
    </row>
    <row r="1125" spans="2:49" ht="15" customHeight="1" x14ac:dyDescent="0.25">
      <c r="B1125" s="260"/>
      <c r="D1125" s="262"/>
      <c r="G1125" s="288"/>
      <c r="H1125" s="265"/>
      <c r="I1125" s="266"/>
      <c r="K1125" s="268"/>
      <c r="L1125" s="278"/>
      <c r="M1125" s="274"/>
      <c r="N1125" s="258"/>
      <c r="O1125" s="258"/>
      <c r="P1125" s="258"/>
      <c r="Q1125" s="276"/>
      <c r="W1125" s="272"/>
      <c r="X1125" s="272"/>
      <c r="Y1125" s="272"/>
      <c r="Z1125" s="258"/>
      <c r="AA1125" s="258"/>
      <c r="AB1125" s="258"/>
      <c r="AC1125" s="258"/>
      <c r="AD1125" s="258"/>
      <c r="AE1125" s="258"/>
      <c r="AF1125" s="258"/>
      <c r="AG1125" s="258"/>
      <c r="AH1125" s="258"/>
      <c r="AQ1125" s="259"/>
      <c r="AR1125" s="259"/>
      <c r="AS1125" s="259"/>
      <c r="AT1125" s="259"/>
      <c r="AU1125" s="259"/>
      <c r="AV1125" s="259"/>
      <c r="AW1125" s="259"/>
    </row>
    <row r="1126" spans="2:49" ht="15" customHeight="1" x14ac:dyDescent="0.25">
      <c r="B1126" s="260"/>
      <c r="D1126" s="262"/>
      <c r="G1126" s="288"/>
      <c r="H1126" s="265"/>
      <c r="I1126" s="266"/>
      <c r="K1126" s="268"/>
      <c r="L1126" s="278"/>
      <c r="M1126" s="274"/>
      <c r="N1126" s="258"/>
      <c r="O1126" s="258"/>
      <c r="P1126" s="258"/>
      <c r="Q1126" s="276"/>
      <c r="W1126" s="272"/>
      <c r="X1126" s="272"/>
      <c r="Y1126" s="272"/>
      <c r="Z1126" s="258"/>
      <c r="AA1126" s="258"/>
      <c r="AB1126" s="258"/>
      <c r="AC1126" s="258"/>
      <c r="AD1126" s="258"/>
      <c r="AE1126" s="258"/>
      <c r="AF1126" s="258"/>
      <c r="AG1126" s="258"/>
      <c r="AH1126" s="258"/>
      <c r="AQ1126" s="259"/>
      <c r="AR1126" s="259"/>
      <c r="AS1126" s="259"/>
      <c r="AT1126" s="259"/>
      <c r="AU1126" s="259"/>
      <c r="AV1126" s="259"/>
      <c r="AW1126" s="259"/>
    </row>
    <row r="1127" spans="2:49" ht="15" customHeight="1" x14ac:dyDescent="0.25">
      <c r="B1127" s="260"/>
      <c r="D1127" s="262"/>
      <c r="G1127" s="288"/>
      <c r="H1127" s="265"/>
      <c r="I1127" s="266"/>
      <c r="K1127" s="268"/>
      <c r="L1127" s="278"/>
      <c r="M1127" s="274"/>
      <c r="N1127" s="258"/>
      <c r="O1127" s="258"/>
      <c r="P1127" s="258"/>
      <c r="Q1127" s="276"/>
      <c r="W1127" s="272"/>
      <c r="X1127" s="272"/>
      <c r="Y1127" s="272"/>
      <c r="Z1127" s="258"/>
      <c r="AA1127" s="258"/>
      <c r="AB1127" s="258"/>
      <c r="AC1127" s="258"/>
      <c r="AD1127" s="258"/>
      <c r="AE1127" s="258"/>
      <c r="AF1127" s="258"/>
      <c r="AG1127" s="258"/>
      <c r="AH1127" s="258"/>
      <c r="AQ1127" s="259"/>
      <c r="AR1127" s="259"/>
      <c r="AS1127" s="259"/>
      <c r="AT1127" s="259"/>
      <c r="AU1127" s="259"/>
      <c r="AV1127" s="259"/>
      <c r="AW1127" s="259"/>
    </row>
    <row r="1128" spans="2:49" ht="15" customHeight="1" x14ac:dyDescent="0.25">
      <c r="B1128" s="260"/>
      <c r="D1128" s="262"/>
      <c r="G1128" s="288"/>
      <c r="H1128" s="265"/>
      <c r="I1128" s="266"/>
      <c r="K1128" s="268"/>
      <c r="L1128" s="273"/>
      <c r="M1128" s="274"/>
      <c r="N1128" s="270"/>
      <c r="O1128" s="270"/>
      <c r="P1128" s="270"/>
      <c r="Q1128" s="275"/>
      <c r="R1128" s="272"/>
      <c r="S1128" s="272"/>
      <c r="T1128" s="272"/>
      <c r="U1128" s="272"/>
      <c r="V1128" s="272"/>
      <c r="W1128" s="272"/>
      <c r="X1128" s="272"/>
      <c r="Y1128" s="272"/>
      <c r="Z1128" s="258"/>
      <c r="AA1128" s="258"/>
      <c r="AB1128" s="258"/>
      <c r="AC1128" s="258"/>
      <c r="AD1128" s="258"/>
      <c r="AE1128" s="258"/>
      <c r="AF1128" s="258"/>
      <c r="AG1128" s="258"/>
      <c r="AH1128" s="258"/>
      <c r="AI1128" s="258"/>
      <c r="AQ1128" s="259"/>
      <c r="AR1128" s="259"/>
      <c r="AS1128" s="259"/>
      <c r="AT1128" s="259"/>
      <c r="AU1128" s="259"/>
      <c r="AV1128" s="259"/>
      <c r="AW1128" s="259"/>
    </row>
    <row r="1129" spans="2:49" ht="15" customHeight="1" x14ac:dyDescent="0.25">
      <c r="B1129" s="260"/>
      <c r="D1129" s="262"/>
      <c r="E1129" s="291"/>
      <c r="F1129" s="293"/>
      <c r="G1129" s="288"/>
      <c r="H1129" s="265"/>
      <c r="I1129" s="266"/>
      <c r="K1129" s="268"/>
      <c r="L1129" s="273"/>
      <c r="M1129" s="274"/>
      <c r="N1129" s="258"/>
      <c r="O1129" s="258"/>
      <c r="P1129" s="258"/>
      <c r="Q1129" s="276"/>
      <c r="R1129" s="272"/>
      <c r="S1129" s="272"/>
      <c r="T1129" s="272"/>
      <c r="U1129" s="272"/>
      <c r="V1129" s="272"/>
      <c r="W1129" s="272"/>
      <c r="X1129" s="272"/>
      <c r="Y1129" s="272"/>
      <c r="Z1129" s="258"/>
      <c r="AA1129" s="258"/>
      <c r="AB1129" s="258"/>
      <c r="AC1129" s="258"/>
      <c r="AD1129" s="258"/>
      <c r="AE1129" s="258"/>
      <c r="AF1129" s="258"/>
      <c r="AG1129" s="258"/>
      <c r="AH1129" s="258"/>
      <c r="AI1129" s="258"/>
      <c r="AQ1129" s="259"/>
      <c r="AR1129" s="259"/>
      <c r="AS1129" s="259"/>
      <c r="AT1129" s="259"/>
      <c r="AU1129" s="259"/>
      <c r="AV1129" s="259"/>
      <c r="AW1129" s="259"/>
    </row>
    <row r="1130" spans="2:49" ht="15" customHeight="1" x14ac:dyDescent="0.25">
      <c r="B1130" s="260"/>
      <c r="C1130" s="290"/>
      <c r="D1130" s="262"/>
      <c r="E1130" s="291"/>
      <c r="F1130" s="262"/>
      <c r="G1130" s="289"/>
      <c r="H1130" s="243"/>
      <c r="I1130" s="266"/>
      <c r="K1130" s="268"/>
      <c r="L1130" s="273"/>
      <c r="M1130" s="274"/>
      <c r="N1130" s="258"/>
      <c r="O1130" s="258"/>
      <c r="P1130" s="258"/>
      <c r="Q1130" s="276"/>
      <c r="R1130" s="272"/>
      <c r="S1130" s="272"/>
      <c r="T1130" s="272"/>
      <c r="U1130" s="272"/>
      <c r="V1130" s="272"/>
      <c r="W1130" s="272"/>
      <c r="X1130" s="272"/>
      <c r="Y1130" s="272"/>
      <c r="Z1130" s="258"/>
      <c r="AA1130" s="258"/>
      <c r="AB1130" s="258"/>
      <c r="AC1130" s="258"/>
      <c r="AD1130" s="258"/>
      <c r="AE1130" s="258"/>
      <c r="AF1130" s="258"/>
      <c r="AG1130" s="258"/>
      <c r="AH1130" s="270"/>
      <c r="AI1130" s="270"/>
      <c r="AQ1130" s="259"/>
      <c r="AR1130" s="259"/>
      <c r="AS1130" s="259"/>
      <c r="AT1130" s="259"/>
      <c r="AU1130" s="259"/>
      <c r="AV1130" s="259"/>
      <c r="AW1130" s="259"/>
    </row>
    <row r="1131" spans="2:49" ht="15" customHeight="1" x14ac:dyDescent="0.25">
      <c r="B1131" s="260"/>
      <c r="D1131" s="262"/>
      <c r="G1131" s="289"/>
      <c r="H1131" s="265"/>
      <c r="I1131" s="266"/>
      <c r="K1131" s="268"/>
      <c r="L1131" s="273"/>
      <c r="M1131" s="277"/>
      <c r="N1131" s="258"/>
      <c r="O1131" s="258"/>
      <c r="P1131" s="258"/>
      <c r="Q1131" s="276"/>
      <c r="R1131" s="272"/>
      <c r="S1131" s="272"/>
      <c r="T1131" s="272"/>
      <c r="U1131" s="272"/>
      <c r="V1131" s="272"/>
      <c r="W1131" s="272"/>
      <c r="X1131" s="272"/>
      <c r="Y1131" s="272"/>
      <c r="Z1131" s="258"/>
      <c r="AA1131" s="258"/>
      <c r="AB1131" s="258"/>
      <c r="AC1131" s="258"/>
      <c r="AD1131" s="258"/>
      <c r="AE1131" s="258"/>
      <c r="AF1131" s="258"/>
      <c r="AG1131" s="258"/>
      <c r="AH1131" s="270"/>
      <c r="AI1131" s="270"/>
      <c r="AQ1131" s="259"/>
      <c r="AR1131" s="259"/>
      <c r="AS1131" s="259"/>
      <c r="AT1131" s="259"/>
      <c r="AU1131" s="259"/>
      <c r="AV1131" s="259"/>
      <c r="AW1131" s="259"/>
    </row>
    <row r="1132" spans="2:49" ht="15" customHeight="1" x14ac:dyDescent="0.25">
      <c r="B1132" s="260"/>
      <c r="D1132" s="262"/>
      <c r="G1132" s="289"/>
      <c r="H1132" s="265"/>
      <c r="I1132" s="266"/>
      <c r="K1132" s="268"/>
      <c r="L1132" s="278"/>
      <c r="M1132" s="274"/>
      <c r="N1132" s="258"/>
      <c r="O1132" s="258"/>
      <c r="P1132" s="258"/>
      <c r="Q1132" s="276"/>
      <c r="R1132" s="272"/>
      <c r="S1132" s="272"/>
      <c r="T1132" s="272"/>
      <c r="U1132" s="272"/>
      <c r="V1132" s="272"/>
      <c r="W1132" s="272"/>
      <c r="X1132" s="272"/>
      <c r="Y1132" s="272"/>
      <c r="Z1132" s="258"/>
      <c r="AA1132" s="258"/>
      <c r="AB1132" s="258"/>
      <c r="AC1132" s="258"/>
      <c r="AD1132" s="258"/>
      <c r="AE1132" s="258"/>
      <c r="AF1132" s="258"/>
      <c r="AG1132" s="258"/>
      <c r="AH1132" s="270"/>
      <c r="AI1132" s="270"/>
      <c r="AQ1132" s="259"/>
      <c r="AR1132" s="259"/>
      <c r="AS1132" s="259"/>
      <c r="AT1132" s="259"/>
      <c r="AU1132" s="259"/>
      <c r="AV1132" s="259"/>
      <c r="AW1132" s="259"/>
    </row>
    <row r="1133" spans="2:49" ht="15" customHeight="1" x14ac:dyDescent="0.25">
      <c r="B1133" s="260"/>
      <c r="D1133" s="262"/>
      <c r="G1133" s="289"/>
      <c r="H1133" s="265"/>
      <c r="I1133" s="266"/>
      <c r="K1133" s="268"/>
      <c r="L1133" s="278"/>
      <c r="M1133" s="274"/>
      <c r="N1133" s="258"/>
      <c r="O1133" s="258"/>
      <c r="P1133" s="258"/>
      <c r="Q1133" s="276"/>
      <c r="R1133" s="272"/>
      <c r="S1133" s="272"/>
      <c r="T1133" s="272"/>
      <c r="U1133" s="272"/>
      <c r="V1133" s="272"/>
      <c r="W1133" s="272"/>
      <c r="X1133" s="272"/>
      <c r="Y1133" s="272"/>
      <c r="Z1133" s="258"/>
      <c r="AA1133" s="258"/>
      <c r="AB1133" s="258"/>
      <c r="AC1133" s="258"/>
      <c r="AD1133" s="258"/>
      <c r="AE1133" s="258"/>
      <c r="AF1133" s="258"/>
      <c r="AG1133" s="258"/>
      <c r="AH1133" s="258"/>
      <c r="AQ1133" s="259"/>
      <c r="AR1133" s="259"/>
      <c r="AS1133" s="259"/>
      <c r="AT1133" s="259"/>
      <c r="AU1133" s="259"/>
      <c r="AV1133" s="259"/>
      <c r="AW1133" s="259"/>
    </row>
    <row r="1134" spans="2:49" ht="15" customHeight="1" x14ac:dyDescent="0.25">
      <c r="B1134" s="260"/>
      <c r="D1134" s="262"/>
      <c r="G1134" s="289"/>
      <c r="H1134" s="265"/>
      <c r="I1134" s="266"/>
      <c r="K1134" s="268"/>
      <c r="L1134" s="278"/>
      <c r="M1134" s="274"/>
      <c r="N1134" s="258"/>
      <c r="O1134" s="258"/>
      <c r="P1134" s="258"/>
      <c r="Q1134" s="276"/>
      <c r="R1134" s="272"/>
      <c r="S1134" s="272"/>
      <c r="T1134" s="272"/>
      <c r="U1134" s="272"/>
      <c r="V1134" s="272"/>
      <c r="W1134" s="272"/>
      <c r="X1134" s="272"/>
      <c r="Y1134" s="272"/>
      <c r="Z1134" s="258"/>
      <c r="AA1134" s="258"/>
      <c r="AB1134" s="258"/>
      <c r="AC1134" s="258"/>
      <c r="AD1134" s="258"/>
      <c r="AE1134" s="258"/>
      <c r="AF1134" s="258"/>
      <c r="AG1134" s="258"/>
      <c r="AH1134" s="258"/>
      <c r="AQ1134" s="259"/>
      <c r="AR1134" s="259"/>
      <c r="AS1134" s="259"/>
      <c r="AT1134" s="259"/>
      <c r="AU1134" s="259"/>
      <c r="AV1134" s="259"/>
      <c r="AW1134" s="259"/>
    </row>
    <row r="1135" spans="2:49" ht="15" customHeight="1" x14ac:dyDescent="0.25">
      <c r="B1135" s="260"/>
      <c r="D1135" s="262"/>
      <c r="G1135" s="289"/>
      <c r="H1135" s="265"/>
      <c r="I1135" s="266"/>
      <c r="K1135" s="268"/>
      <c r="L1135" s="278"/>
      <c r="M1135" s="274"/>
      <c r="N1135" s="258"/>
      <c r="O1135" s="258"/>
      <c r="P1135" s="258"/>
      <c r="Q1135" s="276"/>
      <c r="R1135" s="272"/>
      <c r="S1135" s="272"/>
      <c r="T1135" s="272"/>
      <c r="U1135" s="272"/>
      <c r="V1135" s="272"/>
      <c r="W1135" s="272"/>
      <c r="X1135" s="272"/>
      <c r="Y1135" s="272"/>
      <c r="Z1135" s="258"/>
      <c r="AA1135" s="258"/>
      <c r="AB1135" s="258"/>
      <c r="AC1135" s="258"/>
      <c r="AD1135" s="258"/>
      <c r="AE1135" s="258"/>
      <c r="AF1135" s="258"/>
      <c r="AG1135" s="258"/>
      <c r="AH1135" s="258"/>
      <c r="AQ1135" s="259"/>
      <c r="AR1135" s="259"/>
      <c r="AS1135" s="259"/>
      <c r="AT1135" s="259"/>
      <c r="AU1135" s="259"/>
      <c r="AV1135" s="259"/>
      <c r="AW1135" s="259"/>
    </row>
    <row r="1136" spans="2:49" ht="15" customHeight="1" x14ac:dyDescent="0.25">
      <c r="B1136" s="260"/>
      <c r="D1136" s="262"/>
      <c r="G1136" s="289"/>
      <c r="H1136" s="265"/>
      <c r="I1136" s="266"/>
      <c r="K1136" s="268"/>
      <c r="L1136" s="278"/>
      <c r="M1136" s="274"/>
      <c r="N1136" s="258"/>
      <c r="O1136" s="258"/>
      <c r="P1136" s="258"/>
      <c r="Q1136" s="276"/>
      <c r="R1136" s="272"/>
      <c r="S1136" s="272"/>
      <c r="T1136" s="272"/>
      <c r="U1136" s="272"/>
      <c r="V1136" s="272"/>
      <c r="W1136" s="272"/>
      <c r="X1136" s="272"/>
      <c r="Y1136" s="272"/>
      <c r="Z1136" s="258"/>
      <c r="AA1136" s="258"/>
      <c r="AB1136" s="258"/>
      <c r="AC1136" s="258"/>
      <c r="AD1136" s="258"/>
      <c r="AE1136" s="258"/>
      <c r="AF1136" s="258"/>
      <c r="AG1136" s="258"/>
      <c r="AH1136" s="258"/>
      <c r="AQ1136" s="259"/>
      <c r="AR1136" s="259"/>
      <c r="AS1136" s="259"/>
      <c r="AT1136" s="259"/>
      <c r="AU1136" s="259"/>
      <c r="AV1136" s="259"/>
      <c r="AW1136" s="259"/>
    </row>
    <row r="1137" spans="2:49" ht="15" customHeight="1" x14ac:dyDescent="0.25">
      <c r="B1137" s="260"/>
      <c r="D1137" s="262"/>
      <c r="G1137" s="288"/>
      <c r="H1137" s="265"/>
      <c r="I1137" s="266"/>
      <c r="K1137" s="268"/>
      <c r="L1137" s="278"/>
      <c r="M1137" s="274"/>
      <c r="N1137" s="258"/>
      <c r="O1137" s="258"/>
      <c r="P1137" s="258"/>
      <c r="Q1137" s="276"/>
      <c r="W1137" s="272"/>
      <c r="X1137" s="272"/>
      <c r="Y1137" s="272"/>
      <c r="Z1137" s="258"/>
      <c r="AA1137" s="258"/>
      <c r="AB1137" s="258"/>
      <c r="AC1137" s="258"/>
      <c r="AD1137" s="258"/>
      <c r="AE1137" s="258"/>
      <c r="AF1137" s="258"/>
      <c r="AG1137" s="258"/>
      <c r="AH1137" s="258"/>
      <c r="AQ1137" s="259"/>
      <c r="AR1137" s="259"/>
      <c r="AS1137" s="259"/>
      <c r="AT1137" s="259"/>
      <c r="AU1137" s="259"/>
      <c r="AV1137" s="259"/>
      <c r="AW1137" s="259"/>
    </row>
    <row r="1138" spans="2:49" ht="15" customHeight="1" x14ac:dyDescent="0.25">
      <c r="B1138" s="260"/>
      <c r="D1138" s="262"/>
      <c r="G1138" s="288"/>
      <c r="H1138" s="265"/>
      <c r="I1138" s="266"/>
      <c r="K1138" s="268"/>
      <c r="L1138" s="278"/>
      <c r="M1138" s="274"/>
      <c r="N1138" s="258"/>
      <c r="O1138" s="258"/>
      <c r="P1138" s="258"/>
      <c r="Q1138" s="276"/>
      <c r="W1138" s="272"/>
      <c r="X1138" s="272"/>
      <c r="Y1138" s="272"/>
      <c r="Z1138" s="258"/>
      <c r="AA1138" s="258"/>
      <c r="AB1138" s="258"/>
      <c r="AC1138" s="258"/>
      <c r="AD1138" s="258"/>
      <c r="AE1138" s="258"/>
      <c r="AF1138" s="258"/>
      <c r="AG1138" s="258"/>
      <c r="AH1138" s="258"/>
      <c r="AQ1138" s="259"/>
      <c r="AR1138" s="259"/>
      <c r="AS1138" s="259"/>
      <c r="AT1138" s="259"/>
      <c r="AU1138" s="259"/>
      <c r="AV1138" s="259"/>
      <c r="AW1138" s="259"/>
    </row>
    <row r="1139" spans="2:49" ht="15" customHeight="1" x14ac:dyDescent="0.25">
      <c r="B1139" s="260"/>
      <c r="D1139" s="262"/>
      <c r="G1139" s="288"/>
      <c r="H1139" s="265"/>
      <c r="I1139" s="266"/>
      <c r="K1139" s="268"/>
      <c r="L1139" s="278"/>
      <c r="M1139" s="274"/>
      <c r="N1139" s="258"/>
      <c r="O1139" s="258"/>
      <c r="P1139" s="258"/>
      <c r="Q1139" s="276"/>
      <c r="W1139" s="272"/>
      <c r="X1139" s="272"/>
      <c r="Y1139" s="272"/>
      <c r="Z1139" s="258"/>
      <c r="AA1139" s="258"/>
      <c r="AB1139" s="258"/>
      <c r="AC1139" s="258"/>
      <c r="AD1139" s="258"/>
      <c r="AE1139" s="258"/>
      <c r="AF1139" s="258"/>
      <c r="AG1139" s="258"/>
      <c r="AH1139" s="258"/>
      <c r="AQ1139" s="259"/>
      <c r="AR1139" s="259"/>
      <c r="AS1139" s="259"/>
      <c r="AT1139" s="259"/>
      <c r="AU1139" s="259"/>
      <c r="AV1139" s="259"/>
      <c r="AW1139" s="259"/>
    </row>
    <row r="1140" spans="2:49" ht="15" customHeight="1" x14ac:dyDescent="0.25">
      <c r="B1140" s="260"/>
      <c r="D1140" s="262"/>
      <c r="G1140" s="288"/>
      <c r="H1140" s="265"/>
      <c r="I1140" s="266"/>
      <c r="K1140" s="268"/>
      <c r="L1140" s="273"/>
      <c r="M1140" s="274"/>
      <c r="N1140" s="270"/>
      <c r="O1140" s="270"/>
      <c r="P1140" s="270"/>
      <c r="Q1140" s="275"/>
      <c r="R1140" s="272"/>
      <c r="S1140" s="272"/>
      <c r="T1140" s="272"/>
      <c r="U1140" s="272"/>
      <c r="V1140" s="272"/>
      <c r="W1140" s="272"/>
      <c r="X1140" s="272"/>
      <c r="Y1140" s="272"/>
      <c r="Z1140" s="258"/>
      <c r="AA1140" s="258"/>
      <c r="AB1140" s="258"/>
      <c r="AC1140" s="258"/>
      <c r="AD1140" s="258"/>
      <c r="AE1140" s="258"/>
      <c r="AF1140" s="258"/>
      <c r="AG1140" s="258"/>
      <c r="AH1140" s="258"/>
      <c r="AI1140" s="258"/>
      <c r="AQ1140" s="259"/>
      <c r="AR1140" s="259"/>
      <c r="AS1140" s="259"/>
      <c r="AT1140" s="259"/>
      <c r="AU1140" s="259"/>
      <c r="AV1140" s="259"/>
      <c r="AW1140" s="259"/>
    </row>
    <row r="1141" spans="2:49" ht="15" customHeight="1" x14ac:dyDescent="0.25">
      <c r="B1141" s="260"/>
      <c r="D1141" s="262"/>
      <c r="E1141" s="291"/>
      <c r="F1141" s="293"/>
      <c r="G1141" s="288"/>
      <c r="H1141" s="265"/>
      <c r="I1141" s="266"/>
      <c r="K1141" s="268"/>
      <c r="L1141" s="273"/>
      <c r="M1141" s="274"/>
      <c r="N1141" s="258"/>
      <c r="O1141" s="258"/>
      <c r="P1141" s="258"/>
      <c r="Q1141" s="276"/>
      <c r="R1141" s="272"/>
      <c r="S1141" s="272"/>
      <c r="T1141" s="272"/>
      <c r="U1141" s="272"/>
      <c r="V1141" s="272"/>
      <c r="W1141" s="272"/>
      <c r="X1141" s="272"/>
      <c r="Y1141" s="272"/>
      <c r="Z1141" s="258"/>
      <c r="AA1141" s="258"/>
      <c r="AB1141" s="258"/>
      <c r="AC1141" s="258"/>
      <c r="AD1141" s="258"/>
      <c r="AE1141" s="258"/>
      <c r="AF1141" s="258"/>
      <c r="AG1141" s="258"/>
      <c r="AH1141" s="258"/>
      <c r="AI1141" s="258"/>
      <c r="AQ1141" s="259"/>
      <c r="AR1141" s="259"/>
      <c r="AS1141" s="259"/>
      <c r="AT1141" s="259"/>
      <c r="AU1141" s="259"/>
      <c r="AV1141" s="259"/>
      <c r="AW1141" s="259"/>
    </row>
    <row r="1142" spans="2:49" ht="15" customHeight="1" x14ac:dyDescent="0.25">
      <c r="B1142" s="260"/>
      <c r="C1142" s="290"/>
      <c r="D1142" s="262"/>
      <c r="E1142" s="291"/>
      <c r="F1142" s="262"/>
      <c r="G1142" s="289"/>
      <c r="H1142" s="243"/>
      <c r="I1142" s="266"/>
      <c r="K1142" s="268"/>
      <c r="L1142" s="273"/>
      <c r="M1142" s="274"/>
      <c r="N1142" s="258"/>
      <c r="O1142" s="258"/>
      <c r="P1142" s="258"/>
      <c r="Q1142" s="276"/>
      <c r="R1142" s="272"/>
      <c r="S1142" s="272"/>
      <c r="T1142" s="272"/>
      <c r="U1142" s="272"/>
      <c r="V1142" s="272"/>
      <c r="W1142" s="272"/>
      <c r="X1142" s="272"/>
      <c r="Y1142" s="272"/>
      <c r="Z1142" s="258"/>
      <c r="AA1142" s="258"/>
      <c r="AB1142" s="258"/>
      <c r="AC1142" s="258"/>
      <c r="AD1142" s="258"/>
      <c r="AE1142" s="258"/>
      <c r="AF1142" s="258"/>
      <c r="AG1142" s="258"/>
      <c r="AH1142" s="270"/>
      <c r="AI1142" s="270"/>
      <c r="AQ1142" s="259"/>
      <c r="AR1142" s="259"/>
      <c r="AS1142" s="259"/>
      <c r="AT1142" s="259"/>
      <c r="AU1142" s="259"/>
      <c r="AV1142" s="259"/>
      <c r="AW1142" s="259"/>
    </row>
    <row r="1143" spans="2:49" ht="15" customHeight="1" x14ac:dyDescent="0.25">
      <c r="B1143" s="260"/>
      <c r="D1143" s="262"/>
      <c r="G1143" s="289"/>
      <c r="H1143" s="265"/>
      <c r="I1143" s="266"/>
      <c r="K1143" s="268"/>
      <c r="L1143" s="273"/>
      <c r="M1143" s="277"/>
      <c r="N1143" s="258"/>
      <c r="O1143" s="258"/>
      <c r="P1143" s="258"/>
      <c r="Q1143" s="276"/>
      <c r="R1143" s="272"/>
      <c r="S1143" s="272"/>
      <c r="T1143" s="272"/>
      <c r="U1143" s="272"/>
      <c r="V1143" s="272"/>
      <c r="W1143" s="272"/>
      <c r="X1143" s="272"/>
      <c r="Y1143" s="272"/>
      <c r="Z1143" s="258"/>
      <c r="AA1143" s="258"/>
      <c r="AB1143" s="258"/>
      <c r="AC1143" s="258"/>
      <c r="AD1143" s="258"/>
      <c r="AE1143" s="258"/>
      <c r="AF1143" s="258"/>
      <c r="AG1143" s="258"/>
      <c r="AH1143" s="270"/>
      <c r="AI1143" s="270"/>
      <c r="AQ1143" s="259"/>
      <c r="AR1143" s="259"/>
      <c r="AS1143" s="259"/>
      <c r="AT1143" s="259"/>
      <c r="AU1143" s="259"/>
      <c r="AV1143" s="259"/>
      <c r="AW1143" s="259"/>
    </row>
    <row r="1144" spans="2:49" ht="15" customHeight="1" x14ac:dyDescent="0.25">
      <c r="B1144" s="260"/>
      <c r="D1144" s="262"/>
      <c r="G1144" s="289"/>
      <c r="H1144" s="265"/>
      <c r="I1144" s="266"/>
      <c r="K1144" s="268"/>
      <c r="L1144" s="278"/>
      <c r="M1144" s="274"/>
      <c r="N1144" s="258"/>
      <c r="O1144" s="258"/>
      <c r="P1144" s="258"/>
      <c r="Q1144" s="276"/>
      <c r="R1144" s="272"/>
      <c r="S1144" s="272"/>
      <c r="T1144" s="272"/>
      <c r="U1144" s="272"/>
      <c r="V1144" s="272"/>
      <c r="W1144" s="272"/>
      <c r="X1144" s="272"/>
      <c r="Y1144" s="272"/>
      <c r="Z1144" s="258"/>
      <c r="AA1144" s="258"/>
      <c r="AB1144" s="258"/>
      <c r="AC1144" s="258"/>
      <c r="AD1144" s="258"/>
      <c r="AE1144" s="258"/>
      <c r="AF1144" s="258"/>
      <c r="AG1144" s="258"/>
      <c r="AH1144" s="270"/>
      <c r="AI1144" s="270"/>
      <c r="AQ1144" s="259"/>
      <c r="AR1144" s="259"/>
      <c r="AS1144" s="259"/>
      <c r="AT1144" s="259"/>
      <c r="AU1144" s="259"/>
      <c r="AV1144" s="259"/>
      <c r="AW1144" s="259"/>
    </row>
    <row r="1145" spans="2:49" ht="15" customHeight="1" x14ac:dyDescent="0.25">
      <c r="B1145" s="260"/>
      <c r="D1145" s="262"/>
      <c r="G1145" s="288"/>
      <c r="H1145" s="265"/>
      <c r="I1145" s="266"/>
      <c r="K1145" s="268"/>
      <c r="L1145" s="278"/>
      <c r="M1145" s="274"/>
      <c r="N1145" s="258"/>
      <c r="O1145" s="258"/>
      <c r="P1145" s="258"/>
      <c r="Q1145" s="276"/>
      <c r="R1145" s="272"/>
      <c r="S1145" s="272"/>
      <c r="T1145" s="272"/>
      <c r="U1145" s="272"/>
      <c r="V1145" s="272"/>
      <c r="W1145" s="272"/>
      <c r="X1145" s="272"/>
      <c r="Y1145" s="272"/>
      <c r="Z1145" s="258"/>
      <c r="AA1145" s="258"/>
      <c r="AB1145" s="258"/>
      <c r="AC1145" s="258"/>
      <c r="AD1145" s="258"/>
      <c r="AE1145" s="258"/>
      <c r="AF1145" s="258"/>
      <c r="AG1145" s="258"/>
      <c r="AH1145" s="258"/>
      <c r="AQ1145" s="259"/>
      <c r="AR1145" s="259"/>
      <c r="AS1145" s="259"/>
      <c r="AT1145" s="259"/>
      <c r="AU1145" s="259"/>
      <c r="AV1145" s="259"/>
      <c r="AW1145" s="259"/>
    </row>
    <row r="1146" spans="2:49" ht="15" customHeight="1" x14ac:dyDescent="0.25">
      <c r="B1146" s="260"/>
      <c r="D1146" s="262"/>
      <c r="G1146" s="288"/>
      <c r="H1146" s="265"/>
      <c r="I1146" s="266"/>
      <c r="K1146" s="268"/>
      <c r="L1146" s="278"/>
      <c r="M1146" s="274"/>
      <c r="N1146" s="258"/>
      <c r="O1146" s="258"/>
      <c r="P1146" s="258"/>
      <c r="Q1146" s="276"/>
      <c r="R1146" s="272"/>
      <c r="S1146" s="272"/>
      <c r="T1146" s="272"/>
      <c r="U1146" s="272"/>
      <c r="V1146" s="272"/>
      <c r="W1146" s="272"/>
      <c r="X1146" s="272"/>
      <c r="Y1146" s="272"/>
      <c r="Z1146" s="258"/>
      <c r="AA1146" s="258"/>
      <c r="AB1146" s="258"/>
      <c r="AC1146" s="258"/>
      <c r="AD1146" s="258"/>
      <c r="AE1146" s="258"/>
      <c r="AF1146" s="258"/>
      <c r="AG1146" s="258"/>
      <c r="AH1146" s="258"/>
      <c r="AQ1146" s="259"/>
      <c r="AR1146" s="259"/>
      <c r="AS1146" s="259"/>
      <c r="AT1146" s="259"/>
      <c r="AU1146" s="259"/>
      <c r="AV1146" s="259"/>
      <c r="AW1146" s="259"/>
    </row>
    <row r="1147" spans="2:49" ht="15" customHeight="1" x14ac:dyDescent="0.25">
      <c r="B1147" s="260"/>
      <c r="D1147" s="262"/>
      <c r="E1147" s="291"/>
      <c r="F1147" s="293"/>
      <c r="G1147" s="288"/>
      <c r="H1147" s="265"/>
      <c r="I1147" s="266"/>
      <c r="K1147" s="268"/>
      <c r="L1147" s="278"/>
      <c r="M1147" s="274"/>
      <c r="N1147" s="258"/>
      <c r="O1147" s="258"/>
      <c r="P1147" s="258"/>
      <c r="Q1147" s="276"/>
      <c r="R1147" s="272"/>
      <c r="S1147" s="272"/>
      <c r="T1147" s="272"/>
      <c r="U1147" s="272"/>
      <c r="V1147" s="272"/>
      <c r="W1147" s="272"/>
      <c r="X1147" s="272"/>
      <c r="Y1147" s="272"/>
      <c r="Z1147" s="258"/>
      <c r="AA1147" s="258"/>
      <c r="AB1147" s="258"/>
      <c r="AC1147" s="258"/>
      <c r="AD1147" s="258"/>
      <c r="AE1147" s="258"/>
      <c r="AF1147" s="258"/>
      <c r="AG1147" s="258"/>
      <c r="AH1147" s="258"/>
      <c r="AQ1147" s="259"/>
      <c r="AR1147" s="259"/>
      <c r="AS1147" s="259"/>
      <c r="AT1147" s="259"/>
      <c r="AU1147" s="259"/>
      <c r="AV1147" s="259"/>
      <c r="AW1147" s="259"/>
    </row>
    <row r="1148" spans="2:49" ht="15" customHeight="1" x14ac:dyDescent="0.25">
      <c r="B1148" s="260"/>
      <c r="C1148" s="290"/>
      <c r="D1148" s="262"/>
      <c r="E1148" s="291"/>
      <c r="F1148" s="262"/>
      <c r="G1148" s="289"/>
      <c r="H1148" s="243"/>
      <c r="I1148" s="266"/>
      <c r="K1148" s="268"/>
      <c r="L1148" s="278"/>
      <c r="M1148" s="274"/>
      <c r="N1148" s="258"/>
      <c r="O1148" s="258"/>
      <c r="P1148" s="258"/>
      <c r="Q1148" s="276"/>
      <c r="R1148" s="272"/>
      <c r="S1148" s="272"/>
      <c r="T1148" s="272"/>
      <c r="U1148" s="272"/>
      <c r="V1148" s="272"/>
      <c r="W1148" s="272"/>
      <c r="X1148" s="272"/>
      <c r="Y1148" s="272"/>
      <c r="Z1148" s="258"/>
      <c r="AA1148" s="258"/>
      <c r="AB1148" s="258"/>
      <c r="AC1148" s="258"/>
      <c r="AD1148" s="258"/>
      <c r="AE1148" s="258"/>
      <c r="AF1148" s="258"/>
      <c r="AG1148" s="258"/>
      <c r="AH1148" s="258"/>
      <c r="AQ1148" s="259"/>
      <c r="AR1148" s="259"/>
      <c r="AS1148" s="259"/>
      <c r="AT1148" s="259"/>
      <c r="AU1148" s="259"/>
      <c r="AV1148" s="259"/>
      <c r="AW1148" s="259"/>
    </row>
    <row r="1149" spans="2:49" ht="15" customHeight="1" x14ac:dyDescent="0.25">
      <c r="B1149" s="260"/>
      <c r="D1149" s="262"/>
      <c r="G1149" s="289"/>
      <c r="H1149" s="265"/>
      <c r="I1149" s="266"/>
      <c r="K1149" s="268"/>
      <c r="L1149" s="278"/>
      <c r="M1149" s="274"/>
      <c r="N1149" s="258"/>
      <c r="O1149" s="258"/>
      <c r="P1149" s="258"/>
      <c r="Q1149" s="276"/>
      <c r="W1149" s="272"/>
      <c r="X1149" s="272"/>
      <c r="Y1149" s="272"/>
      <c r="Z1149" s="258"/>
      <c r="AA1149" s="258"/>
      <c r="AB1149" s="258"/>
      <c r="AC1149" s="258"/>
      <c r="AD1149" s="258"/>
      <c r="AE1149" s="258"/>
      <c r="AF1149" s="258"/>
      <c r="AG1149" s="258"/>
      <c r="AH1149" s="258"/>
      <c r="AQ1149" s="259"/>
      <c r="AR1149" s="259"/>
      <c r="AS1149" s="259"/>
      <c r="AT1149" s="259"/>
      <c r="AU1149" s="259"/>
      <c r="AV1149" s="259"/>
      <c r="AW1149" s="259"/>
    </row>
    <row r="1150" spans="2:49" ht="15" customHeight="1" x14ac:dyDescent="0.25">
      <c r="B1150" s="260"/>
      <c r="D1150" s="262"/>
      <c r="G1150" s="289"/>
      <c r="H1150" s="265"/>
      <c r="I1150" s="266"/>
      <c r="K1150" s="268"/>
      <c r="L1150" s="278"/>
      <c r="M1150" s="274"/>
      <c r="N1150" s="258"/>
      <c r="O1150" s="258"/>
      <c r="P1150" s="258"/>
      <c r="Q1150" s="276"/>
      <c r="W1150" s="272"/>
      <c r="X1150" s="272"/>
      <c r="Y1150" s="272"/>
      <c r="Z1150" s="258"/>
      <c r="AA1150" s="258"/>
      <c r="AB1150" s="258"/>
      <c r="AC1150" s="258"/>
      <c r="AD1150" s="258"/>
      <c r="AE1150" s="258"/>
      <c r="AF1150" s="258"/>
      <c r="AG1150" s="258"/>
      <c r="AH1150" s="258"/>
      <c r="AQ1150" s="259"/>
      <c r="AR1150" s="259"/>
      <c r="AS1150" s="259"/>
      <c r="AT1150" s="259"/>
      <c r="AU1150" s="259"/>
      <c r="AV1150" s="259"/>
      <c r="AW1150" s="259"/>
    </row>
    <row r="1151" spans="2:49" ht="15" customHeight="1" x14ac:dyDescent="0.25">
      <c r="B1151" s="260"/>
      <c r="D1151" s="262"/>
      <c r="G1151" s="289"/>
      <c r="H1151" s="265"/>
      <c r="I1151" s="266"/>
      <c r="K1151" s="268"/>
      <c r="L1151" s="278"/>
      <c r="M1151" s="274"/>
      <c r="N1151" s="258"/>
      <c r="O1151" s="258"/>
      <c r="P1151" s="258"/>
      <c r="Q1151" s="276"/>
      <c r="W1151" s="272"/>
      <c r="X1151" s="272"/>
      <c r="Y1151" s="272"/>
      <c r="Z1151" s="258"/>
      <c r="AA1151" s="258"/>
      <c r="AB1151" s="258"/>
      <c r="AC1151" s="258"/>
      <c r="AD1151" s="258"/>
      <c r="AE1151" s="258"/>
      <c r="AF1151" s="258"/>
      <c r="AG1151" s="258"/>
      <c r="AH1151" s="258"/>
      <c r="AQ1151" s="259"/>
      <c r="AR1151" s="259"/>
      <c r="AS1151" s="259"/>
      <c r="AT1151" s="259"/>
      <c r="AU1151" s="259"/>
      <c r="AV1151" s="259"/>
      <c r="AW1151" s="259"/>
    </row>
    <row r="1152" spans="2:49" ht="15" customHeight="1" x14ac:dyDescent="0.25">
      <c r="B1152" s="260"/>
      <c r="D1152" s="262"/>
      <c r="G1152" s="289"/>
      <c r="H1152" s="265"/>
      <c r="I1152" s="266"/>
      <c r="K1152" s="268"/>
      <c r="L1152" s="273"/>
      <c r="M1152" s="274"/>
      <c r="N1152" s="270"/>
      <c r="O1152" s="270"/>
      <c r="P1152" s="270"/>
      <c r="Q1152" s="275"/>
      <c r="R1152" s="272"/>
      <c r="S1152" s="272"/>
      <c r="T1152" s="272"/>
      <c r="U1152" s="272"/>
      <c r="V1152" s="272"/>
      <c r="W1152" s="272"/>
      <c r="X1152" s="272"/>
      <c r="Y1152" s="272"/>
      <c r="Z1152" s="258"/>
      <c r="AA1152" s="258"/>
      <c r="AB1152" s="258"/>
      <c r="AC1152" s="258"/>
      <c r="AD1152" s="258"/>
      <c r="AE1152" s="258"/>
      <c r="AF1152" s="258"/>
      <c r="AG1152" s="258"/>
      <c r="AH1152" s="258"/>
      <c r="AI1152" s="258"/>
      <c r="AQ1152" s="259"/>
      <c r="AR1152" s="259"/>
      <c r="AS1152" s="259"/>
      <c r="AT1152" s="259"/>
      <c r="AU1152" s="259"/>
      <c r="AV1152" s="259"/>
      <c r="AW1152" s="259"/>
    </row>
    <row r="1153" spans="2:49" ht="15" customHeight="1" x14ac:dyDescent="0.25">
      <c r="B1153" s="260"/>
      <c r="D1153" s="262"/>
      <c r="G1153" s="288"/>
      <c r="H1153" s="265"/>
      <c r="I1153" s="266"/>
      <c r="K1153" s="268"/>
      <c r="L1153" s="273"/>
      <c r="M1153" s="274"/>
      <c r="N1153" s="258"/>
      <c r="O1153" s="258"/>
      <c r="P1153" s="258"/>
      <c r="Q1153" s="276"/>
      <c r="R1153" s="272"/>
      <c r="S1153" s="272"/>
      <c r="T1153" s="272"/>
      <c r="U1153" s="272"/>
      <c r="V1153" s="272"/>
      <c r="W1153" s="272"/>
      <c r="X1153" s="272"/>
      <c r="Y1153" s="272"/>
      <c r="Z1153" s="258"/>
      <c r="AA1153" s="258"/>
      <c r="AB1153" s="258"/>
      <c r="AC1153" s="258"/>
      <c r="AD1153" s="258"/>
      <c r="AE1153" s="258"/>
      <c r="AF1153" s="258"/>
      <c r="AG1153" s="258"/>
      <c r="AH1153" s="258"/>
      <c r="AI1153" s="258"/>
      <c r="AQ1153" s="259"/>
      <c r="AR1153" s="259"/>
      <c r="AS1153" s="259"/>
      <c r="AT1153" s="259"/>
      <c r="AU1153" s="259"/>
      <c r="AV1153" s="259"/>
      <c r="AW1153" s="259"/>
    </row>
    <row r="1154" spans="2:49" ht="15" customHeight="1" x14ac:dyDescent="0.25">
      <c r="B1154" s="260"/>
      <c r="D1154" s="262"/>
      <c r="G1154" s="288"/>
      <c r="H1154" s="265"/>
      <c r="I1154" s="266"/>
      <c r="K1154" s="268"/>
      <c r="L1154" s="273"/>
      <c r="M1154" s="274"/>
      <c r="N1154" s="258"/>
      <c r="O1154" s="258"/>
      <c r="P1154" s="258"/>
      <c r="Q1154" s="276"/>
      <c r="R1154" s="272"/>
      <c r="S1154" s="272"/>
      <c r="T1154" s="272"/>
      <c r="U1154" s="272"/>
      <c r="V1154" s="272"/>
      <c r="W1154" s="272"/>
      <c r="X1154" s="272"/>
      <c r="Y1154" s="272"/>
      <c r="Z1154" s="258"/>
      <c r="AA1154" s="258"/>
      <c r="AB1154" s="258"/>
      <c r="AC1154" s="258"/>
      <c r="AD1154" s="258"/>
      <c r="AE1154" s="258"/>
      <c r="AF1154" s="258"/>
      <c r="AG1154" s="258"/>
      <c r="AH1154" s="270"/>
      <c r="AI1154" s="270"/>
      <c r="AQ1154" s="259"/>
      <c r="AR1154" s="259"/>
      <c r="AS1154" s="259"/>
      <c r="AT1154" s="259"/>
      <c r="AU1154" s="259"/>
      <c r="AV1154" s="259"/>
      <c r="AW1154" s="259"/>
    </row>
    <row r="1155" spans="2:49" ht="15" customHeight="1" x14ac:dyDescent="0.25">
      <c r="B1155" s="260"/>
      <c r="D1155" s="262"/>
      <c r="G1155" s="289"/>
      <c r="H1155" s="265"/>
      <c r="I1155" s="266"/>
      <c r="K1155" s="268"/>
      <c r="L1155" s="273"/>
      <c r="M1155" s="277"/>
      <c r="N1155" s="258"/>
      <c r="O1155" s="258"/>
      <c r="P1155" s="258"/>
      <c r="Q1155" s="276"/>
      <c r="R1155" s="272"/>
      <c r="S1155" s="272"/>
      <c r="T1155" s="272"/>
      <c r="U1155" s="272"/>
      <c r="V1155" s="272"/>
      <c r="W1155" s="272"/>
      <c r="X1155" s="272"/>
      <c r="Y1155" s="272"/>
      <c r="Z1155" s="258"/>
      <c r="AA1155" s="258"/>
      <c r="AB1155" s="258"/>
      <c r="AC1155" s="258"/>
      <c r="AD1155" s="258"/>
      <c r="AE1155" s="258"/>
      <c r="AF1155" s="258"/>
      <c r="AG1155" s="258"/>
      <c r="AH1155" s="270"/>
      <c r="AI1155" s="270"/>
      <c r="AQ1155" s="259"/>
      <c r="AR1155" s="259"/>
      <c r="AS1155" s="259"/>
      <c r="AT1155" s="259"/>
      <c r="AU1155" s="259"/>
      <c r="AV1155" s="259"/>
      <c r="AW1155" s="259"/>
    </row>
    <row r="1156" spans="2:49" ht="15" customHeight="1" x14ac:dyDescent="0.25">
      <c r="B1156" s="260"/>
      <c r="D1156" s="262"/>
      <c r="G1156" s="289"/>
      <c r="H1156" s="265"/>
      <c r="I1156" s="266"/>
      <c r="K1156" s="268"/>
      <c r="L1156" s="278"/>
      <c r="M1156" s="274"/>
      <c r="N1156" s="258"/>
      <c r="O1156" s="258"/>
      <c r="P1156" s="258"/>
      <c r="Q1156" s="276"/>
      <c r="R1156" s="272"/>
      <c r="S1156" s="272"/>
      <c r="T1156" s="272"/>
      <c r="U1156" s="272"/>
      <c r="V1156" s="272"/>
      <c r="W1156" s="272"/>
      <c r="X1156" s="272"/>
      <c r="Y1156" s="272"/>
      <c r="Z1156" s="258"/>
      <c r="AA1156" s="258"/>
      <c r="AB1156" s="258"/>
      <c r="AC1156" s="258"/>
      <c r="AD1156" s="258"/>
      <c r="AE1156" s="258"/>
      <c r="AF1156" s="258"/>
      <c r="AG1156" s="258"/>
      <c r="AH1156" s="270"/>
      <c r="AI1156" s="270"/>
      <c r="AQ1156" s="259"/>
      <c r="AR1156" s="259"/>
      <c r="AS1156" s="259"/>
      <c r="AT1156" s="259"/>
      <c r="AU1156" s="259"/>
      <c r="AV1156" s="259"/>
      <c r="AW1156" s="259"/>
    </row>
    <row r="1157" spans="2:49" ht="15" customHeight="1" x14ac:dyDescent="0.25">
      <c r="B1157" s="260"/>
      <c r="D1157" s="262"/>
      <c r="G1157" s="289"/>
      <c r="H1157" s="265"/>
      <c r="I1157" s="266"/>
      <c r="K1157" s="268"/>
      <c r="L1157" s="278"/>
      <c r="M1157" s="274"/>
      <c r="N1157" s="258"/>
      <c r="O1157" s="258"/>
      <c r="P1157" s="258"/>
      <c r="Q1157" s="276"/>
      <c r="R1157" s="272"/>
      <c r="S1157" s="272"/>
      <c r="T1157" s="272"/>
      <c r="U1157" s="272"/>
      <c r="V1157" s="272"/>
      <c r="W1157" s="272"/>
      <c r="X1157" s="272"/>
      <c r="Y1157" s="272"/>
      <c r="Z1157" s="258"/>
      <c r="AA1157" s="258"/>
      <c r="AB1157" s="258"/>
      <c r="AC1157" s="258"/>
      <c r="AD1157" s="258"/>
      <c r="AE1157" s="258"/>
      <c r="AF1157" s="258"/>
      <c r="AG1157" s="258"/>
      <c r="AH1157" s="258"/>
      <c r="AQ1157" s="259"/>
      <c r="AR1157" s="259"/>
      <c r="AS1157" s="259"/>
      <c r="AT1157" s="259"/>
      <c r="AU1157" s="259"/>
      <c r="AV1157" s="259"/>
      <c r="AW1157" s="259"/>
    </row>
    <row r="1158" spans="2:49" ht="15" customHeight="1" x14ac:dyDescent="0.25">
      <c r="B1158" s="260"/>
      <c r="D1158" s="262"/>
      <c r="G1158" s="289"/>
      <c r="H1158" s="265"/>
      <c r="I1158" s="266"/>
      <c r="K1158" s="268"/>
      <c r="L1158" s="278"/>
      <c r="M1158" s="274"/>
      <c r="N1158" s="258"/>
      <c r="O1158" s="258"/>
      <c r="P1158" s="258"/>
      <c r="Q1158" s="276"/>
      <c r="R1158" s="272"/>
      <c r="S1158" s="272"/>
      <c r="T1158" s="272"/>
      <c r="U1158" s="272"/>
      <c r="V1158" s="272"/>
      <c r="W1158" s="272"/>
      <c r="X1158" s="272"/>
      <c r="Y1158" s="272"/>
      <c r="Z1158" s="258"/>
      <c r="AA1158" s="258"/>
      <c r="AB1158" s="258"/>
      <c r="AC1158" s="258"/>
      <c r="AD1158" s="258"/>
      <c r="AE1158" s="258"/>
      <c r="AF1158" s="258"/>
      <c r="AG1158" s="258"/>
      <c r="AH1158" s="258"/>
      <c r="AQ1158" s="259"/>
      <c r="AR1158" s="259"/>
      <c r="AS1158" s="259"/>
      <c r="AT1158" s="259"/>
      <c r="AU1158" s="259"/>
      <c r="AV1158" s="259"/>
      <c r="AW1158" s="259"/>
    </row>
    <row r="1159" spans="2:49" ht="15" customHeight="1" x14ac:dyDescent="0.25">
      <c r="B1159" s="260"/>
      <c r="D1159" s="262"/>
      <c r="G1159" s="289"/>
      <c r="H1159" s="265"/>
      <c r="I1159" s="266"/>
      <c r="K1159" s="268"/>
      <c r="L1159" s="278"/>
      <c r="M1159" s="274"/>
      <c r="N1159" s="258"/>
      <c r="O1159" s="258"/>
      <c r="P1159" s="258"/>
      <c r="Q1159" s="276"/>
      <c r="R1159" s="272"/>
      <c r="S1159" s="272"/>
      <c r="T1159" s="272"/>
      <c r="U1159" s="272"/>
      <c r="V1159" s="272"/>
      <c r="W1159" s="272"/>
      <c r="X1159" s="272"/>
      <c r="Y1159" s="272"/>
      <c r="Z1159" s="258"/>
      <c r="AA1159" s="258"/>
      <c r="AB1159" s="258"/>
      <c r="AC1159" s="258"/>
      <c r="AD1159" s="258"/>
      <c r="AE1159" s="258"/>
      <c r="AF1159" s="258"/>
      <c r="AG1159" s="258"/>
      <c r="AH1159" s="258"/>
      <c r="AQ1159" s="259"/>
      <c r="AR1159" s="259"/>
      <c r="AS1159" s="259"/>
      <c r="AT1159" s="259"/>
      <c r="AU1159" s="259"/>
      <c r="AV1159" s="259"/>
      <c r="AW1159" s="259"/>
    </row>
    <row r="1160" spans="2:49" ht="15" customHeight="1" x14ac:dyDescent="0.25">
      <c r="B1160" s="260"/>
      <c r="D1160" s="262"/>
      <c r="G1160" s="288"/>
      <c r="H1160" s="265"/>
      <c r="I1160" s="266"/>
      <c r="K1160" s="268"/>
      <c r="L1160" s="278"/>
      <c r="M1160" s="274"/>
      <c r="N1160" s="258"/>
      <c r="O1160" s="258"/>
      <c r="P1160" s="258"/>
      <c r="Q1160" s="276"/>
      <c r="R1160" s="272"/>
      <c r="S1160" s="272"/>
      <c r="T1160" s="272"/>
      <c r="U1160" s="272"/>
      <c r="V1160" s="272"/>
      <c r="W1160" s="272"/>
      <c r="X1160" s="272"/>
      <c r="Y1160" s="272"/>
      <c r="Z1160" s="258"/>
      <c r="AA1160" s="258"/>
      <c r="AB1160" s="258"/>
      <c r="AC1160" s="258"/>
      <c r="AD1160" s="258"/>
      <c r="AE1160" s="258"/>
      <c r="AF1160" s="258"/>
      <c r="AG1160" s="258"/>
      <c r="AH1160" s="258"/>
      <c r="AQ1160" s="259"/>
      <c r="AR1160" s="259"/>
      <c r="AS1160" s="259"/>
      <c r="AT1160" s="259"/>
      <c r="AU1160" s="259"/>
      <c r="AV1160" s="259"/>
      <c r="AW1160" s="259"/>
    </row>
    <row r="1161" spans="2:49" ht="15" customHeight="1" x14ac:dyDescent="0.25">
      <c r="B1161" s="260"/>
      <c r="D1161" s="262"/>
      <c r="G1161" s="288"/>
      <c r="H1161" s="265"/>
      <c r="I1161" s="266"/>
      <c r="K1161" s="268"/>
      <c r="L1161" s="278"/>
      <c r="M1161" s="274"/>
      <c r="N1161" s="258"/>
      <c r="O1161" s="258"/>
      <c r="P1161" s="258"/>
      <c r="Q1161" s="276"/>
      <c r="W1161" s="272"/>
      <c r="X1161" s="272"/>
      <c r="Y1161" s="272"/>
      <c r="Z1161" s="258"/>
      <c r="AA1161" s="258"/>
      <c r="AB1161" s="258"/>
      <c r="AC1161" s="258"/>
      <c r="AD1161" s="258"/>
      <c r="AE1161" s="258"/>
      <c r="AF1161" s="258"/>
      <c r="AG1161" s="258"/>
      <c r="AH1161" s="258"/>
      <c r="AQ1161" s="259"/>
      <c r="AR1161" s="259"/>
      <c r="AS1161" s="259"/>
      <c r="AT1161" s="259"/>
      <c r="AU1161" s="259"/>
      <c r="AV1161" s="259"/>
      <c r="AW1161" s="259"/>
    </row>
    <row r="1162" spans="2:49" ht="15" customHeight="1" x14ac:dyDescent="0.25">
      <c r="B1162" s="260"/>
      <c r="D1162" s="262"/>
      <c r="G1162" s="288"/>
      <c r="H1162" s="265"/>
      <c r="I1162" s="266"/>
      <c r="K1162" s="268"/>
      <c r="L1162" s="278"/>
      <c r="M1162" s="274"/>
      <c r="N1162" s="258"/>
      <c r="O1162" s="258"/>
      <c r="P1162" s="258"/>
      <c r="Q1162" s="276"/>
      <c r="W1162" s="272"/>
      <c r="X1162" s="272"/>
      <c r="Y1162" s="272"/>
      <c r="Z1162" s="258"/>
      <c r="AA1162" s="258"/>
      <c r="AB1162" s="258"/>
      <c r="AC1162" s="258"/>
      <c r="AD1162" s="258"/>
      <c r="AE1162" s="258"/>
      <c r="AF1162" s="258"/>
      <c r="AG1162" s="258"/>
      <c r="AH1162" s="258"/>
      <c r="AQ1162" s="259"/>
      <c r="AR1162" s="259"/>
      <c r="AS1162" s="259"/>
      <c r="AT1162" s="259"/>
      <c r="AU1162" s="259"/>
      <c r="AV1162" s="259"/>
      <c r="AW1162" s="259"/>
    </row>
    <row r="1163" spans="2:49" ht="15" customHeight="1" x14ac:dyDescent="0.25">
      <c r="B1163" s="260"/>
      <c r="D1163" s="262"/>
      <c r="G1163" s="288"/>
      <c r="H1163" s="265"/>
      <c r="I1163" s="266"/>
      <c r="K1163" s="268"/>
      <c r="L1163" s="278"/>
      <c r="M1163" s="274"/>
      <c r="N1163" s="258"/>
      <c r="O1163" s="258"/>
      <c r="P1163" s="258"/>
      <c r="Q1163" s="276"/>
      <c r="W1163" s="272"/>
      <c r="X1163" s="272"/>
      <c r="Y1163" s="272"/>
      <c r="Z1163" s="258"/>
      <c r="AA1163" s="258"/>
      <c r="AB1163" s="258"/>
      <c r="AC1163" s="258"/>
      <c r="AD1163" s="258"/>
      <c r="AE1163" s="258"/>
      <c r="AF1163" s="258"/>
      <c r="AG1163" s="258"/>
      <c r="AH1163" s="258"/>
      <c r="AQ1163" s="259"/>
      <c r="AR1163" s="259"/>
      <c r="AS1163" s="259"/>
      <c r="AT1163" s="259"/>
      <c r="AU1163" s="259"/>
      <c r="AV1163" s="259"/>
      <c r="AW1163" s="259"/>
    </row>
    <row r="1164" spans="2:49" ht="15" customHeight="1" x14ac:dyDescent="0.25">
      <c r="B1164" s="260"/>
      <c r="D1164" s="262"/>
      <c r="E1164" s="291"/>
      <c r="F1164" s="293"/>
      <c r="G1164" s="288"/>
      <c r="H1164" s="265"/>
      <c r="I1164" s="266"/>
      <c r="K1164" s="268"/>
      <c r="L1164" s="273"/>
      <c r="M1164" s="274"/>
      <c r="N1164" s="270"/>
      <c r="O1164" s="270"/>
      <c r="P1164" s="270"/>
      <c r="Q1164" s="275"/>
      <c r="R1164" s="272"/>
      <c r="S1164" s="272"/>
      <c r="T1164" s="272"/>
      <c r="U1164" s="272"/>
      <c r="V1164" s="272"/>
      <c r="W1164" s="272"/>
      <c r="X1164" s="272"/>
      <c r="Y1164" s="272"/>
      <c r="Z1164" s="258"/>
      <c r="AA1164" s="258"/>
      <c r="AB1164" s="258"/>
      <c r="AC1164" s="258"/>
      <c r="AD1164" s="258"/>
      <c r="AE1164" s="258"/>
      <c r="AF1164" s="258"/>
      <c r="AG1164" s="258"/>
      <c r="AH1164" s="258"/>
      <c r="AI1164" s="258"/>
      <c r="AQ1164" s="259"/>
      <c r="AR1164" s="259"/>
      <c r="AS1164" s="259"/>
      <c r="AT1164" s="259"/>
      <c r="AU1164" s="259"/>
      <c r="AV1164" s="259"/>
      <c r="AW1164" s="259"/>
    </row>
    <row r="1165" spans="2:49" ht="15" customHeight="1" x14ac:dyDescent="0.25">
      <c r="B1165" s="260"/>
      <c r="C1165" s="290"/>
      <c r="D1165" s="262"/>
      <c r="E1165" s="291"/>
      <c r="F1165" s="262"/>
      <c r="G1165" s="289"/>
      <c r="H1165" s="243"/>
      <c r="I1165" s="266"/>
      <c r="K1165" s="268"/>
      <c r="L1165" s="273"/>
      <c r="M1165" s="274"/>
      <c r="N1165" s="258"/>
      <c r="O1165" s="258"/>
      <c r="P1165" s="258"/>
      <c r="Q1165" s="276"/>
      <c r="R1165" s="272"/>
      <c r="S1165" s="272"/>
      <c r="T1165" s="272"/>
      <c r="U1165" s="272"/>
      <c r="V1165" s="272"/>
      <c r="W1165" s="272"/>
      <c r="X1165" s="272"/>
      <c r="Y1165" s="272"/>
      <c r="Z1165" s="258"/>
      <c r="AA1165" s="258"/>
      <c r="AB1165" s="258"/>
      <c r="AC1165" s="258"/>
      <c r="AD1165" s="258"/>
      <c r="AE1165" s="258"/>
      <c r="AF1165" s="258"/>
      <c r="AG1165" s="258"/>
      <c r="AH1165" s="258"/>
      <c r="AI1165" s="258"/>
      <c r="AQ1165" s="259"/>
      <c r="AR1165" s="259"/>
      <c r="AS1165" s="259"/>
      <c r="AT1165" s="259"/>
      <c r="AU1165" s="259"/>
      <c r="AV1165" s="259"/>
      <c r="AW1165" s="259"/>
    </row>
    <row r="1166" spans="2:49" ht="15" customHeight="1" x14ac:dyDescent="0.25">
      <c r="B1166" s="260"/>
      <c r="D1166" s="262"/>
      <c r="G1166" s="289"/>
      <c r="H1166" s="265"/>
      <c r="I1166" s="266"/>
      <c r="K1166" s="268"/>
      <c r="L1166" s="273"/>
      <c r="M1166" s="274"/>
      <c r="N1166" s="258"/>
      <c r="O1166" s="258"/>
      <c r="P1166" s="258"/>
      <c r="Q1166" s="276"/>
      <c r="R1166" s="272"/>
      <c r="S1166" s="272"/>
      <c r="T1166" s="272"/>
      <c r="U1166" s="272"/>
      <c r="V1166" s="272"/>
      <c r="W1166" s="272"/>
      <c r="X1166" s="272"/>
      <c r="Y1166" s="272"/>
      <c r="Z1166" s="258"/>
      <c r="AA1166" s="258"/>
      <c r="AB1166" s="258"/>
      <c r="AC1166" s="258"/>
      <c r="AD1166" s="258"/>
      <c r="AE1166" s="258"/>
      <c r="AF1166" s="258"/>
      <c r="AG1166" s="258"/>
      <c r="AH1166" s="270"/>
      <c r="AI1166" s="270"/>
      <c r="AQ1166" s="259"/>
      <c r="AR1166" s="259"/>
      <c r="AS1166" s="259"/>
      <c r="AT1166" s="259"/>
      <c r="AU1166" s="259"/>
      <c r="AV1166" s="259"/>
      <c r="AW1166" s="259"/>
    </row>
    <row r="1167" spans="2:49" ht="15" customHeight="1" x14ac:dyDescent="0.25">
      <c r="B1167" s="260"/>
      <c r="D1167" s="262"/>
      <c r="G1167" s="289"/>
      <c r="H1167" s="265"/>
      <c r="I1167" s="266"/>
      <c r="K1167" s="268"/>
      <c r="L1167" s="273"/>
      <c r="M1167" s="277"/>
      <c r="N1167" s="258"/>
      <c r="O1167" s="258"/>
      <c r="P1167" s="258"/>
      <c r="Q1167" s="276"/>
      <c r="R1167" s="272"/>
      <c r="S1167" s="272"/>
      <c r="T1167" s="272"/>
      <c r="U1167" s="272"/>
      <c r="V1167" s="272"/>
      <c r="W1167" s="272"/>
      <c r="X1167" s="272"/>
      <c r="Y1167" s="272"/>
      <c r="Z1167" s="258"/>
      <c r="AA1167" s="258"/>
      <c r="AB1167" s="258"/>
      <c r="AC1167" s="258"/>
      <c r="AD1167" s="258"/>
      <c r="AE1167" s="258"/>
      <c r="AF1167" s="258"/>
      <c r="AG1167" s="258"/>
      <c r="AH1167" s="270"/>
      <c r="AI1167" s="270"/>
      <c r="AQ1167" s="259"/>
      <c r="AR1167" s="259"/>
      <c r="AS1167" s="259"/>
      <c r="AT1167" s="259"/>
      <c r="AU1167" s="259"/>
      <c r="AV1167" s="259"/>
      <c r="AW1167" s="259"/>
    </row>
    <row r="1168" spans="2:49" ht="15" customHeight="1" x14ac:dyDescent="0.25">
      <c r="B1168" s="260"/>
      <c r="D1168" s="262"/>
      <c r="G1168" s="289"/>
      <c r="H1168" s="265"/>
      <c r="I1168" s="266"/>
      <c r="K1168" s="268"/>
      <c r="L1168" s="278"/>
      <c r="M1168" s="274"/>
      <c r="N1168" s="258"/>
      <c r="O1168" s="258"/>
      <c r="P1168" s="258"/>
      <c r="Q1168" s="276"/>
      <c r="R1168" s="272"/>
      <c r="S1168" s="272"/>
      <c r="T1168" s="272"/>
      <c r="U1168" s="272"/>
      <c r="V1168" s="272"/>
      <c r="W1168" s="272"/>
      <c r="X1168" s="272"/>
      <c r="Y1168" s="272"/>
      <c r="Z1168" s="258"/>
      <c r="AA1168" s="258"/>
      <c r="AB1168" s="258"/>
      <c r="AC1168" s="258"/>
      <c r="AD1168" s="258"/>
      <c r="AE1168" s="258"/>
      <c r="AF1168" s="258"/>
      <c r="AG1168" s="258"/>
      <c r="AH1168" s="270"/>
      <c r="AI1168" s="270"/>
      <c r="AQ1168" s="259"/>
      <c r="AR1168" s="259"/>
      <c r="AS1168" s="259"/>
      <c r="AT1168" s="259"/>
      <c r="AU1168" s="259"/>
      <c r="AV1168" s="259"/>
      <c r="AW1168" s="259"/>
    </row>
    <row r="1169" spans="2:49" ht="15" customHeight="1" x14ac:dyDescent="0.25">
      <c r="B1169" s="260"/>
      <c r="D1169" s="262"/>
      <c r="G1169" s="289"/>
      <c r="H1169" s="265"/>
      <c r="I1169" s="266"/>
      <c r="K1169" s="268"/>
      <c r="L1169" s="278"/>
      <c r="M1169" s="274"/>
      <c r="N1169" s="258"/>
      <c r="O1169" s="258"/>
      <c r="P1169" s="258"/>
      <c r="Q1169" s="276"/>
      <c r="R1169" s="272"/>
      <c r="S1169" s="272"/>
      <c r="T1169" s="272"/>
      <c r="U1169" s="272"/>
      <c r="V1169" s="272"/>
      <c r="W1169" s="272"/>
      <c r="X1169" s="272"/>
      <c r="Y1169" s="272"/>
      <c r="Z1169" s="258"/>
      <c r="AA1169" s="258"/>
      <c r="AB1169" s="258"/>
      <c r="AC1169" s="258"/>
      <c r="AD1169" s="258"/>
      <c r="AE1169" s="258"/>
      <c r="AF1169" s="258"/>
      <c r="AG1169" s="258"/>
      <c r="AH1169" s="258"/>
      <c r="AQ1169" s="259"/>
      <c r="AR1169" s="259"/>
      <c r="AS1169" s="259"/>
      <c r="AT1169" s="259"/>
      <c r="AU1169" s="259"/>
      <c r="AV1169" s="259"/>
      <c r="AW1169" s="259"/>
    </row>
    <row r="1170" spans="2:49" ht="15" customHeight="1" x14ac:dyDescent="0.25">
      <c r="B1170" s="260"/>
      <c r="D1170" s="262"/>
      <c r="G1170" s="289"/>
      <c r="H1170" s="265"/>
      <c r="I1170" s="266"/>
      <c r="K1170" s="268"/>
      <c r="L1170" s="278"/>
      <c r="M1170" s="274"/>
      <c r="N1170" s="258"/>
      <c r="O1170" s="258"/>
      <c r="P1170" s="258"/>
      <c r="Q1170" s="276"/>
      <c r="R1170" s="272"/>
      <c r="S1170" s="272"/>
      <c r="T1170" s="272"/>
      <c r="U1170" s="272"/>
      <c r="V1170" s="272"/>
      <c r="W1170" s="272"/>
      <c r="X1170" s="272"/>
      <c r="Y1170" s="272"/>
      <c r="Z1170" s="258"/>
      <c r="AA1170" s="258"/>
      <c r="AB1170" s="258"/>
      <c r="AC1170" s="258"/>
      <c r="AD1170" s="258"/>
      <c r="AE1170" s="258"/>
      <c r="AF1170" s="258"/>
      <c r="AG1170" s="258"/>
      <c r="AH1170" s="258"/>
      <c r="AQ1170" s="259"/>
      <c r="AR1170" s="259"/>
      <c r="AS1170" s="259"/>
      <c r="AT1170" s="259"/>
      <c r="AU1170" s="259"/>
      <c r="AV1170" s="259"/>
      <c r="AW1170" s="259"/>
    </row>
    <row r="1171" spans="2:49" ht="15" customHeight="1" x14ac:dyDescent="0.25">
      <c r="B1171" s="260"/>
      <c r="D1171" s="262"/>
      <c r="G1171" s="288"/>
      <c r="H1171" s="265"/>
      <c r="I1171" s="266"/>
      <c r="K1171" s="268"/>
      <c r="L1171" s="278"/>
      <c r="M1171" s="274"/>
      <c r="N1171" s="258"/>
      <c r="O1171" s="258"/>
      <c r="P1171" s="258"/>
      <c r="Q1171" s="276"/>
      <c r="R1171" s="272"/>
      <c r="S1171" s="272"/>
      <c r="T1171" s="272"/>
      <c r="U1171" s="272"/>
      <c r="V1171" s="272"/>
      <c r="W1171" s="272"/>
      <c r="X1171" s="272"/>
      <c r="Y1171" s="272"/>
      <c r="Z1171" s="258"/>
      <c r="AA1171" s="258"/>
      <c r="AB1171" s="258"/>
      <c r="AC1171" s="258"/>
      <c r="AD1171" s="258"/>
      <c r="AE1171" s="258"/>
      <c r="AF1171" s="258"/>
      <c r="AG1171" s="258"/>
      <c r="AH1171" s="258"/>
      <c r="AQ1171" s="259"/>
      <c r="AR1171" s="259"/>
      <c r="AS1171" s="259"/>
      <c r="AT1171" s="259"/>
      <c r="AU1171" s="259"/>
      <c r="AV1171" s="259"/>
      <c r="AW1171" s="259"/>
    </row>
    <row r="1172" spans="2:49" ht="15" customHeight="1" x14ac:dyDescent="0.25">
      <c r="D1172" s="262"/>
      <c r="G1172" s="288"/>
      <c r="H1172" s="265"/>
      <c r="L1172" s="278"/>
      <c r="M1172" s="274"/>
      <c r="N1172" s="258"/>
      <c r="O1172" s="258"/>
      <c r="P1172" s="258"/>
      <c r="Q1172" s="276"/>
      <c r="R1172" s="272"/>
      <c r="S1172" s="272"/>
      <c r="T1172" s="272"/>
      <c r="U1172" s="272"/>
      <c r="V1172" s="272"/>
      <c r="W1172" s="272"/>
      <c r="X1172" s="272"/>
      <c r="Y1172" s="272"/>
      <c r="Z1172" s="258"/>
      <c r="AA1172" s="258"/>
      <c r="AB1172" s="258"/>
      <c r="AC1172" s="258"/>
      <c r="AD1172" s="258"/>
      <c r="AE1172" s="258"/>
      <c r="AF1172" s="258"/>
      <c r="AG1172" s="258"/>
      <c r="AH1172" s="258"/>
      <c r="AQ1172" s="259"/>
      <c r="AR1172" s="259"/>
      <c r="AS1172" s="259"/>
      <c r="AT1172" s="259"/>
      <c r="AU1172" s="259"/>
      <c r="AV1172" s="259"/>
      <c r="AW1172" s="259"/>
    </row>
    <row r="1173" spans="2:49" ht="15" customHeight="1" x14ac:dyDescent="0.25">
      <c r="D1173" s="262"/>
      <c r="G1173" s="288"/>
      <c r="H1173" s="265"/>
      <c r="L1173" s="278"/>
      <c r="M1173" s="274"/>
      <c r="N1173" s="258"/>
      <c r="O1173" s="258"/>
      <c r="P1173" s="258"/>
      <c r="Q1173" s="276"/>
      <c r="W1173" s="272"/>
      <c r="X1173" s="272"/>
      <c r="Y1173" s="272"/>
      <c r="Z1173" s="258"/>
      <c r="AA1173" s="258"/>
      <c r="AB1173" s="258"/>
      <c r="AC1173" s="258"/>
      <c r="AD1173" s="258"/>
      <c r="AE1173" s="258"/>
      <c r="AF1173" s="258"/>
      <c r="AG1173" s="258"/>
      <c r="AH1173" s="258"/>
      <c r="AQ1173" s="259"/>
      <c r="AR1173" s="259"/>
      <c r="AS1173" s="259"/>
      <c r="AT1173" s="259"/>
      <c r="AU1173" s="259"/>
      <c r="AV1173" s="259"/>
      <c r="AW1173" s="259"/>
    </row>
    <row r="1174" spans="2:49" ht="15" customHeight="1" x14ac:dyDescent="0.25">
      <c r="D1174" s="262"/>
      <c r="G1174" s="288"/>
      <c r="H1174" s="265"/>
      <c r="L1174" s="278"/>
      <c r="M1174" s="274"/>
      <c r="N1174" s="258"/>
      <c r="O1174" s="258"/>
      <c r="P1174" s="258"/>
      <c r="Q1174" s="276"/>
      <c r="W1174" s="272"/>
      <c r="X1174" s="272"/>
      <c r="Y1174" s="272"/>
      <c r="Z1174" s="258"/>
      <c r="AA1174" s="258"/>
      <c r="AB1174" s="258"/>
      <c r="AC1174" s="258"/>
      <c r="AD1174" s="258"/>
      <c r="AE1174" s="258"/>
      <c r="AF1174" s="258"/>
      <c r="AG1174" s="258"/>
      <c r="AH1174" s="258"/>
      <c r="AQ1174" s="259"/>
      <c r="AR1174" s="259"/>
      <c r="AS1174" s="259"/>
      <c r="AT1174" s="259"/>
      <c r="AU1174" s="259"/>
      <c r="AV1174" s="259"/>
      <c r="AW1174" s="259"/>
    </row>
    <row r="1175" spans="2:49" ht="15" customHeight="1" x14ac:dyDescent="0.25">
      <c r="D1175" s="262"/>
      <c r="G1175" s="288"/>
      <c r="H1175" s="265"/>
      <c r="L1175" s="278"/>
      <c r="M1175" s="274"/>
      <c r="N1175" s="258"/>
      <c r="O1175" s="258"/>
      <c r="P1175" s="258"/>
      <c r="Q1175" s="276"/>
      <c r="W1175" s="272"/>
      <c r="X1175" s="272"/>
      <c r="Y1175" s="272"/>
      <c r="Z1175" s="258"/>
      <c r="AA1175" s="258"/>
      <c r="AB1175" s="258"/>
      <c r="AC1175" s="258"/>
      <c r="AD1175" s="258"/>
      <c r="AE1175" s="258"/>
      <c r="AF1175" s="258"/>
      <c r="AG1175" s="258"/>
      <c r="AH1175" s="258"/>
      <c r="AQ1175" s="259"/>
      <c r="AR1175" s="259"/>
      <c r="AS1175" s="259"/>
      <c r="AT1175" s="259"/>
      <c r="AU1175" s="259"/>
      <c r="AV1175" s="259"/>
      <c r="AW1175" s="259"/>
    </row>
    <row r="1176" spans="2:49" ht="15" customHeight="1" x14ac:dyDescent="0.25">
      <c r="D1176" s="262"/>
      <c r="G1176" s="288"/>
      <c r="H1176" s="265"/>
      <c r="L1176" s="273"/>
      <c r="M1176" s="274"/>
      <c r="N1176" s="270"/>
      <c r="O1176" s="270"/>
      <c r="P1176" s="270"/>
      <c r="Q1176" s="275"/>
      <c r="R1176" s="272"/>
      <c r="S1176" s="272"/>
      <c r="T1176" s="272"/>
      <c r="U1176" s="272"/>
      <c r="V1176" s="272"/>
      <c r="W1176" s="272"/>
      <c r="X1176" s="272"/>
      <c r="Y1176" s="272"/>
      <c r="Z1176" s="258"/>
      <c r="AA1176" s="258"/>
      <c r="AB1176" s="258"/>
      <c r="AC1176" s="258"/>
      <c r="AD1176" s="258"/>
      <c r="AE1176" s="258"/>
      <c r="AF1176" s="258"/>
      <c r="AG1176" s="258"/>
      <c r="AH1176" s="258"/>
      <c r="AI1176" s="258"/>
      <c r="AQ1176" s="259"/>
      <c r="AR1176" s="259"/>
      <c r="AS1176" s="259"/>
      <c r="AT1176" s="259"/>
      <c r="AU1176" s="259"/>
      <c r="AV1176" s="259"/>
      <c r="AW1176" s="259"/>
    </row>
    <row r="1177" spans="2:49" ht="15" customHeight="1" x14ac:dyDescent="0.25">
      <c r="D1177" s="262"/>
      <c r="G1177" s="288"/>
      <c r="H1177" s="265"/>
      <c r="L1177" s="273"/>
      <c r="M1177" s="274"/>
      <c r="N1177" s="258"/>
      <c r="O1177" s="258"/>
      <c r="P1177" s="258"/>
      <c r="Q1177" s="276"/>
      <c r="R1177" s="272"/>
      <c r="S1177" s="272"/>
      <c r="T1177" s="272"/>
      <c r="U1177" s="272"/>
      <c r="V1177" s="272"/>
      <c r="W1177" s="272"/>
      <c r="X1177" s="272"/>
      <c r="Y1177" s="272"/>
      <c r="Z1177" s="258"/>
      <c r="AA1177" s="258"/>
      <c r="AB1177" s="258"/>
      <c r="AC1177" s="258"/>
      <c r="AD1177" s="258"/>
      <c r="AE1177" s="258"/>
      <c r="AF1177" s="258"/>
      <c r="AG1177" s="258"/>
      <c r="AH1177" s="258"/>
      <c r="AI1177" s="258"/>
      <c r="AQ1177" s="259"/>
      <c r="AR1177" s="259"/>
      <c r="AS1177" s="259"/>
      <c r="AT1177" s="259"/>
      <c r="AU1177" s="259"/>
      <c r="AV1177" s="259"/>
      <c r="AW1177" s="259"/>
    </row>
    <row r="1178" spans="2:49" ht="15" customHeight="1" x14ac:dyDescent="0.25">
      <c r="D1178" s="262"/>
      <c r="G1178" s="288"/>
      <c r="H1178" s="265"/>
      <c r="L1178" s="273"/>
      <c r="M1178" s="274"/>
      <c r="N1178" s="258"/>
      <c r="O1178" s="258"/>
      <c r="P1178" s="258"/>
      <c r="Q1178" s="276"/>
      <c r="R1178" s="272"/>
      <c r="S1178" s="272"/>
      <c r="T1178" s="272"/>
      <c r="U1178" s="272"/>
      <c r="V1178" s="272"/>
      <c r="W1178" s="272"/>
      <c r="X1178" s="272"/>
      <c r="Y1178" s="272"/>
      <c r="Z1178" s="258"/>
      <c r="AA1178" s="258"/>
      <c r="AB1178" s="258"/>
      <c r="AC1178" s="258"/>
      <c r="AD1178" s="258"/>
      <c r="AE1178" s="258"/>
      <c r="AF1178" s="258"/>
      <c r="AG1178" s="258"/>
      <c r="AH1178" s="270"/>
      <c r="AI1178" s="270"/>
      <c r="AQ1178" s="259"/>
      <c r="AR1178" s="259"/>
      <c r="AS1178" s="259"/>
      <c r="AT1178" s="259"/>
      <c r="AU1178" s="259"/>
      <c r="AV1178" s="259"/>
      <c r="AW1178" s="259"/>
    </row>
    <row r="1179" spans="2:49" ht="15" customHeight="1" x14ac:dyDescent="0.25">
      <c r="D1179" s="262"/>
      <c r="G1179" s="288"/>
      <c r="H1179" s="265"/>
      <c r="L1179" s="273"/>
      <c r="M1179" s="277"/>
      <c r="N1179" s="258"/>
      <c r="O1179" s="258"/>
      <c r="P1179" s="258"/>
      <c r="Q1179" s="276"/>
      <c r="R1179" s="272"/>
      <c r="S1179" s="272"/>
      <c r="T1179" s="272"/>
      <c r="U1179" s="272"/>
      <c r="V1179" s="272"/>
      <c r="W1179" s="272"/>
      <c r="X1179" s="272"/>
      <c r="Y1179" s="272"/>
      <c r="Z1179" s="258"/>
      <c r="AA1179" s="258"/>
      <c r="AB1179" s="258"/>
      <c r="AC1179" s="258"/>
      <c r="AD1179" s="258"/>
      <c r="AE1179" s="258"/>
      <c r="AF1179" s="258"/>
      <c r="AG1179" s="258"/>
      <c r="AH1179" s="270"/>
      <c r="AI1179" s="270"/>
      <c r="AQ1179" s="259"/>
      <c r="AR1179" s="259"/>
      <c r="AS1179" s="259"/>
      <c r="AT1179" s="259"/>
      <c r="AU1179" s="259"/>
      <c r="AV1179" s="259"/>
      <c r="AW1179" s="259"/>
    </row>
    <row r="1180" spans="2:49" ht="15" customHeight="1" x14ac:dyDescent="0.25">
      <c r="D1180" s="262"/>
      <c r="G1180" s="288"/>
      <c r="H1180" s="265"/>
      <c r="L1180" s="278"/>
      <c r="M1180" s="274"/>
      <c r="N1180" s="258"/>
      <c r="O1180" s="258"/>
      <c r="P1180" s="258"/>
      <c r="Q1180" s="276"/>
      <c r="R1180" s="272"/>
      <c r="S1180" s="272"/>
      <c r="T1180" s="272"/>
      <c r="U1180" s="272"/>
      <c r="V1180" s="272"/>
      <c r="W1180" s="272"/>
      <c r="X1180" s="272"/>
      <c r="Y1180" s="272"/>
      <c r="Z1180" s="258"/>
      <c r="AA1180" s="258"/>
      <c r="AB1180" s="258"/>
      <c r="AC1180" s="258"/>
      <c r="AD1180" s="258"/>
      <c r="AE1180" s="258"/>
      <c r="AF1180" s="258"/>
      <c r="AG1180" s="258"/>
      <c r="AH1180" s="270"/>
      <c r="AI1180" s="270"/>
      <c r="AQ1180" s="259"/>
      <c r="AR1180" s="259"/>
      <c r="AS1180" s="259"/>
      <c r="AT1180" s="259"/>
      <c r="AU1180" s="259"/>
      <c r="AV1180" s="259"/>
      <c r="AW1180" s="259"/>
    </row>
    <row r="1181" spans="2:49" ht="15" customHeight="1" x14ac:dyDescent="0.25">
      <c r="D1181" s="262"/>
      <c r="G1181" s="288"/>
      <c r="H1181" s="265"/>
      <c r="L1181" s="278"/>
      <c r="M1181" s="274"/>
      <c r="N1181" s="258"/>
      <c r="O1181" s="258"/>
      <c r="P1181" s="258"/>
      <c r="Q1181" s="276"/>
      <c r="R1181" s="272"/>
      <c r="S1181" s="272"/>
      <c r="T1181" s="272"/>
      <c r="U1181" s="272"/>
      <c r="V1181" s="272"/>
      <c r="W1181" s="272"/>
      <c r="X1181" s="272"/>
      <c r="Y1181" s="272"/>
      <c r="Z1181" s="258"/>
      <c r="AA1181" s="258"/>
      <c r="AB1181" s="258"/>
      <c r="AC1181" s="258"/>
      <c r="AD1181" s="258"/>
      <c r="AE1181" s="258"/>
      <c r="AF1181" s="258"/>
      <c r="AG1181" s="258"/>
      <c r="AH1181" s="258"/>
      <c r="AQ1181" s="259"/>
      <c r="AR1181" s="259"/>
      <c r="AS1181" s="259"/>
      <c r="AT1181" s="259"/>
      <c r="AU1181" s="259"/>
      <c r="AV1181" s="259"/>
      <c r="AW1181" s="259"/>
    </row>
    <row r="1182" spans="2:49" ht="15" customHeight="1" x14ac:dyDescent="0.25">
      <c r="D1182" s="262"/>
      <c r="G1182" s="288"/>
      <c r="H1182" s="265"/>
      <c r="L1182" s="278"/>
      <c r="M1182" s="274"/>
      <c r="N1182" s="258"/>
      <c r="O1182" s="258"/>
      <c r="P1182" s="258"/>
      <c r="Q1182" s="276"/>
      <c r="R1182" s="272"/>
      <c r="S1182" s="272"/>
      <c r="T1182" s="272"/>
      <c r="U1182" s="272"/>
      <c r="V1182" s="272"/>
      <c r="W1182" s="272"/>
      <c r="X1182" s="272"/>
      <c r="Y1182" s="272"/>
      <c r="Z1182" s="258"/>
      <c r="AA1182" s="258"/>
      <c r="AB1182" s="258"/>
      <c r="AC1182" s="258"/>
      <c r="AD1182" s="258"/>
      <c r="AE1182" s="258"/>
      <c r="AF1182" s="258"/>
      <c r="AG1182" s="258"/>
      <c r="AH1182" s="258"/>
      <c r="AQ1182" s="259"/>
      <c r="AR1182" s="259"/>
      <c r="AS1182" s="259"/>
      <c r="AT1182" s="259"/>
      <c r="AU1182" s="259"/>
      <c r="AV1182" s="259"/>
      <c r="AW1182" s="259"/>
    </row>
    <row r="1183" spans="2:49" ht="15" customHeight="1" x14ac:dyDescent="0.25">
      <c r="D1183" s="262"/>
      <c r="G1183" s="288"/>
      <c r="H1183" s="265"/>
      <c r="L1183" s="278"/>
      <c r="M1183" s="274"/>
      <c r="N1183" s="258"/>
      <c r="O1183" s="258"/>
      <c r="P1183" s="258"/>
      <c r="Q1183" s="276"/>
      <c r="R1183" s="272"/>
      <c r="S1183" s="272"/>
      <c r="T1183" s="272"/>
      <c r="U1183" s="272"/>
      <c r="V1183" s="272"/>
      <c r="W1183" s="272"/>
      <c r="X1183" s="272"/>
      <c r="Y1183" s="272"/>
      <c r="Z1183" s="258"/>
      <c r="AA1183" s="258"/>
      <c r="AB1183" s="258"/>
      <c r="AC1183" s="258"/>
      <c r="AD1183" s="258"/>
      <c r="AE1183" s="258"/>
      <c r="AF1183" s="258"/>
      <c r="AG1183" s="258"/>
      <c r="AH1183" s="258"/>
      <c r="AQ1183" s="259"/>
      <c r="AR1183" s="259"/>
      <c r="AS1183" s="259"/>
      <c r="AT1183" s="259"/>
      <c r="AU1183" s="259"/>
      <c r="AV1183" s="259"/>
      <c r="AW1183" s="259"/>
    </row>
    <row r="1184" spans="2:49" ht="15" customHeight="1" x14ac:dyDescent="0.25">
      <c r="D1184" s="262"/>
      <c r="G1184" s="288"/>
      <c r="H1184" s="265"/>
      <c r="L1184" s="278"/>
      <c r="M1184" s="274"/>
      <c r="N1184" s="258"/>
      <c r="O1184" s="258"/>
      <c r="P1184" s="258"/>
      <c r="Q1184" s="276"/>
      <c r="R1184" s="272"/>
      <c r="S1184" s="272"/>
      <c r="T1184" s="272"/>
      <c r="U1184" s="272"/>
      <c r="V1184" s="272"/>
      <c r="W1184" s="272"/>
      <c r="X1184" s="272"/>
      <c r="Y1184" s="272"/>
      <c r="Z1184" s="258"/>
      <c r="AA1184" s="258"/>
      <c r="AB1184" s="258"/>
      <c r="AC1184" s="258"/>
      <c r="AD1184" s="258"/>
      <c r="AE1184" s="258"/>
      <c r="AF1184" s="258"/>
      <c r="AG1184" s="258"/>
      <c r="AH1184" s="258"/>
      <c r="AQ1184" s="259"/>
      <c r="AR1184" s="259"/>
      <c r="AS1184" s="259"/>
      <c r="AT1184" s="259"/>
      <c r="AU1184" s="259"/>
      <c r="AV1184" s="259"/>
      <c r="AW1184" s="259"/>
    </row>
    <row r="1185" spans="2:49" ht="15" customHeight="1" x14ac:dyDescent="0.25">
      <c r="D1185" s="262"/>
      <c r="G1185" s="288"/>
      <c r="H1185" s="265"/>
      <c r="L1185" s="278"/>
      <c r="M1185" s="274"/>
      <c r="N1185" s="258"/>
      <c r="O1185" s="258"/>
      <c r="P1185" s="258"/>
      <c r="Q1185" s="276"/>
      <c r="W1185" s="272"/>
      <c r="X1185" s="272"/>
      <c r="Y1185" s="272"/>
      <c r="Z1185" s="258"/>
      <c r="AA1185" s="258"/>
      <c r="AB1185" s="258"/>
      <c r="AC1185" s="258"/>
      <c r="AD1185" s="258"/>
      <c r="AE1185" s="258"/>
      <c r="AF1185" s="258"/>
      <c r="AG1185" s="258"/>
      <c r="AH1185" s="258"/>
      <c r="AQ1185" s="259"/>
      <c r="AR1185" s="259"/>
      <c r="AS1185" s="259"/>
      <c r="AT1185" s="259"/>
      <c r="AU1185" s="259"/>
      <c r="AV1185" s="259"/>
      <c r="AW1185" s="259"/>
    </row>
    <row r="1186" spans="2:49" ht="15" customHeight="1" x14ac:dyDescent="0.25">
      <c r="D1186" s="262"/>
      <c r="G1186" s="288"/>
      <c r="H1186" s="265"/>
      <c r="L1186" s="278"/>
      <c r="M1186" s="274"/>
      <c r="N1186" s="258"/>
      <c r="O1186" s="258"/>
      <c r="P1186" s="258"/>
      <c r="Q1186" s="276"/>
      <c r="W1186" s="272"/>
      <c r="X1186" s="272"/>
      <c r="Y1186" s="272"/>
      <c r="Z1186" s="258"/>
      <c r="AA1186" s="258"/>
      <c r="AB1186" s="258"/>
      <c r="AC1186" s="258"/>
      <c r="AD1186" s="258"/>
      <c r="AE1186" s="258"/>
      <c r="AF1186" s="258"/>
      <c r="AG1186" s="258"/>
      <c r="AH1186" s="258"/>
      <c r="AQ1186" s="259"/>
      <c r="AR1186" s="259"/>
      <c r="AS1186" s="259"/>
      <c r="AT1186" s="259"/>
      <c r="AU1186" s="259"/>
      <c r="AV1186" s="259"/>
      <c r="AW1186" s="259"/>
    </row>
    <row r="1187" spans="2:49" ht="15" customHeight="1" x14ac:dyDescent="0.25">
      <c r="D1187" s="262"/>
      <c r="G1187" s="288"/>
      <c r="H1187" s="265"/>
      <c r="L1187" s="278"/>
      <c r="M1187" s="274"/>
      <c r="N1187" s="258"/>
      <c r="O1187" s="258"/>
      <c r="P1187" s="258"/>
      <c r="Q1187" s="276"/>
      <c r="W1187" s="272"/>
      <c r="X1187" s="272"/>
      <c r="Y1187" s="272"/>
      <c r="Z1187" s="258"/>
      <c r="AA1187" s="258"/>
      <c r="AB1187" s="258"/>
      <c r="AC1187" s="258"/>
      <c r="AD1187" s="258"/>
      <c r="AE1187" s="258"/>
      <c r="AF1187" s="258"/>
      <c r="AG1187" s="258"/>
      <c r="AH1187" s="258"/>
      <c r="AQ1187" s="259"/>
      <c r="AR1187" s="259"/>
      <c r="AS1187" s="259"/>
      <c r="AT1187" s="259"/>
      <c r="AU1187" s="259"/>
      <c r="AV1187" s="259"/>
      <c r="AW1187" s="259"/>
    </row>
    <row r="1188" spans="2:49" ht="15" customHeight="1" x14ac:dyDescent="0.25">
      <c r="D1188" s="262"/>
      <c r="G1188" s="288"/>
      <c r="H1188" s="265"/>
      <c r="L1188" s="273"/>
      <c r="M1188" s="274"/>
      <c r="N1188" s="270"/>
      <c r="O1188" s="270"/>
      <c r="P1188" s="270"/>
      <c r="Q1188" s="275"/>
      <c r="R1188" s="272"/>
      <c r="S1188" s="272"/>
      <c r="T1188" s="272"/>
      <c r="U1188" s="272"/>
      <c r="V1188" s="272"/>
      <c r="W1188" s="272"/>
      <c r="X1188" s="272"/>
      <c r="Y1188" s="272"/>
      <c r="Z1188" s="258"/>
      <c r="AA1188" s="258"/>
      <c r="AB1188" s="258"/>
      <c r="AC1188" s="258"/>
      <c r="AD1188" s="258"/>
      <c r="AE1188" s="258"/>
      <c r="AF1188" s="258"/>
      <c r="AG1188" s="258"/>
      <c r="AH1188" s="258"/>
      <c r="AI1188" s="258"/>
      <c r="AQ1188" s="259"/>
      <c r="AR1188" s="259"/>
      <c r="AS1188" s="259"/>
      <c r="AT1188" s="259"/>
      <c r="AU1188" s="259"/>
      <c r="AV1188" s="259"/>
      <c r="AW1188" s="259"/>
    </row>
    <row r="1189" spans="2:49" ht="15" customHeight="1" x14ac:dyDescent="0.25">
      <c r="D1189" s="262"/>
      <c r="G1189" s="288"/>
      <c r="H1189" s="265"/>
      <c r="L1189" s="273"/>
      <c r="M1189" s="274"/>
      <c r="N1189" s="258"/>
      <c r="O1189" s="258"/>
      <c r="P1189" s="258"/>
      <c r="Q1189" s="276"/>
      <c r="R1189" s="272"/>
      <c r="S1189" s="272"/>
      <c r="T1189" s="272"/>
      <c r="U1189" s="272"/>
      <c r="V1189" s="272"/>
      <c r="W1189" s="272"/>
      <c r="X1189" s="272"/>
      <c r="Y1189" s="272"/>
      <c r="Z1189" s="258"/>
      <c r="AA1189" s="258"/>
      <c r="AB1189" s="258"/>
      <c r="AC1189" s="258"/>
      <c r="AD1189" s="258"/>
      <c r="AE1189" s="258"/>
      <c r="AF1189" s="258"/>
      <c r="AG1189" s="258"/>
      <c r="AH1189" s="258"/>
      <c r="AI1189" s="258"/>
      <c r="AQ1189" s="259"/>
      <c r="AR1189" s="259"/>
      <c r="AS1189" s="259"/>
      <c r="AT1189" s="259"/>
      <c r="AU1189" s="259"/>
      <c r="AV1189" s="259"/>
      <c r="AW1189" s="259"/>
    </row>
    <row r="1190" spans="2:49" ht="15" customHeight="1" x14ac:dyDescent="0.25">
      <c r="D1190" s="262"/>
      <c r="G1190" s="288"/>
      <c r="H1190" s="265"/>
      <c r="L1190" s="273"/>
      <c r="M1190" s="274"/>
      <c r="N1190" s="258"/>
      <c r="O1190" s="258"/>
      <c r="P1190" s="258"/>
      <c r="Q1190" s="276"/>
      <c r="R1190" s="272"/>
      <c r="S1190" s="272"/>
      <c r="T1190" s="272"/>
      <c r="U1190" s="272"/>
      <c r="V1190" s="272"/>
      <c r="W1190" s="272"/>
      <c r="X1190" s="272"/>
      <c r="Y1190" s="272"/>
      <c r="Z1190" s="258"/>
      <c r="AA1190" s="258"/>
      <c r="AB1190" s="258"/>
      <c r="AC1190" s="258"/>
      <c r="AD1190" s="258"/>
      <c r="AE1190" s="258"/>
      <c r="AF1190" s="258"/>
      <c r="AG1190" s="258"/>
      <c r="AH1190" s="270"/>
      <c r="AI1190" s="270"/>
      <c r="AQ1190" s="259"/>
      <c r="AR1190" s="259"/>
      <c r="AS1190" s="259"/>
      <c r="AT1190" s="259"/>
      <c r="AU1190" s="259"/>
      <c r="AV1190" s="259"/>
      <c r="AW1190" s="259"/>
    </row>
    <row r="1191" spans="2:49" ht="15" customHeight="1" x14ac:dyDescent="0.25">
      <c r="D1191" s="262"/>
      <c r="G1191" s="288"/>
      <c r="H1191" s="265"/>
      <c r="L1191" s="273"/>
      <c r="M1191" s="277"/>
      <c r="N1191" s="258"/>
      <c r="O1191" s="258"/>
      <c r="P1191" s="258"/>
      <c r="Q1191" s="276"/>
      <c r="R1191" s="272"/>
      <c r="S1191" s="272"/>
      <c r="T1191" s="272"/>
      <c r="U1191" s="272"/>
      <c r="V1191" s="272"/>
      <c r="W1191" s="272"/>
      <c r="X1191" s="272"/>
      <c r="Y1191" s="272"/>
      <c r="Z1191" s="258"/>
      <c r="AA1191" s="258"/>
      <c r="AB1191" s="258"/>
      <c r="AC1191" s="258"/>
      <c r="AD1191" s="258"/>
      <c r="AE1191" s="258"/>
      <c r="AF1191" s="258"/>
      <c r="AG1191" s="258"/>
      <c r="AH1191" s="270"/>
      <c r="AI1191" s="270"/>
      <c r="AQ1191" s="259"/>
      <c r="AR1191" s="259"/>
      <c r="AS1191" s="259"/>
      <c r="AT1191" s="259"/>
      <c r="AU1191" s="259"/>
      <c r="AV1191" s="259"/>
      <c r="AW1191" s="259"/>
    </row>
    <row r="1192" spans="2:49" ht="15" customHeight="1" x14ac:dyDescent="0.25">
      <c r="D1192" s="262"/>
      <c r="G1192" s="288"/>
      <c r="H1192" s="265"/>
      <c r="L1192" s="278"/>
      <c r="M1192" s="274"/>
      <c r="N1192" s="258"/>
      <c r="O1192" s="258"/>
      <c r="P1192" s="258"/>
      <c r="Q1192" s="276"/>
      <c r="R1192" s="272"/>
      <c r="S1192" s="272"/>
      <c r="T1192" s="272"/>
      <c r="U1192" s="272"/>
      <c r="V1192" s="272"/>
      <c r="W1192" s="272"/>
      <c r="X1192" s="272"/>
      <c r="Y1192" s="272"/>
      <c r="Z1192" s="258"/>
      <c r="AA1192" s="258"/>
      <c r="AB1192" s="258"/>
      <c r="AC1192" s="258"/>
      <c r="AD1192" s="258"/>
      <c r="AE1192" s="258"/>
      <c r="AF1192" s="258"/>
      <c r="AG1192" s="258"/>
      <c r="AH1192" s="270"/>
      <c r="AI1192" s="270"/>
      <c r="AQ1192" s="259"/>
      <c r="AR1192" s="259"/>
      <c r="AS1192" s="259"/>
      <c r="AT1192" s="259"/>
      <c r="AU1192" s="259"/>
      <c r="AV1192" s="259"/>
      <c r="AW1192" s="259"/>
    </row>
    <row r="1193" spans="2:49" ht="15" customHeight="1" x14ac:dyDescent="0.25">
      <c r="D1193" s="262"/>
      <c r="G1193" s="288"/>
      <c r="H1193" s="265"/>
      <c r="L1193" s="278"/>
      <c r="M1193" s="274"/>
      <c r="N1193" s="258"/>
      <c r="O1193" s="258"/>
      <c r="P1193" s="258"/>
      <c r="Q1193" s="276"/>
      <c r="R1193" s="272"/>
      <c r="S1193" s="272"/>
      <c r="T1193" s="272"/>
      <c r="U1193" s="272"/>
      <c r="V1193" s="272"/>
      <c r="W1193" s="272"/>
      <c r="X1193" s="272"/>
      <c r="Y1193" s="272"/>
      <c r="Z1193" s="258"/>
      <c r="AA1193" s="258"/>
      <c r="AB1193" s="258"/>
      <c r="AC1193" s="258"/>
      <c r="AD1193" s="258"/>
      <c r="AE1193" s="258"/>
      <c r="AF1193" s="258"/>
      <c r="AG1193" s="258"/>
      <c r="AH1193" s="258"/>
      <c r="AQ1193" s="259"/>
      <c r="AR1193" s="259"/>
      <c r="AS1193" s="259"/>
      <c r="AT1193" s="259"/>
      <c r="AU1193" s="259"/>
      <c r="AV1193" s="259"/>
      <c r="AW1193" s="259"/>
    </row>
    <row r="1194" spans="2:49" ht="15" customHeight="1" x14ac:dyDescent="0.25">
      <c r="D1194" s="262"/>
      <c r="G1194" s="288"/>
      <c r="H1194" s="265"/>
      <c r="L1194" s="278"/>
      <c r="M1194" s="274"/>
      <c r="N1194" s="258"/>
      <c r="O1194" s="258"/>
      <c r="P1194" s="258"/>
      <c r="Q1194" s="276"/>
      <c r="R1194" s="272"/>
      <c r="S1194" s="272"/>
      <c r="T1194" s="272"/>
      <c r="U1194" s="272"/>
      <c r="V1194" s="272"/>
      <c r="W1194" s="272"/>
      <c r="X1194" s="272"/>
      <c r="Y1194" s="272"/>
      <c r="Z1194" s="258"/>
      <c r="AA1194" s="258"/>
      <c r="AB1194" s="258"/>
      <c r="AC1194" s="258"/>
      <c r="AD1194" s="258"/>
      <c r="AE1194" s="258"/>
      <c r="AF1194" s="258"/>
      <c r="AG1194" s="258"/>
      <c r="AH1194" s="258"/>
      <c r="AQ1194" s="259"/>
      <c r="AR1194" s="259"/>
      <c r="AS1194" s="259"/>
      <c r="AT1194" s="259"/>
      <c r="AU1194" s="259"/>
      <c r="AV1194" s="259"/>
      <c r="AW1194" s="259"/>
    </row>
    <row r="1195" spans="2:49" ht="15" customHeight="1" x14ac:dyDescent="0.25">
      <c r="D1195" s="262"/>
      <c r="G1195" s="288"/>
      <c r="H1195" s="265"/>
      <c r="L1195" s="278"/>
      <c r="M1195" s="274"/>
      <c r="N1195" s="258"/>
      <c r="O1195" s="258"/>
      <c r="P1195" s="258"/>
      <c r="Q1195" s="276"/>
      <c r="R1195" s="272"/>
      <c r="S1195" s="272"/>
      <c r="T1195" s="272"/>
      <c r="U1195" s="272"/>
      <c r="V1195" s="272"/>
      <c r="W1195" s="272"/>
      <c r="X1195" s="272"/>
      <c r="Y1195" s="272"/>
      <c r="Z1195" s="258"/>
      <c r="AA1195" s="258"/>
      <c r="AB1195" s="258"/>
      <c r="AC1195" s="258"/>
      <c r="AD1195" s="258"/>
      <c r="AE1195" s="258"/>
      <c r="AF1195" s="258"/>
      <c r="AG1195" s="258"/>
      <c r="AH1195" s="258"/>
      <c r="AQ1195" s="259"/>
      <c r="AR1195" s="259"/>
      <c r="AS1195" s="259"/>
      <c r="AT1195" s="259"/>
      <c r="AU1195" s="259"/>
      <c r="AV1195" s="259"/>
      <c r="AW1195" s="259"/>
    </row>
    <row r="1196" spans="2:49" ht="15" customHeight="1" x14ac:dyDescent="0.25">
      <c r="D1196" s="262"/>
      <c r="G1196" s="288"/>
      <c r="H1196" s="265"/>
      <c r="L1196" s="278"/>
      <c r="M1196" s="274"/>
      <c r="N1196" s="258"/>
      <c r="O1196" s="258"/>
      <c r="P1196" s="258"/>
      <c r="Q1196" s="276"/>
      <c r="R1196" s="272"/>
      <c r="S1196" s="272"/>
      <c r="T1196" s="272"/>
      <c r="U1196" s="272"/>
      <c r="V1196" s="272"/>
      <c r="W1196" s="272"/>
      <c r="X1196" s="272"/>
      <c r="Y1196" s="272"/>
      <c r="Z1196" s="258"/>
      <c r="AA1196" s="258"/>
      <c r="AB1196" s="258"/>
      <c r="AC1196" s="258"/>
      <c r="AD1196" s="258"/>
      <c r="AE1196" s="258"/>
      <c r="AF1196" s="258"/>
      <c r="AG1196" s="258"/>
      <c r="AH1196" s="258"/>
      <c r="AQ1196" s="259"/>
      <c r="AR1196" s="259"/>
      <c r="AS1196" s="259"/>
      <c r="AT1196" s="259"/>
      <c r="AU1196" s="259"/>
      <c r="AV1196" s="259"/>
      <c r="AW1196" s="259"/>
    </row>
    <row r="1197" spans="2:49" ht="15" customHeight="1" x14ac:dyDescent="0.25">
      <c r="D1197" s="262"/>
      <c r="G1197" s="288"/>
      <c r="H1197" s="265"/>
      <c r="L1197" s="278"/>
      <c r="M1197" s="274"/>
      <c r="N1197" s="258"/>
      <c r="O1197" s="258"/>
      <c r="P1197" s="258"/>
      <c r="Q1197" s="276"/>
      <c r="W1197" s="272"/>
      <c r="X1197" s="272"/>
      <c r="Y1197" s="272"/>
      <c r="Z1197" s="258"/>
      <c r="AA1197" s="258"/>
      <c r="AB1197" s="258"/>
      <c r="AC1197" s="258"/>
      <c r="AD1197" s="258"/>
      <c r="AE1197" s="258"/>
      <c r="AF1197" s="258"/>
      <c r="AG1197" s="258"/>
      <c r="AH1197" s="258"/>
      <c r="AQ1197" s="259"/>
      <c r="AR1197" s="259"/>
      <c r="AS1197" s="259"/>
      <c r="AT1197" s="259"/>
      <c r="AU1197" s="259"/>
      <c r="AV1197" s="259"/>
      <c r="AW1197" s="259"/>
    </row>
    <row r="1198" spans="2:49" ht="15" customHeight="1" x14ac:dyDescent="0.25">
      <c r="D1198" s="262"/>
      <c r="G1198" s="288"/>
      <c r="H1198" s="265"/>
      <c r="L1198" s="278"/>
      <c r="M1198" s="274"/>
      <c r="N1198" s="258"/>
      <c r="O1198" s="258"/>
      <c r="P1198" s="258"/>
      <c r="Q1198" s="276"/>
      <c r="W1198" s="272"/>
      <c r="X1198" s="272"/>
      <c r="Y1198" s="272"/>
      <c r="Z1198" s="258"/>
      <c r="AA1198" s="258"/>
      <c r="AB1198" s="258"/>
      <c r="AC1198" s="258"/>
      <c r="AD1198" s="258"/>
      <c r="AE1198" s="258"/>
      <c r="AF1198" s="258"/>
      <c r="AG1198" s="258"/>
      <c r="AH1198" s="258"/>
      <c r="AQ1198" s="259"/>
      <c r="AR1198" s="259"/>
      <c r="AS1198" s="259"/>
      <c r="AT1198" s="259"/>
      <c r="AU1198" s="259"/>
      <c r="AV1198" s="259"/>
      <c r="AW1198" s="259"/>
    </row>
    <row r="1199" spans="2:49" ht="15" customHeight="1" x14ac:dyDescent="0.25">
      <c r="B1199" s="260"/>
      <c r="D1199" s="262"/>
      <c r="G1199" s="289"/>
      <c r="H1199" s="265"/>
      <c r="I1199" s="266"/>
      <c r="K1199" s="268"/>
      <c r="L1199" s="278"/>
      <c r="M1199" s="274"/>
      <c r="N1199" s="258"/>
      <c r="O1199" s="258"/>
      <c r="P1199" s="258"/>
      <c r="Q1199" s="276"/>
      <c r="W1199" s="272"/>
      <c r="X1199" s="272"/>
      <c r="Y1199" s="272"/>
      <c r="Z1199" s="258"/>
      <c r="AA1199" s="258"/>
      <c r="AB1199" s="258"/>
      <c r="AC1199" s="258"/>
      <c r="AD1199" s="258"/>
      <c r="AE1199" s="258"/>
      <c r="AF1199" s="258"/>
      <c r="AG1199" s="258"/>
      <c r="AH1199" s="258"/>
      <c r="AQ1199" s="259"/>
      <c r="AR1199" s="259"/>
      <c r="AS1199" s="259"/>
      <c r="AT1199" s="259"/>
      <c r="AU1199" s="259"/>
      <c r="AV1199" s="259"/>
      <c r="AW1199" s="259"/>
    </row>
    <row r="1200" spans="2:49" ht="15" customHeight="1" x14ac:dyDescent="0.25">
      <c r="B1200" s="260"/>
      <c r="D1200" s="262"/>
      <c r="G1200" s="289"/>
      <c r="H1200" s="265"/>
      <c r="I1200" s="266"/>
      <c r="K1200" s="268"/>
      <c r="L1200" s="273"/>
      <c r="M1200" s="274"/>
      <c r="N1200" s="270"/>
      <c r="O1200" s="270"/>
      <c r="P1200" s="270"/>
      <c r="Q1200" s="275"/>
      <c r="R1200" s="272"/>
      <c r="S1200" s="272"/>
      <c r="T1200" s="272"/>
      <c r="U1200" s="272"/>
      <c r="V1200" s="272"/>
      <c r="W1200" s="272"/>
      <c r="X1200" s="272"/>
      <c r="Y1200" s="272"/>
      <c r="Z1200" s="258"/>
      <c r="AA1200" s="258"/>
      <c r="AB1200" s="258"/>
      <c r="AC1200" s="258"/>
      <c r="AD1200" s="258"/>
      <c r="AE1200" s="258"/>
      <c r="AF1200" s="258"/>
      <c r="AG1200" s="258"/>
      <c r="AH1200" s="258"/>
      <c r="AI1200" s="258"/>
      <c r="AQ1200" s="259"/>
      <c r="AR1200" s="259"/>
      <c r="AS1200" s="259"/>
      <c r="AT1200" s="259"/>
      <c r="AU1200" s="259"/>
      <c r="AV1200" s="259"/>
      <c r="AW1200" s="259"/>
    </row>
    <row r="1201" spans="2:49" ht="15" customHeight="1" x14ac:dyDescent="0.25">
      <c r="B1201" s="260"/>
      <c r="D1201" s="262"/>
      <c r="G1201" s="288"/>
      <c r="H1201" s="265"/>
      <c r="I1201" s="266"/>
      <c r="K1201" s="268"/>
      <c r="L1201" s="273"/>
      <c r="M1201" s="274"/>
      <c r="N1201" s="258"/>
      <c r="O1201" s="258"/>
      <c r="P1201" s="258"/>
      <c r="Q1201" s="276"/>
      <c r="R1201" s="272"/>
      <c r="S1201" s="272"/>
      <c r="T1201" s="272"/>
      <c r="U1201" s="272"/>
      <c r="V1201" s="272"/>
      <c r="W1201" s="272"/>
      <c r="X1201" s="272"/>
      <c r="Y1201" s="272"/>
      <c r="Z1201" s="258"/>
      <c r="AA1201" s="258"/>
      <c r="AB1201" s="258"/>
      <c r="AC1201" s="258"/>
      <c r="AD1201" s="258"/>
      <c r="AE1201" s="258"/>
      <c r="AF1201" s="258"/>
      <c r="AG1201" s="258"/>
      <c r="AH1201" s="258"/>
      <c r="AI1201" s="258"/>
      <c r="AQ1201" s="259"/>
      <c r="AR1201" s="259"/>
      <c r="AS1201" s="259"/>
      <c r="AT1201" s="259"/>
      <c r="AU1201" s="259"/>
      <c r="AV1201" s="259"/>
      <c r="AW1201" s="259"/>
    </row>
    <row r="1202" spans="2:49" ht="15" customHeight="1" x14ac:dyDescent="0.25">
      <c r="B1202" s="260"/>
      <c r="D1202" s="262"/>
      <c r="G1202" s="288"/>
      <c r="H1202" s="265"/>
      <c r="I1202" s="266"/>
      <c r="K1202" s="268"/>
      <c r="L1202" s="273"/>
      <c r="M1202" s="274"/>
      <c r="N1202" s="258"/>
      <c r="O1202" s="258"/>
      <c r="P1202" s="258"/>
      <c r="Q1202" s="276"/>
      <c r="R1202" s="272"/>
      <c r="S1202" s="272"/>
      <c r="T1202" s="272"/>
      <c r="U1202" s="272"/>
      <c r="V1202" s="272"/>
      <c r="W1202" s="272"/>
      <c r="X1202" s="272"/>
      <c r="Y1202" s="272"/>
      <c r="Z1202" s="258"/>
      <c r="AA1202" s="258"/>
      <c r="AB1202" s="258"/>
      <c r="AC1202" s="258"/>
      <c r="AD1202" s="258"/>
      <c r="AE1202" s="258"/>
      <c r="AF1202" s="258"/>
      <c r="AG1202" s="258"/>
      <c r="AH1202" s="270"/>
      <c r="AI1202" s="270"/>
      <c r="AQ1202" s="259"/>
      <c r="AR1202" s="259"/>
      <c r="AS1202" s="259"/>
      <c r="AT1202" s="259"/>
      <c r="AU1202" s="259"/>
      <c r="AV1202" s="259"/>
      <c r="AW1202" s="259"/>
    </row>
    <row r="1203" spans="2:49" ht="15" customHeight="1" x14ac:dyDescent="0.25">
      <c r="B1203" s="260"/>
      <c r="D1203" s="262"/>
      <c r="G1203" s="288"/>
      <c r="H1203" s="265"/>
      <c r="I1203" s="266"/>
      <c r="K1203" s="268"/>
      <c r="L1203" s="273"/>
      <c r="M1203" s="277"/>
      <c r="N1203" s="258"/>
      <c r="O1203" s="258"/>
      <c r="P1203" s="258"/>
      <c r="Q1203" s="276"/>
      <c r="R1203" s="272"/>
      <c r="S1203" s="272"/>
      <c r="T1203" s="272"/>
      <c r="U1203" s="272"/>
      <c r="V1203" s="272"/>
      <c r="W1203" s="272"/>
      <c r="X1203" s="272"/>
      <c r="Y1203" s="272"/>
      <c r="Z1203" s="258"/>
      <c r="AA1203" s="258"/>
      <c r="AB1203" s="258"/>
      <c r="AC1203" s="258"/>
      <c r="AD1203" s="258"/>
      <c r="AE1203" s="258"/>
      <c r="AF1203" s="258"/>
      <c r="AG1203" s="258"/>
      <c r="AH1203" s="270"/>
      <c r="AI1203" s="270"/>
      <c r="AQ1203" s="259"/>
      <c r="AR1203" s="259"/>
      <c r="AS1203" s="259"/>
      <c r="AT1203" s="259"/>
      <c r="AU1203" s="259"/>
      <c r="AV1203" s="259"/>
      <c r="AW1203" s="259"/>
    </row>
    <row r="1204" spans="2:49" ht="15" customHeight="1" x14ac:dyDescent="0.25">
      <c r="B1204" s="260"/>
      <c r="D1204" s="262"/>
      <c r="G1204" s="288"/>
      <c r="H1204" s="265"/>
      <c r="I1204" s="266"/>
      <c r="K1204" s="268"/>
      <c r="L1204" s="278"/>
      <c r="M1204" s="274"/>
      <c r="N1204" s="258"/>
      <c r="O1204" s="258"/>
      <c r="P1204" s="258"/>
      <c r="Q1204" s="276"/>
      <c r="R1204" s="272"/>
      <c r="S1204" s="272"/>
      <c r="T1204" s="272"/>
      <c r="U1204" s="272"/>
      <c r="V1204" s="272"/>
      <c r="W1204" s="272"/>
      <c r="X1204" s="272"/>
      <c r="Y1204" s="272"/>
      <c r="Z1204" s="258"/>
      <c r="AA1204" s="258"/>
      <c r="AB1204" s="258"/>
      <c r="AC1204" s="258"/>
      <c r="AD1204" s="258"/>
      <c r="AE1204" s="258"/>
      <c r="AF1204" s="258"/>
      <c r="AG1204" s="258"/>
      <c r="AH1204" s="270"/>
      <c r="AI1204" s="270"/>
      <c r="AQ1204" s="259"/>
      <c r="AR1204" s="259"/>
      <c r="AS1204" s="259"/>
      <c r="AT1204" s="259"/>
      <c r="AU1204" s="259"/>
      <c r="AV1204" s="259"/>
      <c r="AW1204" s="259"/>
    </row>
    <row r="1205" spans="2:49" ht="15" customHeight="1" x14ac:dyDescent="0.25">
      <c r="B1205" s="260"/>
      <c r="D1205" s="262"/>
      <c r="E1205" s="291"/>
      <c r="F1205" s="293"/>
      <c r="G1205" s="288"/>
      <c r="H1205" s="265"/>
      <c r="I1205" s="266"/>
      <c r="K1205" s="268"/>
      <c r="L1205" s="278"/>
      <c r="M1205" s="274"/>
      <c r="N1205" s="258"/>
      <c r="O1205" s="258"/>
      <c r="P1205" s="258"/>
      <c r="Q1205" s="276"/>
      <c r="R1205" s="272"/>
      <c r="S1205" s="272"/>
      <c r="T1205" s="272"/>
      <c r="U1205" s="272"/>
      <c r="V1205" s="272"/>
      <c r="W1205" s="272"/>
      <c r="X1205" s="272"/>
      <c r="Y1205" s="272"/>
      <c r="Z1205" s="258"/>
      <c r="AA1205" s="258"/>
      <c r="AB1205" s="258"/>
      <c r="AC1205" s="258"/>
      <c r="AD1205" s="258"/>
      <c r="AE1205" s="258"/>
      <c r="AF1205" s="258"/>
      <c r="AG1205" s="258"/>
      <c r="AH1205" s="258"/>
      <c r="AQ1205" s="259"/>
      <c r="AR1205" s="259"/>
      <c r="AS1205" s="259"/>
      <c r="AT1205" s="259"/>
      <c r="AU1205" s="259"/>
      <c r="AV1205" s="259"/>
      <c r="AW1205" s="259"/>
    </row>
    <row r="1206" spans="2:49" ht="15" customHeight="1" x14ac:dyDescent="0.25">
      <c r="B1206" s="260"/>
      <c r="C1206" s="290"/>
      <c r="D1206" s="262"/>
      <c r="E1206" s="291"/>
      <c r="F1206" s="262"/>
      <c r="G1206" s="289"/>
      <c r="H1206" s="243"/>
      <c r="I1206" s="266"/>
      <c r="K1206" s="268"/>
      <c r="L1206" s="278"/>
      <c r="M1206" s="274"/>
      <c r="N1206" s="258"/>
      <c r="O1206" s="258"/>
      <c r="P1206" s="258"/>
      <c r="Q1206" s="276"/>
      <c r="R1206" s="272"/>
      <c r="S1206" s="272"/>
      <c r="T1206" s="272"/>
      <c r="U1206" s="272"/>
      <c r="V1206" s="272"/>
      <c r="W1206" s="272"/>
      <c r="X1206" s="272"/>
      <c r="Y1206" s="272"/>
      <c r="Z1206" s="258"/>
      <c r="AA1206" s="258"/>
      <c r="AB1206" s="258"/>
      <c r="AC1206" s="258"/>
      <c r="AD1206" s="258"/>
      <c r="AE1206" s="258"/>
      <c r="AF1206" s="258"/>
      <c r="AG1206" s="258"/>
      <c r="AH1206" s="258"/>
      <c r="AQ1206" s="259"/>
      <c r="AR1206" s="259"/>
      <c r="AS1206" s="259"/>
      <c r="AT1206" s="259"/>
      <c r="AU1206" s="259"/>
      <c r="AV1206" s="259"/>
      <c r="AW1206" s="259"/>
    </row>
    <row r="1207" spans="2:49" ht="15" customHeight="1" x14ac:dyDescent="0.25">
      <c r="B1207" s="260"/>
      <c r="D1207" s="262"/>
      <c r="G1207" s="289"/>
      <c r="H1207" s="265"/>
      <c r="I1207" s="266"/>
      <c r="K1207" s="268"/>
      <c r="L1207" s="278"/>
      <c r="M1207" s="274"/>
      <c r="N1207" s="258"/>
      <c r="O1207" s="258"/>
      <c r="P1207" s="258"/>
      <c r="Q1207" s="276"/>
      <c r="R1207" s="272"/>
      <c r="S1207" s="272"/>
      <c r="T1207" s="272"/>
      <c r="U1207" s="272"/>
      <c r="V1207" s="272"/>
      <c r="W1207" s="272"/>
      <c r="X1207" s="272"/>
      <c r="Y1207" s="272"/>
      <c r="Z1207" s="258"/>
      <c r="AA1207" s="258"/>
      <c r="AB1207" s="258"/>
      <c r="AC1207" s="258"/>
      <c r="AD1207" s="258"/>
      <c r="AE1207" s="258"/>
      <c r="AF1207" s="258"/>
      <c r="AG1207" s="258"/>
      <c r="AH1207" s="258"/>
      <c r="AQ1207" s="259"/>
      <c r="AR1207" s="259"/>
      <c r="AS1207" s="259"/>
      <c r="AT1207" s="259"/>
      <c r="AU1207" s="259"/>
      <c r="AV1207" s="259"/>
      <c r="AW1207" s="259"/>
    </row>
    <row r="1208" spans="2:49" ht="15" customHeight="1" x14ac:dyDescent="0.25">
      <c r="B1208" s="260"/>
      <c r="D1208" s="262"/>
      <c r="G1208" s="289"/>
      <c r="H1208" s="265"/>
      <c r="I1208" s="266"/>
      <c r="K1208" s="268"/>
      <c r="L1208" s="278"/>
      <c r="M1208" s="274"/>
      <c r="N1208" s="258"/>
      <c r="O1208" s="258"/>
      <c r="P1208" s="258"/>
      <c r="Q1208" s="276"/>
      <c r="R1208" s="272"/>
      <c r="S1208" s="272"/>
      <c r="T1208" s="272"/>
      <c r="U1208" s="272"/>
      <c r="V1208" s="272"/>
      <c r="W1208" s="272"/>
      <c r="X1208" s="272"/>
      <c r="Y1208" s="272"/>
      <c r="Z1208" s="258"/>
      <c r="AA1208" s="258"/>
      <c r="AB1208" s="258"/>
      <c r="AC1208" s="258"/>
      <c r="AD1208" s="258"/>
      <c r="AE1208" s="258"/>
      <c r="AF1208" s="258"/>
      <c r="AG1208" s="258"/>
      <c r="AH1208" s="258"/>
      <c r="AQ1208" s="259"/>
      <c r="AR1208" s="259"/>
      <c r="AS1208" s="259"/>
      <c r="AT1208" s="259"/>
      <c r="AU1208" s="259"/>
      <c r="AV1208" s="259"/>
      <c r="AW1208" s="259"/>
    </row>
    <row r="1209" spans="2:49" ht="15" customHeight="1" x14ac:dyDescent="0.25">
      <c r="B1209" s="260"/>
      <c r="D1209" s="262"/>
      <c r="G1209" s="289"/>
      <c r="H1209" s="265"/>
      <c r="I1209" s="266"/>
      <c r="K1209" s="268"/>
      <c r="L1209" s="278"/>
      <c r="M1209" s="274"/>
      <c r="N1209" s="258"/>
      <c r="O1209" s="258"/>
      <c r="P1209" s="258"/>
      <c r="Q1209" s="276"/>
      <c r="W1209" s="272"/>
      <c r="X1209" s="272"/>
      <c r="Y1209" s="272"/>
      <c r="Z1209" s="258"/>
      <c r="AA1209" s="258"/>
      <c r="AB1209" s="258"/>
      <c r="AC1209" s="258"/>
      <c r="AD1209" s="258"/>
      <c r="AE1209" s="258"/>
      <c r="AF1209" s="258"/>
      <c r="AG1209" s="258"/>
      <c r="AH1209" s="258"/>
      <c r="AQ1209" s="259"/>
      <c r="AR1209" s="259"/>
      <c r="AS1209" s="259"/>
      <c r="AT1209" s="259"/>
      <c r="AU1209" s="259"/>
      <c r="AV1209" s="259"/>
      <c r="AW1209" s="259"/>
    </row>
    <row r="1210" spans="2:49" ht="15" customHeight="1" x14ac:dyDescent="0.25">
      <c r="B1210" s="260"/>
      <c r="D1210" s="262"/>
      <c r="G1210" s="289"/>
      <c r="H1210" s="265"/>
      <c r="I1210" s="266"/>
      <c r="K1210" s="268"/>
      <c r="L1210" s="278"/>
      <c r="M1210" s="274"/>
      <c r="N1210" s="258"/>
      <c r="O1210" s="258"/>
      <c r="P1210" s="258"/>
      <c r="Q1210" s="276"/>
      <c r="W1210" s="272"/>
      <c r="X1210" s="272"/>
      <c r="Y1210" s="272"/>
      <c r="Z1210" s="258"/>
      <c r="AA1210" s="258"/>
      <c r="AB1210" s="258"/>
      <c r="AC1210" s="258"/>
      <c r="AD1210" s="258"/>
      <c r="AE1210" s="258"/>
      <c r="AF1210" s="258"/>
      <c r="AG1210" s="258"/>
      <c r="AH1210" s="258"/>
      <c r="AQ1210" s="259"/>
      <c r="AR1210" s="259"/>
      <c r="AS1210" s="259"/>
      <c r="AT1210" s="259"/>
      <c r="AU1210" s="259"/>
      <c r="AV1210" s="259"/>
      <c r="AW1210" s="259"/>
    </row>
    <row r="1211" spans="2:49" ht="15" customHeight="1" x14ac:dyDescent="0.25">
      <c r="B1211" s="260"/>
      <c r="D1211" s="262"/>
      <c r="G1211" s="289"/>
      <c r="H1211" s="265"/>
      <c r="I1211" s="266"/>
      <c r="K1211" s="268"/>
      <c r="L1211" s="278"/>
      <c r="M1211" s="274"/>
      <c r="N1211" s="258"/>
      <c r="O1211" s="258"/>
      <c r="P1211" s="258"/>
      <c r="Q1211" s="276"/>
      <c r="W1211" s="272"/>
      <c r="X1211" s="272"/>
      <c r="Y1211" s="272"/>
      <c r="Z1211" s="258"/>
      <c r="AA1211" s="258"/>
      <c r="AB1211" s="258"/>
      <c r="AC1211" s="258"/>
      <c r="AD1211" s="258"/>
      <c r="AE1211" s="258"/>
      <c r="AF1211" s="258"/>
      <c r="AG1211" s="258"/>
      <c r="AH1211" s="258"/>
      <c r="AQ1211" s="259"/>
      <c r="AR1211" s="259"/>
      <c r="AS1211" s="259"/>
      <c r="AT1211" s="259"/>
      <c r="AU1211" s="259"/>
      <c r="AV1211" s="259"/>
      <c r="AW1211" s="259"/>
    </row>
    <row r="1212" spans="2:49" ht="15" customHeight="1" x14ac:dyDescent="0.25">
      <c r="B1212" s="260"/>
      <c r="D1212" s="262"/>
      <c r="G1212" s="289"/>
      <c r="H1212" s="265"/>
      <c r="I1212" s="266"/>
      <c r="K1212" s="268"/>
      <c r="L1212" s="273"/>
      <c r="M1212" s="274"/>
      <c r="N1212" s="270"/>
      <c r="O1212" s="270"/>
      <c r="P1212" s="270"/>
      <c r="Q1212" s="275"/>
      <c r="R1212" s="272"/>
      <c r="S1212" s="272"/>
      <c r="T1212" s="272"/>
      <c r="U1212" s="272"/>
      <c r="V1212" s="272"/>
      <c r="W1212" s="272"/>
      <c r="X1212" s="272"/>
      <c r="Y1212" s="272"/>
      <c r="Z1212" s="258"/>
      <c r="AA1212" s="258"/>
      <c r="AB1212" s="258"/>
      <c r="AC1212" s="258"/>
      <c r="AD1212" s="258"/>
      <c r="AE1212" s="258"/>
      <c r="AF1212" s="258"/>
      <c r="AG1212" s="258"/>
      <c r="AH1212" s="258"/>
      <c r="AI1212" s="258"/>
      <c r="AQ1212" s="259"/>
      <c r="AR1212" s="259"/>
      <c r="AS1212" s="259"/>
      <c r="AT1212" s="259"/>
      <c r="AU1212" s="259"/>
      <c r="AV1212" s="259"/>
      <c r="AW1212" s="259"/>
    </row>
    <row r="1213" spans="2:49" ht="15" customHeight="1" x14ac:dyDescent="0.25">
      <c r="B1213" s="260"/>
      <c r="D1213" s="262"/>
      <c r="G1213" s="288"/>
      <c r="H1213" s="265"/>
      <c r="I1213" s="266"/>
      <c r="K1213" s="268"/>
      <c r="L1213" s="273"/>
      <c r="M1213" s="274"/>
      <c r="N1213" s="258"/>
      <c r="O1213" s="258"/>
      <c r="P1213" s="258"/>
      <c r="Q1213" s="276"/>
      <c r="R1213" s="272"/>
      <c r="S1213" s="272"/>
      <c r="T1213" s="272"/>
      <c r="U1213" s="272"/>
      <c r="V1213" s="272"/>
      <c r="W1213" s="272"/>
      <c r="X1213" s="272"/>
      <c r="Y1213" s="272"/>
      <c r="Z1213" s="258"/>
      <c r="AA1213" s="258"/>
      <c r="AB1213" s="258"/>
      <c r="AC1213" s="258"/>
      <c r="AD1213" s="258"/>
      <c r="AE1213" s="258"/>
      <c r="AF1213" s="258"/>
      <c r="AG1213" s="258"/>
      <c r="AH1213" s="258"/>
      <c r="AI1213" s="258"/>
      <c r="AQ1213" s="259"/>
      <c r="AR1213" s="259"/>
      <c r="AS1213" s="259"/>
      <c r="AT1213" s="259"/>
      <c r="AU1213" s="259"/>
      <c r="AV1213" s="259"/>
      <c r="AW1213" s="259"/>
    </row>
    <row r="1214" spans="2:49" ht="15" customHeight="1" x14ac:dyDescent="0.25">
      <c r="B1214" s="260"/>
      <c r="D1214" s="262"/>
      <c r="G1214" s="288"/>
      <c r="H1214" s="265"/>
      <c r="I1214" s="266"/>
      <c r="K1214" s="268"/>
      <c r="L1214" s="273"/>
      <c r="M1214" s="274"/>
      <c r="N1214" s="258"/>
      <c r="O1214" s="258"/>
      <c r="P1214" s="258"/>
      <c r="Q1214" s="276"/>
      <c r="R1214" s="272"/>
      <c r="S1214" s="272"/>
      <c r="T1214" s="272"/>
      <c r="U1214" s="272"/>
      <c r="V1214" s="272"/>
      <c r="W1214" s="272"/>
      <c r="X1214" s="272"/>
      <c r="Y1214" s="272"/>
      <c r="Z1214" s="258"/>
      <c r="AA1214" s="258"/>
      <c r="AB1214" s="258"/>
      <c r="AC1214" s="258"/>
      <c r="AD1214" s="258"/>
      <c r="AE1214" s="258"/>
      <c r="AF1214" s="258"/>
      <c r="AG1214" s="258"/>
      <c r="AH1214" s="270"/>
      <c r="AI1214" s="270"/>
      <c r="AQ1214" s="259"/>
      <c r="AR1214" s="259"/>
      <c r="AS1214" s="259"/>
      <c r="AT1214" s="259"/>
      <c r="AU1214" s="259"/>
      <c r="AV1214" s="259"/>
      <c r="AW1214" s="259"/>
    </row>
    <row r="1215" spans="2:49" ht="15" customHeight="1" x14ac:dyDescent="0.25">
      <c r="B1215" s="260"/>
      <c r="D1215" s="262"/>
      <c r="G1215" s="288"/>
      <c r="H1215" s="265"/>
      <c r="I1215" s="266"/>
      <c r="K1215" s="268"/>
      <c r="L1215" s="273"/>
      <c r="M1215" s="277"/>
      <c r="N1215" s="258"/>
      <c r="O1215" s="258"/>
      <c r="P1215" s="258"/>
      <c r="Q1215" s="276"/>
      <c r="R1215" s="272"/>
      <c r="S1215" s="272"/>
      <c r="T1215" s="272"/>
      <c r="U1215" s="272"/>
      <c r="V1215" s="272"/>
      <c r="W1215" s="272"/>
      <c r="X1215" s="272"/>
      <c r="Y1215" s="272"/>
      <c r="Z1215" s="258"/>
      <c r="AA1215" s="258"/>
      <c r="AB1215" s="258"/>
      <c r="AC1215" s="258"/>
      <c r="AD1215" s="258"/>
      <c r="AE1215" s="258"/>
      <c r="AF1215" s="258"/>
      <c r="AG1215" s="258"/>
      <c r="AH1215" s="270"/>
      <c r="AI1215" s="270"/>
      <c r="AQ1215" s="259"/>
      <c r="AR1215" s="259"/>
      <c r="AS1215" s="259"/>
      <c r="AT1215" s="259"/>
      <c r="AU1215" s="259"/>
      <c r="AV1215" s="259"/>
      <c r="AW1215" s="259"/>
    </row>
    <row r="1216" spans="2:49" ht="15" customHeight="1" x14ac:dyDescent="0.25">
      <c r="B1216" s="260"/>
      <c r="D1216" s="262"/>
      <c r="G1216" s="288"/>
      <c r="H1216" s="265"/>
      <c r="I1216" s="266"/>
      <c r="K1216" s="268"/>
      <c r="L1216" s="278"/>
      <c r="M1216" s="274"/>
      <c r="N1216" s="258"/>
      <c r="O1216" s="258"/>
      <c r="P1216" s="258"/>
      <c r="Q1216" s="276"/>
      <c r="R1216" s="272"/>
      <c r="S1216" s="272"/>
      <c r="T1216" s="272"/>
      <c r="U1216" s="272"/>
      <c r="V1216" s="272"/>
      <c r="W1216" s="272"/>
      <c r="X1216" s="272"/>
      <c r="Y1216" s="272"/>
      <c r="Z1216" s="258"/>
      <c r="AA1216" s="258"/>
      <c r="AB1216" s="258"/>
      <c r="AC1216" s="258"/>
      <c r="AD1216" s="258"/>
      <c r="AE1216" s="258"/>
      <c r="AF1216" s="258"/>
      <c r="AG1216" s="258"/>
      <c r="AH1216" s="270"/>
      <c r="AI1216" s="270"/>
      <c r="AQ1216" s="259"/>
      <c r="AR1216" s="259"/>
      <c r="AS1216" s="259"/>
      <c r="AT1216" s="259"/>
      <c r="AU1216" s="259"/>
      <c r="AV1216" s="259"/>
      <c r="AW1216" s="259"/>
    </row>
    <row r="1217" spans="2:49" ht="15" customHeight="1" x14ac:dyDescent="0.25">
      <c r="B1217" s="260"/>
      <c r="D1217" s="262"/>
      <c r="E1217" s="291"/>
      <c r="F1217" s="293"/>
      <c r="G1217" s="288"/>
      <c r="H1217" s="265"/>
      <c r="I1217" s="266"/>
      <c r="K1217" s="268"/>
      <c r="L1217" s="278"/>
      <c r="M1217" s="274"/>
      <c r="N1217" s="258"/>
      <c r="O1217" s="258"/>
      <c r="P1217" s="258"/>
      <c r="Q1217" s="276"/>
      <c r="R1217" s="272"/>
      <c r="S1217" s="272"/>
      <c r="T1217" s="272"/>
      <c r="U1217" s="272"/>
      <c r="V1217" s="272"/>
      <c r="W1217" s="272"/>
      <c r="X1217" s="272"/>
      <c r="Y1217" s="272"/>
      <c r="Z1217" s="258"/>
      <c r="AA1217" s="258"/>
      <c r="AB1217" s="258"/>
      <c r="AC1217" s="258"/>
      <c r="AD1217" s="258"/>
      <c r="AE1217" s="258"/>
      <c r="AF1217" s="258"/>
      <c r="AG1217" s="258"/>
      <c r="AH1217" s="258"/>
      <c r="AQ1217" s="259"/>
      <c r="AR1217" s="259"/>
      <c r="AS1217" s="259"/>
      <c r="AT1217" s="259"/>
      <c r="AU1217" s="259"/>
      <c r="AV1217" s="259"/>
      <c r="AW1217" s="259"/>
    </row>
    <row r="1218" spans="2:49" ht="15" customHeight="1" x14ac:dyDescent="0.25">
      <c r="B1218" s="260"/>
      <c r="C1218" s="290"/>
      <c r="D1218" s="262"/>
      <c r="E1218" s="291"/>
      <c r="F1218" s="262"/>
      <c r="G1218" s="289"/>
      <c r="H1218" s="243"/>
      <c r="I1218" s="266"/>
      <c r="K1218" s="268"/>
      <c r="L1218" s="278"/>
      <c r="M1218" s="274"/>
      <c r="N1218" s="258"/>
      <c r="O1218" s="258"/>
      <c r="P1218" s="258"/>
      <c r="Q1218" s="276"/>
      <c r="R1218" s="272"/>
      <c r="S1218" s="272"/>
      <c r="T1218" s="272"/>
      <c r="U1218" s="272"/>
      <c r="V1218" s="272"/>
      <c r="W1218" s="272"/>
      <c r="X1218" s="272"/>
      <c r="Y1218" s="272"/>
      <c r="Z1218" s="258"/>
      <c r="AA1218" s="258"/>
      <c r="AB1218" s="258"/>
      <c r="AC1218" s="258"/>
      <c r="AD1218" s="258"/>
      <c r="AE1218" s="258"/>
      <c r="AF1218" s="258"/>
      <c r="AG1218" s="258"/>
      <c r="AH1218" s="258"/>
      <c r="AQ1218" s="259"/>
      <c r="AR1218" s="259"/>
      <c r="AS1218" s="259"/>
      <c r="AT1218" s="259"/>
      <c r="AU1218" s="259"/>
      <c r="AV1218" s="259"/>
      <c r="AW1218" s="259"/>
    </row>
    <row r="1219" spans="2:49" ht="15" customHeight="1" x14ac:dyDescent="0.25">
      <c r="B1219" s="260"/>
      <c r="G1219" s="297"/>
      <c r="I1219" s="266"/>
      <c r="K1219" s="268"/>
      <c r="M1219" s="274"/>
      <c r="AQ1219" s="259"/>
      <c r="AR1219" s="259"/>
      <c r="AS1219" s="259"/>
      <c r="AT1219" s="259"/>
      <c r="AU1219" s="259"/>
      <c r="AV1219" s="259"/>
      <c r="AW1219" s="259"/>
    </row>
    <row r="1220" spans="2:49" ht="15" customHeight="1" x14ac:dyDescent="0.25">
      <c r="B1220" s="260"/>
      <c r="G1220" s="297"/>
      <c r="I1220" s="266"/>
      <c r="K1220" s="268"/>
      <c r="M1220" s="274"/>
      <c r="AQ1220" s="259"/>
      <c r="AR1220" s="259"/>
      <c r="AS1220" s="259"/>
      <c r="AT1220" s="259"/>
      <c r="AU1220" s="259"/>
      <c r="AV1220" s="259"/>
      <c r="AW1220" s="259"/>
    </row>
    <row r="1221" spans="2:49" ht="15" customHeight="1" x14ac:dyDescent="0.25">
      <c r="B1221" s="260"/>
      <c r="G1221" s="297"/>
      <c r="I1221" s="266"/>
      <c r="K1221" s="268"/>
      <c r="M1221" s="274"/>
      <c r="AQ1221" s="259"/>
      <c r="AR1221" s="259"/>
      <c r="AS1221" s="259"/>
      <c r="AT1221" s="259"/>
      <c r="AU1221" s="259"/>
      <c r="AV1221" s="259"/>
      <c r="AW1221" s="259"/>
    </row>
    <row r="1222" spans="2:49" ht="15" customHeight="1" x14ac:dyDescent="0.25">
      <c r="M1222" s="274"/>
      <c r="AQ1222" s="259"/>
      <c r="AR1222" s="259"/>
      <c r="AS1222" s="259"/>
      <c r="AT1222" s="259"/>
      <c r="AU1222" s="259"/>
      <c r="AV1222" s="259"/>
      <c r="AW1222" s="259"/>
    </row>
    <row r="1223" spans="2:49" ht="15" customHeight="1" x14ac:dyDescent="0.25">
      <c r="M1223" s="274"/>
      <c r="AQ1223" s="259"/>
      <c r="AR1223" s="259"/>
      <c r="AS1223" s="259"/>
      <c r="AT1223" s="259"/>
      <c r="AU1223" s="259"/>
      <c r="AV1223" s="259"/>
      <c r="AW1223" s="259"/>
    </row>
    <row r="1224" spans="2:49" ht="15" customHeight="1" x14ac:dyDescent="0.25">
      <c r="M1224" s="274"/>
      <c r="AQ1224" s="259"/>
      <c r="AR1224" s="259"/>
      <c r="AS1224" s="259"/>
      <c r="AT1224" s="259"/>
      <c r="AU1224" s="259"/>
      <c r="AV1224" s="259"/>
      <c r="AW1224" s="259"/>
    </row>
    <row r="1225" spans="2:49" ht="15" customHeight="1" x14ac:dyDescent="0.25">
      <c r="M1225" s="274"/>
      <c r="AQ1225" s="259"/>
      <c r="AR1225" s="259"/>
      <c r="AS1225" s="259"/>
      <c r="AT1225" s="259"/>
      <c r="AU1225" s="259"/>
      <c r="AV1225" s="259"/>
      <c r="AW1225" s="259"/>
    </row>
    <row r="1226" spans="2:49" ht="15" customHeight="1" x14ac:dyDescent="0.25">
      <c r="M1226" s="274"/>
      <c r="AQ1226" s="259"/>
      <c r="AR1226" s="259"/>
      <c r="AS1226" s="259"/>
      <c r="AT1226" s="259"/>
      <c r="AU1226" s="259"/>
      <c r="AV1226" s="259"/>
      <c r="AW1226" s="259"/>
    </row>
    <row r="1227" spans="2:49" ht="15" customHeight="1" x14ac:dyDescent="0.25">
      <c r="M1227" s="274"/>
      <c r="AQ1227" s="259"/>
      <c r="AR1227" s="259"/>
      <c r="AS1227" s="259"/>
      <c r="AT1227" s="259"/>
      <c r="AU1227" s="259"/>
      <c r="AV1227" s="259"/>
      <c r="AW1227" s="259"/>
    </row>
    <row r="1228" spans="2:49" ht="15" customHeight="1" x14ac:dyDescent="0.25">
      <c r="M1228" s="274"/>
      <c r="AQ1228" s="259"/>
      <c r="AR1228" s="259"/>
      <c r="AS1228" s="259"/>
      <c r="AT1228" s="259"/>
      <c r="AU1228" s="259"/>
      <c r="AV1228" s="259"/>
      <c r="AW1228" s="259"/>
    </row>
    <row r="1229" spans="2:49" ht="15" customHeight="1" x14ac:dyDescent="0.25">
      <c r="M1229" s="274"/>
      <c r="AQ1229" s="259"/>
      <c r="AR1229" s="259"/>
      <c r="AS1229" s="259"/>
      <c r="AT1229" s="259"/>
      <c r="AU1229" s="259"/>
      <c r="AV1229" s="259"/>
      <c r="AW1229" s="259"/>
    </row>
    <row r="1230" spans="2:49" ht="15" customHeight="1" x14ac:dyDescent="0.25">
      <c r="M1230" s="274"/>
      <c r="AQ1230" s="259"/>
      <c r="AR1230" s="259"/>
      <c r="AS1230" s="259"/>
      <c r="AT1230" s="259"/>
      <c r="AU1230" s="259"/>
      <c r="AV1230" s="259"/>
      <c r="AW1230" s="259"/>
    </row>
    <row r="1231" spans="2:49" ht="15" customHeight="1" x14ac:dyDescent="0.25">
      <c r="M1231" s="274"/>
      <c r="AQ1231" s="259"/>
      <c r="AR1231" s="259"/>
      <c r="AS1231" s="259"/>
      <c r="AT1231" s="259"/>
      <c r="AU1231" s="259"/>
      <c r="AV1231" s="259"/>
      <c r="AW1231" s="259"/>
    </row>
    <row r="1232" spans="2:49" ht="15" customHeight="1" x14ac:dyDescent="0.25">
      <c r="M1232" s="274"/>
      <c r="AQ1232" s="259"/>
      <c r="AR1232" s="259"/>
      <c r="AS1232" s="259"/>
      <c r="AT1232" s="259"/>
      <c r="AU1232" s="259"/>
      <c r="AV1232" s="259"/>
      <c r="AW1232" s="259"/>
    </row>
    <row r="1233" spans="13:49" ht="15" customHeight="1" x14ac:dyDescent="0.25">
      <c r="M1233" s="274"/>
      <c r="AQ1233" s="259"/>
      <c r="AR1233" s="259"/>
      <c r="AS1233" s="259"/>
      <c r="AT1233" s="259"/>
      <c r="AU1233" s="259"/>
      <c r="AV1233" s="259"/>
      <c r="AW1233" s="259"/>
    </row>
    <row r="1234" spans="13:49" ht="15" customHeight="1" x14ac:dyDescent="0.25">
      <c r="M1234" s="274"/>
      <c r="AQ1234" s="259"/>
      <c r="AR1234" s="259"/>
      <c r="AS1234" s="259"/>
      <c r="AT1234" s="259"/>
      <c r="AU1234" s="259"/>
      <c r="AV1234" s="259"/>
      <c r="AW1234" s="259"/>
    </row>
    <row r="1235" spans="13:49" ht="15" customHeight="1" x14ac:dyDescent="0.25">
      <c r="M1235" s="274"/>
      <c r="AQ1235" s="259"/>
      <c r="AR1235" s="259"/>
      <c r="AS1235" s="259"/>
      <c r="AT1235" s="259"/>
      <c r="AU1235" s="259"/>
      <c r="AV1235" s="259"/>
      <c r="AW1235" s="259"/>
    </row>
    <row r="1236" spans="13:49" ht="15" customHeight="1" x14ac:dyDescent="0.25">
      <c r="M1236" s="274"/>
      <c r="AQ1236" s="259"/>
      <c r="AR1236" s="259"/>
      <c r="AS1236" s="259"/>
      <c r="AT1236" s="259"/>
      <c r="AU1236" s="259"/>
      <c r="AV1236" s="259"/>
      <c r="AW1236" s="259"/>
    </row>
    <row r="1237" spans="13:49" ht="15" customHeight="1" x14ac:dyDescent="0.25">
      <c r="M1237" s="274"/>
      <c r="AQ1237" s="259"/>
      <c r="AR1237" s="259"/>
      <c r="AS1237" s="259"/>
      <c r="AT1237" s="259"/>
      <c r="AU1237" s="259"/>
      <c r="AV1237" s="259"/>
      <c r="AW1237" s="259"/>
    </row>
    <row r="1238" spans="13:49" ht="15" customHeight="1" x14ac:dyDescent="0.25">
      <c r="M1238" s="274"/>
      <c r="AQ1238" s="259"/>
      <c r="AR1238" s="259"/>
      <c r="AS1238" s="259"/>
      <c r="AT1238" s="259"/>
      <c r="AU1238" s="259"/>
      <c r="AV1238" s="259"/>
      <c r="AW1238" s="259"/>
    </row>
    <row r="1239" spans="13:49" ht="15" customHeight="1" x14ac:dyDescent="0.25">
      <c r="M1239" s="274"/>
      <c r="AQ1239" s="259"/>
      <c r="AR1239" s="259"/>
      <c r="AS1239" s="259"/>
      <c r="AT1239" s="259"/>
      <c r="AU1239" s="259"/>
      <c r="AV1239" s="259"/>
      <c r="AW1239" s="259"/>
    </row>
    <row r="1240" spans="13:49" ht="15" customHeight="1" x14ac:dyDescent="0.25">
      <c r="M1240" s="274"/>
      <c r="AQ1240" s="259"/>
      <c r="AR1240" s="259"/>
      <c r="AS1240" s="259"/>
      <c r="AT1240" s="259"/>
      <c r="AU1240" s="259"/>
      <c r="AV1240" s="259"/>
      <c r="AW1240" s="259"/>
    </row>
    <row r="1241" spans="13:49" ht="15" customHeight="1" x14ac:dyDescent="0.25">
      <c r="M1241" s="274"/>
      <c r="AQ1241" s="259"/>
      <c r="AR1241" s="259"/>
      <c r="AS1241" s="259"/>
      <c r="AT1241" s="259"/>
      <c r="AU1241" s="259"/>
      <c r="AV1241" s="259"/>
      <c r="AW1241" s="259"/>
    </row>
    <row r="1242" spans="13:49" ht="15" customHeight="1" x14ac:dyDescent="0.25">
      <c r="M1242" s="274"/>
      <c r="AQ1242" s="259"/>
      <c r="AR1242" s="259"/>
      <c r="AS1242" s="259"/>
      <c r="AT1242" s="259"/>
      <c r="AU1242" s="259"/>
      <c r="AV1242" s="259"/>
      <c r="AW1242" s="259"/>
    </row>
    <row r="1243" spans="13:49" ht="15" customHeight="1" x14ac:dyDescent="0.25">
      <c r="M1243" s="274"/>
      <c r="AQ1243" s="259"/>
      <c r="AR1243" s="259"/>
      <c r="AS1243" s="259"/>
      <c r="AT1243" s="259"/>
      <c r="AU1243" s="259"/>
      <c r="AV1243" s="259"/>
      <c r="AW1243" s="259"/>
    </row>
    <row r="1244" spans="13:49" ht="15" customHeight="1" x14ac:dyDescent="0.25">
      <c r="M1244" s="274"/>
      <c r="AQ1244" s="259"/>
      <c r="AR1244" s="259"/>
      <c r="AS1244" s="259"/>
      <c r="AT1244" s="259"/>
      <c r="AU1244" s="259"/>
      <c r="AV1244" s="259"/>
      <c r="AW1244" s="259"/>
    </row>
    <row r="1245" spans="13:49" ht="15" customHeight="1" x14ac:dyDescent="0.25">
      <c r="M1245" s="274"/>
      <c r="AQ1245" s="259"/>
      <c r="AR1245" s="259"/>
      <c r="AS1245" s="259"/>
      <c r="AT1245" s="259"/>
      <c r="AU1245" s="259"/>
      <c r="AV1245" s="259"/>
      <c r="AW1245" s="259"/>
    </row>
    <row r="1246" spans="13:49" ht="15" customHeight="1" x14ac:dyDescent="0.25">
      <c r="M1246" s="274"/>
      <c r="AQ1246" s="259"/>
      <c r="AR1246" s="259"/>
      <c r="AS1246" s="259"/>
      <c r="AT1246" s="259"/>
      <c r="AU1246" s="259"/>
      <c r="AV1246" s="259"/>
      <c r="AW1246" s="259"/>
    </row>
    <row r="1247" spans="13:49" ht="15" customHeight="1" x14ac:dyDescent="0.25">
      <c r="M1247" s="274"/>
      <c r="AQ1247" s="259"/>
      <c r="AR1247" s="259"/>
      <c r="AS1247" s="259"/>
      <c r="AT1247" s="259"/>
      <c r="AU1247" s="259"/>
      <c r="AV1247" s="259"/>
      <c r="AW1247" s="259"/>
    </row>
    <row r="1248" spans="13:49" ht="15" customHeight="1" x14ac:dyDescent="0.25">
      <c r="M1248" s="274"/>
      <c r="AQ1248" s="259"/>
      <c r="AR1248" s="259"/>
      <c r="AS1248" s="259"/>
      <c r="AT1248" s="259"/>
      <c r="AU1248" s="259"/>
      <c r="AV1248" s="259"/>
      <c r="AW1248" s="259"/>
    </row>
    <row r="1249" spans="13:49" ht="15" customHeight="1" x14ac:dyDescent="0.25">
      <c r="M1249" s="274"/>
      <c r="AQ1249" s="259"/>
      <c r="AR1249" s="259"/>
      <c r="AS1249" s="259"/>
      <c r="AT1249" s="259"/>
      <c r="AU1249" s="259"/>
      <c r="AV1249" s="259"/>
      <c r="AW1249" s="259"/>
    </row>
    <row r="1250" spans="13:49" ht="15" customHeight="1" x14ac:dyDescent="0.25">
      <c r="M1250" s="274"/>
      <c r="AQ1250" s="259"/>
      <c r="AR1250" s="259"/>
      <c r="AS1250" s="259"/>
      <c r="AT1250" s="259"/>
      <c r="AU1250" s="259"/>
      <c r="AV1250" s="259"/>
      <c r="AW1250" s="259"/>
    </row>
    <row r="1251" spans="13:49" ht="15" customHeight="1" x14ac:dyDescent="0.25">
      <c r="M1251" s="274"/>
      <c r="AQ1251" s="259"/>
      <c r="AR1251" s="259"/>
      <c r="AS1251" s="259"/>
      <c r="AT1251" s="259"/>
      <c r="AU1251" s="259"/>
      <c r="AV1251" s="259"/>
      <c r="AW1251" s="259"/>
    </row>
    <row r="1252" spans="13:49" ht="15" customHeight="1" x14ac:dyDescent="0.25">
      <c r="M1252" s="274"/>
      <c r="AQ1252" s="259"/>
      <c r="AR1252" s="259"/>
      <c r="AS1252" s="259"/>
      <c r="AT1252" s="259"/>
      <c r="AU1252" s="259"/>
      <c r="AV1252" s="259"/>
      <c r="AW1252" s="259"/>
    </row>
    <row r="1253" spans="13:49" ht="15" customHeight="1" x14ac:dyDescent="0.25">
      <c r="M1253" s="274"/>
      <c r="AQ1253" s="259"/>
      <c r="AR1253" s="259"/>
      <c r="AS1253" s="259"/>
      <c r="AT1253" s="259"/>
      <c r="AU1253" s="259"/>
      <c r="AV1253" s="259"/>
      <c r="AW1253" s="259"/>
    </row>
    <row r="1254" spans="13:49" ht="15" customHeight="1" x14ac:dyDescent="0.25">
      <c r="M1254" s="274"/>
      <c r="AQ1254" s="259"/>
      <c r="AR1254" s="259"/>
      <c r="AS1254" s="259"/>
      <c r="AT1254" s="259"/>
      <c r="AU1254" s="259"/>
      <c r="AV1254" s="259"/>
      <c r="AW1254" s="259"/>
    </row>
    <row r="1255" spans="13:49" ht="15" customHeight="1" x14ac:dyDescent="0.25">
      <c r="M1255" s="274"/>
      <c r="AQ1255" s="259"/>
      <c r="AR1255" s="259"/>
      <c r="AS1255" s="259"/>
      <c r="AT1255" s="259"/>
      <c r="AU1255" s="259"/>
      <c r="AV1255" s="259"/>
      <c r="AW1255" s="259"/>
    </row>
    <row r="1256" spans="13:49" ht="15" customHeight="1" x14ac:dyDescent="0.25">
      <c r="M1256" s="274"/>
      <c r="AQ1256" s="259"/>
      <c r="AR1256" s="259"/>
      <c r="AS1256" s="259"/>
      <c r="AT1256" s="259"/>
      <c r="AU1256" s="259"/>
      <c r="AV1256" s="259"/>
      <c r="AW1256" s="259"/>
    </row>
    <row r="1257" spans="13:49" ht="15" customHeight="1" x14ac:dyDescent="0.25">
      <c r="M1257" s="274"/>
      <c r="AQ1257" s="259"/>
      <c r="AR1257" s="259"/>
      <c r="AS1257" s="259"/>
      <c r="AT1257" s="259"/>
      <c r="AU1257" s="259"/>
      <c r="AV1257" s="259"/>
      <c r="AW1257" s="259"/>
    </row>
    <row r="1258" spans="13:49" ht="15" customHeight="1" x14ac:dyDescent="0.25">
      <c r="M1258" s="274"/>
      <c r="AQ1258" s="259"/>
      <c r="AR1258" s="259"/>
      <c r="AS1258" s="259"/>
      <c r="AT1258" s="259"/>
      <c r="AU1258" s="259"/>
      <c r="AV1258" s="259"/>
      <c r="AW1258" s="259"/>
    </row>
    <row r="1259" spans="13:49" ht="15" customHeight="1" x14ac:dyDescent="0.25">
      <c r="M1259" s="274"/>
      <c r="AQ1259" s="259"/>
      <c r="AR1259" s="259"/>
      <c r="AS1259" s="259"/>
      <c r="AT1259" s="259"/>
      <c r="AU1259" s="259"/>
      <c r="AV1259" s="259"/>
      <c r="AW1259" s="259"/>
    </row>
    <row r="1260" spans="13:49" ht="15" customHeight="1" x14ac:dyDescent="0.25">
      <c r="M1260" s="274"/>
      <c r="AQ1260" s="259"/>
      <c r="AR1260" s="259"/>
      <c r="AS1260" s="259"/>
      <c r="AT1260" s="259"/>
      <c r="AU1260" s="259"/>
      <c r="AV1260" s="259"/>
      <c r="AW1260" s="259"/>
    </row>
    <row r="1261" spans="13:49" ht="15" customHeight="1" x14ac:dyDescent="0.25">
      <c r="M1261" s="274"/>
      <c r="AQ1261" s="259"/>
      <c r="AR1261" s="259"/>
      <c r="AS1261" s="259"/>
      <c r="AT1261" s="259"/>
      <c r="AU1261" s="259"/>
      <c r="AV1261" s="259"/>
      <c r="AW1261" s="259"/>
    </row>
    <row r="1262" spans="13:49" ht="15" customHeight="1" x14ac:dyDescent="0.25">
      <c r="M1262" s="274"/>
      <c r="AQ1262" s="259"/>
      <c r="AR1262" s="259"/>
      <c r="AS1262" s="259"/>
      <c r="AT1262" s="259"/>
      <c r="AU1262" s="259"/>
      <c r="AV1262" s="259"/>
      <c r="AW1262" s="259"/>
    </row>
    <row r="1263" spans="13:49" ht="15" customHeight="1" x14ac:dyDescent="0.25">
      <c r="M1263" s="274"/>
      <c r="AQ1263" s="259"/>
      <c r="AR1263" s="259"/>
      <c r="AS1263" s="259"/>
      <c r="AT1263" s="259"/>
      <c r="AU1263" s="259"/>
      <c r="AV1263" s="259"/>
      <c r="AW1263" s="259"/>
    </row>
    <row r="1264" spans="13:49" ht="15" customHeight="1" x14ac:dyDescent="0.25">
      <c r="M1264" s="274"/>
      <c r="AQ1264" s="259"/>
      <c r="AR1264" s="259"/>
      <c r="AS1264" s="259"/>
      <c r="AT1264" s="259"/>
      <c r="AU1264" s="259"/>
      <c r="AV1264" s="259"/>
      <c r="AW1264" s="259"/>
    </row>
    <row r="1265" spans="13:49" ht="15" customHeight="1" x14ac:dyDescent="0.25">
      <c r="M1265" s="274"/>
      <c r="AQ1265" s="259"/>
      <c r="AR1265" s="259"/>
      <c r="AS1265" s="259"/>
      <c r="AT1265" s="259"/>
      <c r="AU1265" s="259"/>
      <c r="AV1265" s="259"/>
      <c r="AW1265" s="259"/>
    </row>
    <row r="1266" spans="13:49" ht="15" customHeight="1" x14ac:dyDescent="0.25">
      <c r="M1266" s="274"/>
      <c r="AQ1266" s="259"/>
      <c r="AR1266" s="259"/>
      <c r="AS1266" s="259"/>
      <c r="AT1266" s="259"/>
      <c r="AU1266" s="259"/>
      <c r="AV1266" s="259"/>
      <c r="AW1266" s="259"/>
    </row>
    <row r="1267" spans="13:49" ht="15" customHeight="1" x14ac:dyDescent="0.25">
      <c r="M1267" s="274"/>
      <c r="AQ1267" s="259"/>
      <c r="AR1267" s="259"/>
      <c r="AS1267" s="259"/>
      <c r="AT1267" s="259"/>
      <c r="AU1267" s="259"/>
      <c r="AV1267" s="259"/>
      <c r="AW1267" s="259"/>
    </row>
    <row r="1268" spans="13:49" ht="15" customHeight="1" x14ac:dyDescent="0.25">
      <c r="M1268" s="274"/>
      <c r="AQ1268" s="259"/>
      <c r="AR1268" s="259"/>
      <c r="AS1268" s="259"/>
      <c r="AT1268" s="259"/>
      <c r="AU1268" s="259"/>
      <c r="AV1268" s="259"/>
      <c r="AW1268" s="259"/>
    </row>
    <row r="1269" spans="13:49" ht="15" customHeight="1" x14ac:dyDescent="0.25">
      <c r="M1269" s="274"/>
      <c r="AQ1269" s="259"/>
      <c r="AR1269" s="259"/>
      <c r="AS1269" s="259"/>
      <c r="AT1269" s="259"/>
      <c r="AU1269" s="259"/>
      <c r="AV1269" s="259"/>
      <c r="AW1269" s="259"/>
    </row>
    <row r="1270" spans="13:49" ht="15" customHeight="1" x14ac:dyDescent="0.25">
      <c r="M1270" s="274"/>
      <c r="AQ1270" s="259"/>
      <c r="AR1270" s="259"/>
      <c r="AS1270" s="259"/>
      <c r="AT1270" s="259"/>
      <c r="AU1270" s="259"/>
      <c r="AV1270" s="259"/>
      <c r="AW1270" s="259"/>
    </row>
    <row r="1271" spans="13:49" ht="15" customHeight="1" x14ac:dyDescent="0.25">
      <c r="M1271" s="274"/>
      <c r="AQ1271" s="259"/>
      <c r="AR1271" s="259"/>
      <c r="AS1271" s="259"/>
      <c r="AT1271" s="259"/>
      <c r="AU1271" s="259"/>
      <c r="AV1271" s="259"/>
      <c r="AW1271" s="259"/>
    </row>
    <row r="1272" spans="13:49" ht="15" customHeight="1" x14ac:dyDescent="0.25">
      <c r="M1272" s="274"/>
      <c r="AQ1272" s="259"/>
      <c r="AR1272" s="259"/>
      <c r="AS1272" s="259"/>
      <c r="AT1272" s="259"/>
      <c r="AU1272" s="259"/>
      <c r="AV1272" s="259"/>
      <c r="AW1272" s="259"/>
    </row>
    <row r="1273" spans="13:49" ht="15" customHeight="1" x14ac:dyDescent="0.25">
      <c r="M1273" s="274"/>
      <c r="AQ1273" s="259"/>
      <c r="AR1273" s="259"/>
      <c r="AS1273" s="259"/>
      <c r="AT1273" s="259"/>
      <c r="AU1273" s="259"/>
      <c r="AV1273" s="259"/>
      <c r="AW1273" s="259"/>
    </row>
    <row r="1274" spans="13:49" ht="15" customHeight="1" x14ac:dyDescent="0.25">
      <c r="M1274" s="274"/>
      <c r="AQ1274" s="259"/>
      <c r="AR1274" s="259"/>
      <c r="AS1274" s="259"/>
      <c r="AT1274" s="259"/>
      <c r="AU1274" s="259"/>
      <c r="AV1274" s="259"/>
      <c r="AW1274" s="259"/>
    </row>
    <row r="1275" spans="13:49" ht="15" customHeight="1" x14ac:dyDescent="0.25">
      <c r="M1275" s="274"/>
    </row>
    <row r="1276" spans="13:49" ht="15" customHeight="1" x14ac:dyDescent="0.25">
      <c r="M1276" s="274"/>
    </row>
    <row r="1277" spans="13:49" ht="15" customHeight="1" x14ac:dyDescent="0.25">
      <c r="M1277" s="274"/>
    </row>
    <row r="1278" spans="13:49" ht="15" customHeight="1" x14ac:dyDescent="0.25">
      <c r="M1278" s="274"/>
    </row>
    <row r="1279" spans="13:49" ht="15" customHeight="1" x14ac:dyDescent="0.25">
      <c r="M1279" s="274"/>
    </row>
    <row r="1280" spans="13:49" ht="15" customHeight="1" x14ac:dyDescent="0.25">
      <c r="M1280" s="274"/>
    </row>
    <row r="1281" spans="2:13" ht="15" customHeight="1" x14ac:dyDescent="0.25">
      <c r="M1281" s="274"/>
    </row>
    <row r="1282" spans="2:13" ht="15" customHeight="1" x14ac:dyDescent="0.25">
      <c r="M1282" s="274"/>
    </row>
    <row r="1283" spans="2:13" ht="15" customHeight="1" x14ac:dyDescent="0.25">
      <c r="M1283" s="274"/>
    </row>
    <row r="1284" spans="2:13" ht="15" customHeight="1" x14ac:dyDescent="0.25">
      <c r="M1284" s="274"/>
    </row>
    <row r="1285" spans="2:13" ht="15" customHeight="1" x14ac:dyDescent="0.25">
      <c r="M1285" s="274"/>
    </row>
    <row r="1286" spans="2:13" ht="15" customHeight="1" x14ac:dyDescent="0.25">
      <c r="M1286" s="274"/>
    </row>
    <row r="1287" spans="2:13" ht="15" customHeight="1" x14ac:dyDescent="0.25">
      <c r="M1287" s="274"/>
    </row>
    <row r="1288" spans="2:13" ht="15" customHeight="1" x14ac:dyDescent="0.25">
      <c r="B1288" s="260"/>
      <c r="E1288" s="291"/>
      <c r="F1288" s="293"/>
      <c r="I1288" s="266"/>
      <c r="K1288" s="268"/>
      <c r="M1288" s="274"/>
    </row>
    <row r="1289" spans="2:13" ht="15" customHeight="1" x14ac:dyDescent="0.25">
      <c r="B1289" s="260"/>
      <c r="C1289" s="290"/>
      <c r="E1289" s="291"/>
      <c r="F1289" s="262"/>
      <c r="G1289" s="297"/>
      <c r="H1289" s="299"/>
      <c r="I1289" s="266"/>
      <c r="K1289" s="268"/>
      <c r="M1289" s="274"/>
    </row>
    <row r="1290" spans="2:13" ht="15" customHeight="1" x14ac:dyDescent="0.25">
      <c r="B1290" s="260"/>
      <c r="G1290" s="297"/>
      <c r="I1290" s="266"/>
      <c r="K1290" s="268"/>
      <c r="M1290" s="274"/>
    </row>
    <row r="1291" spans="2:13" ht="15" customHeight="1" x14ac:dyDescent="0.25">
      <c r="B1291" s="260"/>
      <c r="G1291" s="297"/>
      <c r="I1291" s="266"/>
      <c r="K1291" s="268"/>
      <c r="M1291" s="274"/>
    </row>
    <row r="1292" spans="2:13" ht="15" customHeight="1" x14ac:dyDescent="0.25">
      <c r="B1292" s="260"/>
      <c r="G1292" s="297"/>
      <c r="I1292" s="266"/>
      <c r="K1292" s="268"/>
      <c r="M1292" s="274"/>
    </row>
    <row r="1293" spans="2:13" ht="15" customHeight="1" x14ac:dyDescent="0.25">
      <c r="B1293" s="260"/>
      <c r="G1293" s="297"/>
      <c r="I1293" s="266"/>
      <c r="K1293" s="268"/>
      <c r="M1293" s="274"/>
    </row>
    <row r="1294" spans="2:13" ht="15" customHeight="1" x14ac:dyDescent="0.25">
      <c r="B1294" s="260"/>
      <c r="G1294" s="297"/>
      <c r="I1294" s="266"/>
      <c r="K1294" s="268"/>
      <c r="M1294" s="274"/>
    </row>
    <row r="1295" spans="2:13" ht="15" customHeight="1" x14ac:dyDescent="0.25">
      <c r="B1295" s="260"/>
      <c r="G1295" s="297"/>
      <c r="I1295" s="266"/>
      <c r="K1295" s="268"/>
      <c r="M1295" s="274"/>
    </row>
    <row r="1296" spans="2:13" ht="15" customHeight="1" x14ac:dyDescent="0.25">
      <c r="B1296" s="260"/>
      <c r="I1296" s="266"/>
      <c r="K1296" s="268"/>
      <c r="M1296" s="274"/>
    </row>
    <row r="1297" spans="2:13" ht="15" customHeight="1" x14ac:dyDescent="0.25">
      <c r="B1297" s="260"/>
      <c r="I1297" s="266"/>
      <c r="K1297" s="268"/>
      <c r="M1297" s="274"/>
    </row>
    <row r="1298" spans="2:13" ht="15" customHeight="1" x14ac:dyDescent="0.25">
      <c r="B1298" s="260"/>
      <c r="I1298" s="266"/>
      <c r="K1298" s="268"/>
      <c r="M1298" s="274"/>
    </row>
    <row r="1299" spans="2:13" ht="15" customHeight="1" x14ac:dyDescent="0.25">
      <c r="B1299" s="260"/>
      <c r="I1299" s="266"/>
      <c r="K1299" s="268"/>
      <c r="M1299" s="274"/>
    </row>
    <row r="1300" spans="2:13" ht="15" customHeight="1" x14ac:dyDescent="0.25">
      <c r="B1300" s="260"/>
      <c r="E1300" s="291"/>
      <c r="F1300" s="293"/>
      <c r="I1300" s="266"/>
      <c r="K1300" s="268"/>
      <c r="M1300" s="274"/>
    </row>
    <row r="1301" spans="2:13" ht="15" customHeight="1" x14ac:dyDescent="0.25">
      <c r="B1301" s="260"/>
      <c r="C1301" s="290"/>
      <c r="E1301" s="291"/>
      <c r="F1301" s="262"/>
      <c r="G1301" s="297"/>
      <c r="H1301" s="299"/>
      <c r="I1301" s="266"/>
      <c r="K1301" s="268"/>
      <c r="M1301" s="274"/>
    </row>
    <row r="1302" spans="2:13" ht="15" customHeight="1" x14ac:dyDescent="0.25">
      <c r="B1302" s="260"/>
      <c r="G1302" s="297"/>
      <c r="I1302" s="266"/>
      <c r="K1302" s="268"/>
      <c r="M1302" s="274"/>
    </row>
    <row r="1303" spans="2:13" ht="15" customHeight="1" x14ac:dyDescent="0.25">
      <c r="B1303" s="260"/>
      <c r="G1303" s="297"/>
      <c r="I1303" s="266"/>
      <c r="K1303" s="268"/>
      <c r="M1303" s="274"/>
    </row>
    <row r="1304" spans="2:13" ht="15" customHeight="1" x14ac:dyDescent="0.25">
      <c r="B1304" s="260"/>
      <c r="G1304" s="297"/>
      <c r="I1304" s="266"/>
      <c r="K1304" s="268"/>
      <c r="M1304" s="274"/>
    </row>
    <row r="1305" spans="2:13" ht="15" customHeight="1" x14ac:dyDescent="0.25">
      <c r="B1305" s="260"/>
      <c r="G1305" s="297"/>
      <c r="I1305" s="266"/>
      <c r="K1305" s="268"/>
      <c r="M1305" s="274"/>
    </row>
    <row r="1306" spans="2:13" ht="15" customHeight="1" x14ac:dyDescent="0.25">
      <c r="B1306" s="260"/>
      <c r="G1306" s="297"/>
      <c r="I1306" s="266"/>
      <c r="K1306" s="268"/>
      <c r="M1306" s="274"/>
    </row>
    <row r="1307" spans="2:13" ht="15" customHeight="1" x14ac:dyDescent="0.25">
      <c r="B1307" s="260"/>
      <c r="G1307" s="297"/>
      <c r="I1307" s="266"/>
      <c r="K1307" s="268"/>
      <c r="M1307" s="274"/>
    </row>
    <row r="1308" spans="2:13" ht="15" customHeight="1" x14ac:dyDescent="0.25">
      <c r="B1308" s="260"/>
      <c r="I1308" s="266"/>
      <c r="K1308" s="268"/>
      <c r="M1308" s="274"/>
    </row>
    <row r="1309" spans="2:13" ht="15" customHeight="1" x14ac:dyDescent="0.25">
      <c r="B1309" s="260"/>
      <c r="I1309" s="266"/>
      <c r="K1309" s="268"/>
      <c r="M1309" s="274"/>
    </row>
    <row r="1310" spans="2:13" ht="15" customHeight="1" x14ac:dyDescent="0.25">
      <c r="B1310" s="260"/>
      <c r="I1310" s="266"/>
      <c r="K1310" s="268"/>
      <c r="M1310" s="274"/>
    </row>
    <row r="1311" spans="2:13" ht="15" customHeight="1" x14ac:dyDescent="0.25">
      <c r="M1311" s="274"/>
    </row>
    <row r="1312" spans="2:13" ht="15" customHeight="1" x14ac:dyDescent="0.25">
      <c r="M1312" s="274"/>
    </row>
    <row r="1313" spans="13:13" ht="15" customHeight="1" x14ac:dyDescent="0.25">
      <c r="M1313" s="274"/>
    </row>
    <row r="1314" spans="13:13" ht="15" customHeight="1" x14ac:dyDescent="0.25">
      <c r="M1314" s="274"/>
    </row>
    <row r="1315" spans="13:13" ht="15" customHeight="1" x14ac:dyDescent="0.25">
      <c r="M1315" s="274"/>
    </row>
    <row r="1316" spans="13:13" ht="15" customHeight="1" x14ac:dyDescent="0.25">
      <c r="M1316" s="274"/>
    </row>
    <row r="1317" spans="13:13" ht="15" customHeight="1" x14ac:dyDescent="0.25">
      <c r="M1317" s="274"/>
    </row>
    <row r="1318" spans="13:13" ht="15" customHeight="1" x14ac:dyDescent="0.25">
      <c r="M1318" s="274"/>
    </row>
    <row r="1319" spans="13:13" ht="15" customHeight="1" x14ac:dyDescent="0.25">
      <c r="M1319" s="274"/>
    </row>
    <row r="1320" spans="13:13" ht="15" customHeight="1" x14ac:dyDescent="0.25">
      <c r="M1320" s="274"/>
    </row>
    <row r="1321" spans="13:13" ht="15" customHeight="1" x14ac:dyDescent="0.25">
      <c r="M1321" s="274"/>
    </row>
    <row r="1322" spans="13:13" ht="15" customHeight="1" x14ac:dyDescent="0.25">
      <c r="M1322" s="274"/>
    </row>
    <row r="1323" spans="13:13" ht="15" customHeight="1" x14ac:dyDescent="0.25">
      <c r="M1323" s="274"/>
    </row>
    <row r="1324" spans="13:13" ht="15" customHeight="1" x14ac:dyDescent="0.25">
      <c r="M1324" s="274"/>
    </row>
    <row r="1325" spans="13:13" ht="15" customHeight="1" x14ac:dyDescent="0.25">
      <c r="M1325" s="274"/>
    </row>
    <row r="1326" spans="13:13" ht="15" customHeight="1" x14ac:dyDescent="0.25">
      <c r="M1326" s="274"/>
    </row>
    <row r="1327" spans="13:13" ht="15" customHeight="1" x14ac:dyDescent="0.25">
      <c r="M1327" s="274"/>
    </row>
    <row r="1328" spans="13:13" ht="15" customHeight="1" x14ac:dyDescent="0.25">
      <c r="M1328" s="274"/>
    </row>
    <row r="1329" spans="13:13" ht="15" customHeight="1" x14ac:dyDescent="0.25">
      <c r="M1329" s="274"/>
    </row>
    <row r="1330" spans="13:13" ht="15" customHeight="1" x14ac:dyDescent="0.25">
      <c r="M1330" s="274"/>
    </row>
    <row r="1331" spans="13:13" ht="15" customHeight="1" x14ac:dyDescent="0.25">
      <c r="M1331" s="274"/>
    </row>
    <row r="1332" spans="13:13" ht="15" customHeight="1" x14ac:dyDescent="0.25">
      <c r="M1332" s="274"/>
    </row>
    <row r="1333" spans="13:13" ht="15" customHeight="1" x14ac:dyDescent="0.25">
      <c r="M1333" s="274"/>
    </row>
    <row r="1334" spans="13:13" ht="15" customHeight="1" x14ac:dyDescent="0.25">
      <c r="M1334" s="274"/>
    </row>
    <row r="1335" spans="13:13" ht="15" customHeight="1" x14ac:dyDescent="0.25">
      <c r="M1335" s="274"/>
    </row>
    <row r="1336" spans="13:13" ht="15" customHeight="1" x14ac:dyDescent="0.25">
      <c r="M1336" s="274"/>
    </row>
    <row r="1337" spans="13:13" ht="15" customHeight="1" x14ac:dyDescent="0.25">
      <c r="M1337" s="274"/>
    </row>
    <row r="1338" spans="13:13" ht="15" customHeight="1" x14ac:dyDescent="0.25">
      <c r="M1338" s="274"/>
    </row>
    <row r="1339" spans="13:13" ht="15" customHeight="1" x14ac:dyDescent="0.25">
      <c r="M1339" s="274"/>
    </row>
    <row r="1340" spans="13:13" ht="15" customHeight="1" x14ac:dyDescent="0.25">
      <c r="M1340" s="274"/>
    </row>
    <row r="1341" spans="13:13" ht="15" customHeight="1" x14ac:dyDescent="0.25">
      <c r="M1341" s="274"/>
    </row>
    <row r="1342" spans="13:13" ht="15" customHeight="1" x14ac:dyDescent="0.25">
      <c r="M1342" s="274"/>
    </row>
    <row r="1343" spans="13:13" ht="15" customHeight="1" x14ac:dyDescent="0.25">
      <c r="M1343" s="274"/>
    </row>
    <row r="1344" spans="13:13" ht="15" customHeight="1" x14ac:dyDescent="0.25">
      <c r="M1344" s="274"/>
    </row>
    <row r="1345" spans="13:13" ht="15" customHeight="1" x14ac:dyDescent="0.25">
      <c r="M1345" s="274"/>
    </row>
    <row r="1346" spans="13:13" ht="15" customHeight="1" x14ac:dyDescent="0.25">
      <c r="M1346" s="274"/>
    </row>
    <row r="1347" spans="13:13" ht="15" customHeight="1" x14ac:dyDescent="0.25">
      <c r="M1347" s="274"/>
    </row>
    <row r="1348" spans="13:13" ht="15" customHeight="1" x14ac:dyDescent="0.25">
      <c r="M1348" s="274"/>
    </row>
    <row r="1349" spans="13:13" ht="15" customHeight="1" x14ac:dyDescent="0.25">
      <c r="M1349" s="274"/>
    </row>
    <row r="1350" spans="13:13" ht="15" customHeight="1" x14ac:dyDescent="0.25">
      <c r="M1350" s="274"/>
    </row>
    <row r="1351" spans="13:13" ht="15" customHeight="1" x14ac:dyDescent="0.25">
      <c r="M1351" s="274"/>
    </row>
    <row r="1352" spans="13:13" ht="15" customHeight="1" x14ac:dyDescent="0.25">
      <c r="M1352" s="274"/>
    </row>
    <row r="1353" spans="13:13" ht="15" customHeight="1" x14ac:dyDescent="0.25">
      <c r="M1353" s="274"/>
    </row>
    <row r="1354" spans="13:13" ht="15" customHeight="1" x14ac:dyDescent="0.25">
      <c r="M1354" s="274"/>
    </row>
    <row r="1355" spans="13:13" ht="15" customHeight="1" x14ac:dyDescent="0.25">
      <c r="M1355" s="274"/>
    </row>
    <row r="1356" spans="13:13" ht="15" customHeight="1" x14ac:dyDescent="0.25">
      <c r="M1356" s="274"/>
    </row>
    <row r="1357" spans="13:13" ht="15" customHeight="1" x14ac:dyDescent="0.25">
      <c r="M1357" s="274"/>
    </row>
    <row r="1358" spans="13:13" ht="15" customHeight="1" x14ac:dyDescent="0.25">
      <c r="M1358" s="274"/>
    </row>
    <row r="1359" spans="13:13" ht="15" customHeight="1" x14ac:dyDescent="0.25">
      <c r="M1359" s="274"/>
    </row>
    <row r="1360" spans="13:13" ht="15" customHeight="1" x14ac:dyDescent="0.25">
      <c r="M1360" s="274"/>
    </row>
    <row r="1361" spans="13:13" ht="15" customHeight="1" x14ac:dyDescent="0.25">
      <c r="M1361" s="274"/>
    </row>
    <row r="1362" spans="13:13" ht="15" customHeight="1" x14ac:dyDescent="0.25">
      <c r="M1362" s="274"/>
    </row>
    <row r="1363" spans="13:13" ht="15" customHeight="1" x14ac:dyDescent="0.25">
      <c r="M1363" s="274"/>
    </row>
    <row r="1364" spans="13:13" ht="15" customHeight="1" x14ac:dyDescent="0.25">
      <c r="M1364" s="274"/>
    </row>
    <row r="1365" spans="13:13" ht="15" customHeight="1" x14ac:dyDescent="0.25">
      <c r="M1365" s="274"/>
    </row>
    <row r="1366" spans="13:13" ht="15" customHeight="1" x14ac:dyDescent="0.25">
      <c r="M1366" s="274"/>
    </row>
    <row r="1367" spans="13:13" ht="15" customHeight="1" x14ac:dyDescent="0.25">
      <c r="M1367" s="274"/>
    </row>
    <row r="1368" spans="13:13" ht="15" customHeight="1" x14ac:dyDescent="0.25">
      <c r="M1368" s="274"/>
    </row>
    <row r="1369" spans="13:13" ht="15" customHeight="1" x14ac:dyDescent="0.25">
      <c r="M1369" s="274"/>
    </row>
    <row r="1370" spans="13:13" ht="15" customHeight="1" x14ac:dyDescent="0.25">
      <c r="M1370" s="274"/>
    </row>
    <row r="1371" spans="13:13" ht="15" customHeight="1" x14ac:dyDescent="0.25">
      <c r="M1371" s="274"/>
    </row>
    <row r="1372" spans="13:13" ht="15" customHeight="1" x14ac:dyDescent="0.25">
      <c r="M1372" s="274"/>
    </row>
    <row r="1373" spans="13:13" ht="15" customHeight="1" x14ac:dyDescent="0.25">
      <c r="M1373" s="274"/>
    </row>
    <row r="1374" spans="13:13" ht="15" customHeight="1" x14ac:dyDescent="0.25">
      <c r="M1374" s="274"/>
    </row>
    <row r="1375" spans="13:13" ht="15" customHeight="1" x14ac:dyDescent="0.25">
      <c r="M1375" s="274"/>
    </row>
    <row r="1376" spans="13:13" ht="15" customHeight="1" x14ac:dyDescent="0.25">
      <c r="M1376" s="274"/>
    </row>
    <row r="1377" spans="13:13" ht="15" customHeight="1" x14ac:dyDescent="0.25">
      <c r="M1377" s="274"/>
    </row>
    <row r="1378" spans="13:13" ht="15" customHeight="1" x14ac:dyDescent="0.25">
      <c r="M1378" s="274"/>
    </row>
    <row r="1379" spans="13:13" ht="15" customHeight="1" x14ac:dyDescent="0.25">
      <c r="M1379" s="274"/>
    </row>
    <row r="1380" spans="13:13" ht="15" customHeight="1" x14ac:dyDescent="0.25">
      <c r="M1380" s="274"/>
    </row>
    <row r="1381" spans="13:13" ht="15" customHeight="1" x14ac:dyDescent="0.25">
      <c r="M1381" s="274"/>
    </row>
    <row r="1382" spans="13:13" ht="15" customHeight="1" x14ac:dyDescent="0.25">
      <c r="M1382" s="274"/>
    </row>
    <row r="1383" spans="13:13" ht="15" customHeight="1" x14ac:dyDescent="0.25">
      <c r="M1383" s="274"/>
    </row>
    <row r="1384" spans="13:13" ht="15" customHeight="1" x14ac:dyDescent="0.25">
      <c r="M1384" s="274"/>
    </row>
    <row r="1385" spans="13:13" ht="15" customHeight="1" x14ac:dyDescent="0.25">
      <c r="M1385" s="274"/>
    </row>
    <row r="1386" spans="13:13" ht="15" customHeight="1" x14ac:dyDescent="0.25">
      <c r="M1386" s="274"/>
    </row>
    <row r="1387" spans="13:13" ht="15" customHeight="1" x14ac:dyDescent="0.25">
      <c r="M1387" s="274"/>
    </row>
    <row r="1388" spans="13:13" ht="15" customHeight="1" x14ac:dyDescent="0.25">
      <c r="M1388" s="274"/>
    </row>
    <row r="1389" spans="13:13" ht="15" customHeight="1" x14ac:dyDescent="0.25">
      <c r="M1389" s="274"/>
    </row>
    <row r="1390" spans="13:13" ht="15" customHeight="1" x14ac:dyDescent="0.25">
      <c r="M1390" s="274"/>
    </row>
    <row r="1391" spans="13:13" ht="15" customHeight="1" x14ac:dyDescent="0.25">
      <c r="M1391" s="274"/>
    </row>
    <row r="1392" spans="13:13" ht="15" customHeight="1" x14ac:dyDescent="0.25">
      <c r="M1392" s="274"/>
    </row>
    <row r="1393" spans="13:13" ht="15" customHeight="1" x14ac:dyDescent="0.25">
      <c r="M1393" s="274"/>
    </row>
    <row r="1394" spans="13:13" ht="15" customHeight="1" x14ac:dyDescent="0.25">
      <c r="M1394" s="274"/>
    </row>
    <row r="1395" spans="13:13" ht="15" customHeight="1" x14ac:dyDescent="0.25">
      <c r="M1395" s="274"/>
    </row>
    <row r="1396" spans="13:13" ht="15" customHeight="1" x14ac:dyDescent="0.25">
      <c r="M1396" s="274"/>
    </row>
    <row r="1397" spans="13:13" ht="15" customHeight="1" x14ac:dyDescent="0.25">
      <c r="M1397" s="274"/>
    </row>
    <row r="1398" spans="13:13" ht="15" customHeight="1" x14ac:dyDescent="0.25">
      <c r="M1398" s="274"/>
    </row>
    <row r="1399" spans="13:13" ht="15" customHeight="1" x14ac:dyDescent="0.25">
      <c r="M1399" s="274"/>
    </row>
    <row r="1400" spans="13:13" ht="15" customHeight="1" x14ac:dyDescent="0.25">
      <c r="M1400" s="274"/>
    </row>
    <row r="1401" spans="13:13" ht="15" customHeight="1" x14ac:dyDescent="0.25">
      <c r="M1401" s="274"/>
    </row>
    <row r="1402" spans="13:13" ht="15" customHeight="1" x14ac:dyDescent="0.25">
      <c r="M1402" s="274"/>
    </row>
    <row r="1403" spans="13:13" ht="15" customHeight="1" x14ac:dyDescent="0.25">
      <c r="M1403" s="274"/>
    </row>
    <row r="1404" spans="13:13" ht="15" customHeight="1" x14ac:dyDescent="0.25">
      <c r="M1404" s="274"/>
    </row>
    <row r="1405" spans="13:13" ht="15" customHeight="1" x14ac:dyDescent="0.25">
      <c r="M1405" s="274"/>
    </row>
    <row r="1406" spans="13:13" ht="15" customHeight="1" x14ac:dyDescent="0.25">
      <c r="M1406" s="274"/>
    </row>
    <row r="1407" spans="13:13" ht="15" customHeight="1" x14ac:dyDescent="0.25">
      <c r="M1407" s="274"/>
    </row>
    <row r="1408" spans="13:13" ht="15" customHeight="1" x14ac:dyDescent="0.25">
      <c r="M1408" s="274"/>
    </row>
    <row r="1409" spans="13:13" ht="15" customHeight="1" x14ac:dyDescent="0.25">
      <c r="M1409" s="274"/>
    </row>
    <row r="1410" spans="13:13" ht="15" customHeight="1" x14ac:dyDescent="0.25">
      <c r="M1410" s="274"/>
    </row>
    <row r="1411" spans="13:13" ht="15" customHeight="1" x14ac:dyDescent="0.25">
      <c r="M1411" s="274"/>
    </row>
    <row r="1412" spans="13:13" ht="15" customHeight="1" x14ac:dyDescent="0.25">
      <c r="M1412" s="274"/>
    </row>
    <row r="1413" spans="13:13" ht="15" customHeight="1" x14ac:dyDescent="0.25">
      <c r="M1413" s="274"/>
    </row>
    <row r="1414" spans="13:13" ht="15" customHeight="1" x14ac:dyDescent="0.25">
      <c r="M1414" s="274"/>
    </row>
    <row r="1415" spans="13:13" ht="15" customHeight="1" x14ac:dyDescent="0.25">
      <c r="M1415" s="274"/>
    </row>
    <row r="1416" spans="13:13" ht="15" customHeight="1" x14ac:dyDescent="0.25">
      <c r="M1416" s="274"/>
    </row>
    <row r="1417" spans="13:13" ht="15" customHeight="1" x14ac:dyDescent="0.25">
      <c r="M1417" s="274"/>
    </row>
    <row r="1418" spans="13:13" ht="15" customHeight="1" x14ac:dyDescent="0.25">
      <c r="M1418" s="274"/>
    </row>
    <row r="1419" spans="13:13" ht="15" customHeight="1" x14ac:dyDescent="0.25">
      <c r="M1419" s="274"/>
    </row>
    <row r="1420" spans="13:13" ht="15" customHeight="1" x14ac:dyDescent="0.25">
      <c r="M1420" s="274"/>
    </row>
    <row r="1421" spans="13:13" ht="15" customHeight="1" x14ac:dyDescent="0.25">
      <c r="M1421" s="274"/>
    </row>
    <row r="1422" spans="13:13" ht="15" customHeight="1" x14ac:dyDescent="0.25">
      <c r="M1422" s="274"/>
    </row>
    <row r="1423" spans="13:13" ht="15" customHeight="1" x14ac:dyDescent="0.25">
      <c r="M1423" s="274"/>
    </row>
    <row r="1424" spans="13:13" ht="15" customHeight="1" x14ac:dyDescent="0.25">
      <c r="M1424" s="274"/>
    </row>
    <row r="1425" spans="13:13" ht="15" customHeight="1" x14ac:dyDescent="0.25">
      <c r="M1425" s="274"/>
    </row>
    <row r="1426" spans="13:13" ht="15" customHeight="1" x14ac:dyDescent="0.25">
      <c r="M1426" s="274"/>
    </row>
    <row r="1427" spans="13:13" ht="15" customHeight="1" x14ac:dyDescent="0.25">
      <c r="M1427" s="274"/>
    </row>
    <row r="1428" spans="13:13" ht="15" customHeight="1" x14ac:dyDescent="0.25">
      <c r="M1428" s="274"/>
    </row>
    <row r="1429" spans="13:13" ht="15" customHeight="1" x14ac:dyDescent="0.25">
      <c r="M1429" s="274"/>
    </row>
    <row r="1430" spans="13:13" ht="15" customHeight="1" x14ac:dyDescent="0.25">
      <c r="M1430" s="274"/>
    </row>
    <row r="1431" spans="13:13" ht="15" customHeight="1" x14ac:dyDescent="0.25">
      <c r="M1431" s="274"/>
    </row>
    <row r="1432" spans="13:13" ht="15" customHeight="1" x14ac:dyDescent="0.25">
      <c r="M1432" s="274"/>
    </row>
    <row r="1433" spans="13:13" ht="15" customHeight="1" x14ac:dyDescent="0.25">
      <c r="M1433" s="274"/>
    </row>
    <row r="1434" spans="13:13" ht="15" customHeight="1" x14ac:dyDescent="0.25">
      <c r="M1434" s="274"/>
    </row>
    <row r="1435" spans="13:13" ht="15" customHeight="1" x14ac:dyDescent="0.25">
      <c r="M1435" s="274"/>
    </row>
    <row r="1436" spans="13:13" ht="15" customHeight="1" x14ac:dyDescent="0.25">
      <c r="M1436" s="274"/>
    </row>
    <row r="1437" spans="13:13" ht="15" customHeight="1" x14ac:dyDescent="0.25">
      <c r="M1437" s="274"/>
    </row>
    <row r="1438" spans="13:13" ht="15" customHeight="1" x14ac:dyDescent="0.25">
      <c r="M1438" s="274"/>
    </row>
    <row r="1439" spans="13:13" ht="15" customHeight="1" x14ac:dyDescent="0.25">
      <c r="M1439" s="274"/>
    </row>
    <row r="1440" spans="13:13" ht="15" customHeight="1" x14ac:dyDescent="0.25">
      <c r="M1440" s="274"/>
    </row>
    <row r="1441" spans="13:13" ht="15" customHeight="1" x14ac:dyDescent="0.25">
      <c r="M1441" s="274"/>
    </row>
    <row r="1442" spans="13:13" ht="15" customHeight="1" x14ac:dyDescent="0.25">
      <c r="M1442" s="274"/>
    </row>
    <row r="1443" spans="13:13" ht="15" customHeight="1" x14ac:dyDescent="0.25">
      <c r="M1443" s="274"/>
    </row>
    <row r="1444" spans="13:13" ht="15" customHeight="1" x14ac:dyDescent="0.25">
      <c r="M1444" s="274"/>
    </row>
    <row r="1445" spans="13:13" ht="15" customHeight="1" x14ac:dyDescent="0.25">
      <c r="M1445" s="274"/>
    </row>
    <row r="1446" spans="13:13" ht="15" customHeight="1" x14ac:dyDescent="0.25">
      <c r="M1446" s="274"/>
    </row>
    <row r="1447" spans="13:13" ht="15" customHeight="1" x14ac:dyDescent="0.25">
      <c r="M1447" s="274"/>
    </row>
    <row r="1448" spans="13:13" ht="15" customHeight="1" x14ac:dyDescent="0.25">
      <c r="M1448" s="274"/>
    </row>
    <row r="1449" spans="13:13" ht="15" customHeight="1" x14ac:dyDescent="0.25">
      <c r="M1449" s="274"/>
    </row>
    <row r="1450" spans="13:13" ht="15" customHeight="1" x14ac:dyDescent="0.25">
      <c r="M1450" s="274"/>
    </row>
    <row r="1451" spans="13:13" ht="15" customHeight="1" x14ac:dyDescent="0.25">
      <c r="M1451" s="274"/>
    </row>
    <row r="1452" spans="13:13" ht="15" customHeight="1" x14ac:dyDescent="0.25">
      <c r="M1452" s="274"/>
    </row>
    <row r="1453" spans="13:13" ht="15" customHeight="1" x14ac:dyDescent="0.25">
      <c r="M1453" s="274"/>
    </row>
    <row r="1454" spans="13:13" ht="15" customHeight="1" x14ac:dyDescent="0.25">
      <c r="M1454" s="274"/>
    </row>
    <row r="1455" spans="13:13" ht="15" customHeight="1" x14ac:dyDescent="0.25">
      <c r="M1455" s="274"/>
    </row>
    <row r="1456" spans="13:13" ht="15" customHeight="1" x14ac:dyDescent="0.25">
      <c r="M1456" s="274"/>
    </row>
    <row r="1457" spans="13:13" ht="15" customHeight="1" x14ac:dyDescent="0.25">
      <c r="M1457" s="274"/>
    </row>
    <row r="1458" spans="13:13" ht="15" customHeight="1" x14ac:dyDescent="0.25">
      <c r="M1458" s="274"/>
    </row>
    <row r="1459" spans="13:13" ht="15" customHeight="1" x14ac:dyDescent="0.25">
      <c r="M1459" s="274"/>
    </row>
    <row r="1460" spans="13:13" ht="15" customHeight="1" x14ac:dyDescent="0.25">
      <c r="M1460" s="274"/>
    </row>
    <row r="1461" spans="13:13" ht="15" customHeight="1" x14ac:dyDescent="0.25">
      <c r="M1461" s="274"/>
    </row>
    <row r="1462" spans="13:13" ht="15" customHeight="1" x14ac:dyDescent="0.25">
      <c r="M1462" s="274"/>
    </row>
    <row r="1463" spans="13:13" ht="15" customHeight="1" x14ac:dyDescent="0.25">
      <c r="M1463" s="274"/>
    </row>
    <row r="1464" spans="13:13" ht="15" customHeight="1" x14ac:dyDescent="0.25">
      <c r="M1464" s="274"/>
    </row>
    <row r="1465" spans="13:13" ht="15" customHeight="1" x14ac:dyDescent="0.25">
      <c r="M1465" s="274"/>
    </row>
    <row r="1466" spans="13:13" ht="15" customHeight="1" x14ac:dyDescent="0.25">
      <c r="M1466" s="274"/>
    </row>
    <row r="1467" spans="13:13" ht="15" customHeight="1" x14ac:dyDescent="0.25">
      <c r="M1467" s="274"/>
    </row>
    <row r="1468" spans="13:13" ht="15" customHeight="1" x14ac:dyDescent="0.25">
      <c r="M1468" s="274"/>
    </row>
    <row r="1469" spans="13:13" ht="15" customHeight="1" x14ac:dyDescent="0.25">
      <c r="M1469" s="274"/>
    </row>
    <row r="1470" spans="13:13" ht="15" customHeight="1" x14ac:dyDescent="0.25">
      <c r="M1470" s="274"/>
    </row>
    <row r="1471" spans="13:13" ht="15" customHeight="1" x14ac:dyDescent="0.25">
      <c r="M1471" s="274"/>
    </row>
    <row r="1472" spans="13:13" ht="15" customHeight="1" x14ac:dyDescent="0.25">
      <c r="M1472" s="274"/>
    </row>
    <row r="1473" spans="13:13" ht="15" customHeight="1" x14ac:dyDescent="0.25">
      <c r="M1473" s="274"/>
    </row>
    <row r="1474" spans="13:13" ht="15" customHeight="1" x14ac:dyDescent="0.25">
      <c r="M1474" s="274"/>
    </row>
    <row r="1475" spans="13:13" ht="15" customHeight="1" x14ac:dyDescent="0.25">
      <c r="M1475" s="274"/>
    </row>
    <row r="1476" spans="13:13" ht="15" customHeight="1" x14ac:dyDescent="0.25">
      <c r="M1476" s="274"/>
    </row>
    <row r="1477" spans="13:13" ht="15" customHeight="1" x14ac:dyDescent="0.25">
      <c r="M1477" s="274"/>
    </row>
    <row r="1478" spans="13:13" ht="15" customHeight="1" x14ac:dyDescent="0.25">
      <c r="M1478" s="274"/>
    </row>
    <row r="1479" spans="13:13" ht="15" customHeight="1" x14ac:dyDescent="0.25">
      <c r="M1479" s="274"/>
    </row>
    <row r="1480" spans="13:13" ht="15" customHeight="1" x14ac:dyDescent="0.25">
      <c r="M1480" s="274"/>
    </row>
    <row r="1481" spans="13:13" ht="15" customHeight="1" x14ac:dyDescent="0.25">
      <c r="M1481" s="274"/>
    </row>
    <row r="1482" spans="13:13" ht="15" customHeight="1" x14ac:dyDescent="0.25">
      <c r="M1482" s="274"/>
    </row>
    <row r="1483" spans="13:13" ht="15" customHeight="1" x14ac:dyDescent="0.25">
      <c r="M1483" s="274"/>
    </row>
    <row r="1484" spans="13:13" ht="15" customHeight="1" x14ac:dyDescent="0.25">
      <c r="M1484" s="274"/>
    </row>
    <row r="1485" spans="13:13" ht="15" customHeight="1" x14ac:dyDescent="0.25">
      <c r="M1485" s="274"/>
    </row>
    <row r="1486" spans="13:13" ht="15" customHeight="1" x14ac:dyDescent="0.25">
      <c r="M1486" s="274"/>
    </row>
    <row r="1487" spans="13:13" ht="15" customHeight="1" x14ac:dyDescent="0.25">
      <c r="M1487" s="274"/>
    </row>
    <row r="1488" spans="13:13" ht="15" customHeight="1" x14ac:dyDescent="0.25">
      <c r="M1488" s="274"/>
    </row>
    <row r="1489" spans="13:13" ht="15" customHeight="1" x14ac:dyDescent="0.25">
      <c r="M1489" s="274"/>
    </row>
    <row r="1490" spans="13:13" ht="15" customHeight="1" x14ac:dyDescent="0.25">
      <c r="M1490" s="274"/>
    </row>
    <row r="1491" spans="13:13" ht="15" customHeight="1" x14ac:dyDescent="0.25">
      <c r="M1491" s="274"/>
    </row>
    <row r="1492" spans="13:13" ht="15" customHeight="1" x14ac:dyDescent="0.25">
      <c r="M1492" s="274"/>
    </row>
    <row r="1493" spans="13:13" ht="15" customHeight="1" x14ac:dyDescent="0.25">
      <c r="M1493" s="274"/>
    </row>
    <row r="1494" spans="13:13" ht="15" customHeight="1" x14ac:dyDescent="0.25">
      <c r="M1494" s="274"/>
    </row>
    <row r="1495" spans="13:13" ht="15" customHeight="1" x14ac:dyDescent="0.25">
      <c r="M1495" s="274"/>
    </row>
    <row r="1496" spans="13:13" ht="15" customHeight="1" x14ac:dyDescent="0.25">
      <c r="M1496" s="274"/>
    </row>
    <row r="1497" spans="13:13" ht="15" customHeight="1" x14ac:dyDescent="0.25">
      <c r="M1497" s="274"/>
    </row>
    <row r="1498" spans="13:13" ht="15" customHeight="1" x14ac:dyDescent="0.25">
      <c r="M1498" s="274"/>
    </row>
    <row r="1499" spans="13:13" ht="15" customHeight="1" x14ac:dyDescent="0.25">
      <c r="M1499" s="274"/>
    </row>
    <row r="1500" spans="13:13" ht="15" customHeight="1" x14ac:dyDescent="0.25">
      <c r="M1500" s="274"/>
    </row>
    <row r="1501" spans="13:13" ht="15" customHeight="1" x14ac:dyDescent="0.25">
      <c r="M1501" s="274"/>
    </row>
    <row r="1502" spans="13:13" ht="15" customHeight="1" x14ac:dyDescent="0.25">
      <c r="M1502" s="274"/>
    </row>
    <row r="1503" spans="13:13" ht="15" customHeight="1" x14ac:dyDescent="0.25">
      <c r="M1503" s="274"/>
    </row>
    <row r="1504" spans="13:13" ht="15" customHeight="1" x14ac:dyDescent="0.25">
      <c r="M1504" s="274"/>
    </row>
    <row r="1505" spans="13:13" ht="15" customHeight="1" x14ac:dyDescent="0.25">
      <c r="M1505" s="274"/>
    </row>
    <row r="1506" spans="13:13" ht="15" customHeight="1" x14ac:dyDescent="0.25">
      <c r="M1506" s="274"/>
    </row>
    <row r="1507" spans="13:13" ht="15" customHeight="1" x14ac:dyDescent="0.25">
      <c r="M1507" s="274"/>
    </row>
    <row r="1508" spans="13:13" ht="15" customHeight="1" x14ac:dyDescent="0.25">
      <c r="M1508" s="274"/>
    </row>
    <row r="1509" spans="13:13" ht="15" customHeight="1" x14ac:dyDescent="0.25">
      <c r="M1509" s="274"/>
    </row>
    <row r="1510" spans="13:13" ht="15" customHeight="1" x14ac:dyDescent="0.25">
      <c r="M1510" s="274"/>
    </row>
    <row r="1511" spans="13:13" ht="15" customHeight="1" x14ac:dyDescent="0.25">
      <c r="M1511" s="274"/>
    </row>
    <row r="1512" spans="13:13" ht="15" customHeight="1" x14ac:dyDescent="0.25">
      <c r="M1512" s="274"/>
    </row>
    <row r="1513" spans="13:13" ht="15" customHeight="1" x14ac:dyDescent="0.25">
      <c r="M1513" s="274"/>
    </row>
    <row r="1514" spans="13:13" ht="15" customHeight="1" x14ac:dyDescent="0.25">
      <c r="M1514" s="274"/>
    </row>
    <row r="1515" spans="13:13" ht="15" customHeight="1" x14ac:dyDescent="0.25">
      <c r="M1515" s="274"/>
    </row>
    <row r="1516" spans="13:13" ht="15" customHeight="1" x14ac:dyDescent="0.25">
      <c r="M1516" s="274"/>
    </row>
    <row r="1517" spans="13:13" ht="15" customHeight="1" x14ac:dyDescent="0.25">
      <c r="M1517" s="274"/>
    </row>
    <row r="1518" spans="13:13" ht="15" customHeight="1" x14ac:dyDescent="0.25">
      <c r="M1518" s="274"/>
    </row>
    <row r="1519" spans="13:13" ht="15" customHeight="1" x14ac:dyDescent="0.25">
      <c r="M1519" s="274"/>
    </row>
    <row r="1520" spans="13:13" ht="15" customHeight="1" x14ac:dyDescent="0.25">
      <c r="M1520" s="274"/>
    </row>
    <row r="1521" spans="13:13" ht="15" customHeight="1" x14ac:dyDescent="0.25">
      <c r="M1521" s="274"/>
    </row>
    <row r="1522" spans="13:13" ht="15" customHeight="1" x14ac:dyDescent="0.25">
      <c r="M1522" s="274"/>
    </row>
    <row r="1523" spans="13:13" ht="15" customHeight="1" x14ac:dyDescent="0.25">
      <c r="M1523" s="274"/>
    </row>
    <row r="1524" spans="13:13" ht="15" customHeight="1" x14ac:dyDescent="0.25">
      <c r="M1524" s="274"/>
    </row>
    <row r="1525" spans="13:13" ht="15" customHeight="1" x14ac:dyDescent="0.25">
      <c r="M1525" s="274"/>
    </row>
    <row r="1526" spans="13:13" ht="15" customHeight="1" x14ac:dyDescent="0.25">
      <c r="M1526" s="274"/>
    </row>
    <row r="1527" spans="13:13" ht="15" customHeight="1" x14ac:dyDescent="0.25">
      <c r="M1527" s="274"/>
    </row>
    <row r="1528" spans="13:13" ht="15" customHeight="1" x14ac:dyDescent="0.25">
      <c r="M1528" s="274"/>
    </row>
    <row r="1529" spans="13:13" ht="15" customHeight="1" x14ac:dyDescent="0.25">
      <c r="M1529" s="274"/>
    </row>
    <row r="1530" spans="13:13" ht="15" customHeight="1" x14ac:dyDescent="0.25">
      <c r="M1530" s="274"/>
    </row>
    <row r="1531" spans="13:13" ht="15" customHeight="1" x14ac:dyDescent="0.25">
      <c r="M1531" s="274"/>
    </row>
    <row r="1532" spans="13:13" ht="15" customHeight="1" x14ac:dyDescent="0.25">
      <c r="M1532" s="274"/>
    </row>
    <row r="1533" spans="13:13" ht="15" customHeight="1" x14ac:dyDescent="0.25">
      <c r="M1533" s="274"/>
    </row>
    <row r="1534" spans="13:13" ht="15" customHeight="1" x14ac:dyDescent="0.25">
      <c r="M1534" s="274"/>
    </row>
    <row r="1535" spans="13:13" ht="15" customHeight="1" x14ac:dyDescent="0.25">
      <c r="M1535" s="274"/>
    </row>
    <row r="1536" spans="13:13" ht="15" customHeight="1" x14ac:dyDescent="0.25">
      <c r="M1536" s="274"/>
    </row>
    <row r="1537" spans="13:13" ht="15" customHeight="1" x14ac:dyDescent="0.25">
      <c r="M1537" s="274"/>
    </row>
    <row r="1538" spans="13:13" ht="15" customHeight="1" x14ac:dyDescent="0.25">
      <c r="M1538" s="274"/>
    </row>
    <row r="1539" spans="13:13" ht="15" customHeight="1" x14ac:dyDescent="0.25">
      <c r="M1539" s="274"/>
    </row>
    <row r="1540" spans="13:13" ht="15" customHeight="1" x14ac:dyDescent="0.25">
      <c r="M1540" s="274"/>
    </row>
    <row r="1541" spans="13:13" ht="15" customHeight="1" x14ac:dyDescent="0.25">
      <c r="M1541" s="274"/>
    </row>
    <row r="1542" spans="13:13" ht="15" customHeight="1" x14ac:dyDescent="0.25">
      <c r="M1542" s="274"/>
    </row>
    <row r="1543" spans="13:13" ht="15" customHeight="1" x14ac:dyDescent="0.25">
      <c r="M1543" s="274"/>
    </row>
    <row r="1544" spans="13:13" ht="15" customHeight="1" x14ac:dyDescent="0.25">
      <c r="M1544" s="274"/>
    </row>
    <row r="1545" spans="13:13" ht="15" customHeight="1" x14ac:dyDescent="0.25">
      <c r="M1545" s="274"/>
    </row>
    <row r="1546" spans="13:13" ht="15" customHeight="1" x14ac:dyDescent="0.25">
      <c r="M1546" s="274"/>
    </row>
    <row r="1547" spans="13:13" ht="15" customHeight="1" x14ac:dyDescent="0.25">
      <c r="M1547" s="274"/>
    </row>
    <row r="1548" spans="13:13" ht="15" customHeight="1" x14ac:dyDescent="0.25">
      <c r="M1548" s="274"/>
    </row>
    <row r="1549" spans="13:13" ht="15" customHeight="1" x14ac:dyDescent="0.25">
      <c r="M1549" s="274"/>
    </row>
    <row r="1550" spans="13:13" ht="15" customHeight="1" x14ac:dyDescent="0.25">
      <c r="M1550" s="274"/>
    </row>
    <row r="1551" spans="13:13" ht="15" customHeight="1" x14ac:dyDescent="0.25">
      <c r="M1551" s="274"/>
    </row>
    <row r="1552" spans="13:13" ht="15" customHeight="1" x14ac:dyDescent="0.25">
      <c r="M1552" s="274"/>
    </row>
    <row r="1553" spans="13:13" ht="15" customHeight="1" x14ac:dyDescent="0.25">
      <c r="M1553" s="274"/>
    </row>
    <row r="1554" spans="13:13" ht="15" customHeight="1" x14ac:dyDescent="0.25">
      <c r="M1554" s="274"/>
    </row>
    <row r="1555" spans="13:13" ht="15" customHeight="1" x14ac:dyDescent="0.25">
      <c r="M1555" s="274"/>
    </row>
    <row r="1556" spans="13:13" ht="15" customHeight="1" x14ac:dyDescent="0.25">
      <c r="M1556" s="274"/>
    </row>
    <row r="1557" spans="13:13" ht="15" customHeight="1" x14ac:dyDescent="0.25">
      <c r="M1557" s="274"/>
    </row>
    <row r="1558" spans="13:13" ht="15" customHeight="1" x14ac:dyDescent="0.25">
      <c r="M1558" s="274"/>
    </row>
    <row r="1559" spans="13:13" ht="15" customHeight="1" x14ac:dyDescent="0.25">
      <c r="M1559" s="274"/>
    </row>
    <row r="1560" spans="13:13" ht="15" customHeight="1" x14ac:dyDescent="0.25">
      <c r="M1560" s="274"/>
    </row>
    <row r="1561" spans="13:13" ht="15" customHeight="1" x14ac:dyDescent="0.25">
      <c r="M1561" s="274"/>
    </row>
    <row r="1562" spans="13:13" ht="15" customHeight="1" x14ac:dyDescent="0.25">
      <c r="M1562" s="274"/>
    </row>
    <row r="1563" spans="13:13" ht="15" customHeight="1" x14ac:dyDescent="0.25">
      <c r="M1563" s="274"/>
    </row>
    <row r="1564" spans="13:13" ht="15" customHeight="1" x14ac:dyDescent="0.25">
      <c r="M1564" s="274"/>
    </row>
    <row r="1565" spans="13:13" ht="15" customHeight="1" x14ac:dyDescent="0.25">
      <c r="M1565" s="274"/>
    </row>
    <row r="1566" spans="13:13" ht="15" customHeight="1" x14ac:dyDescent="0.25">
      <c r="M1566" s="274"/>
    </row>
    <row r="1567" spans="13:13" ht="15" customHeight="1" x14ac:dyDescent="0.25">
      <c r="M1567" s="274"/>
    </row>
    <row r="1568" spans="13:13" ht="15" customHeight="1" x14ac:dyDescent="0.25">
      <c r="M1568" s="274"/>
    </row>
    <row r="1569" spans="13:13" ht="15" customHeight="1" x14ac:dyDescent="0.25">
      <c r="M1569" s="274"/>
    </row>
    <row r="1570" spans="13:13" ht="15" customHeight="1" x14ac:dyDescent="0.25">
      <c r="M1570" s="274"/>
    </row>
    <row r="1571" spans="13:13" ht="15" customHeight="1" x14ac:dyDescent="0.25">
      <c r="M1571" s="274"/>
    </row>
    <row r="1572" spans="13:13" ht="15" customHeight="1" x14ac:dyDescent="0.25">
      <c r="M1572" s="274"/>
    </row>
    <row r="1573" spans="13:13" ht="15" customHeight="1" x14ac:dyDescent="0.25">
      <c r="M1573" s="274"/>
    </row>
    <row r="1574" spans="13:13" ht="15" customHeight="1" x14ac:dyDescent="0.25">
      <c r="M1574" s="274"/>
    </row>
    <row r="1575" spans="13:13" ht="15" customHeight="1" x14ac:dyDescent="0.25">
      <c r="M1575" s="274"/>
    </row>
    <row r="1576" spans="13:13" ht="15" customHeight="1" x14ac:dyDescent="0.25">
      <c r="M1576" s="274"/>
    </row>
    <row r="1577" spans="13:13" ht="15" customHeight="1" x14ac:dyDescent="0.25">
      <c r="M1577" s="274"/>
    </row>
    <row r="1578" spans="13:13" ht="15" customHeight="1" x14ac:dyDescent="0.25">
      <c r="M1578" s="274"/>
    </row>
    <row r="1579" spans="13:13" ht="15" customHeight="1" x14ac:dyDescent="0.25">
      <c r="M1579" s="274"/>
    </row>
    <row r="1580" spans="13:13" ht="15" customHeight="1" x14ac:dyDescent="0.25">
      <c r="M1580" s="274"/>
    </row>
    <row r="1581" spans="13:13" ht="15" customHeight="1" x14ac:dyDescent="0.25">
      <c r="M1581" s="274"/>
    </row>
    <row r="1582" spans="13:13" ht="15" customHeight="1" x14ac:dyDescent="0.25">
      <c r="M1582" s="274"/>
    </row>
    <row r="1583" spans="13:13" ht="15" customHeight="1" x14ac:dyDescent="0.25">
      <c r="M1583" s="274"/>
    </row>
    <row r="1584" spans="13:13" ht="15" customHeight="1" x14ac:dyDescent="0.25">
      <c r="M1584" s="274"/>
    </row>
    <row r="1585" spans="13:13" ht="15" customHeight="1" x14ac:dyDescent="0.25">
      <c r="M1585" s="274"/>
    </row>
    <row r="1586" spans="13:13" ht="15" customHeight="1" x14ac:dyDescent="0.25">
      <c r="M1586" s="274"/>
    </row>
    <row r="1587" spans="13:13" ht="15" customHeight="1" x14ac:dyDescent="0.25">
      <c r="M1587" s="274"/>
    </row>
    <row r="1588" spans="13:13" ht="15" customHeight="1" x14ac:dyDescent="0.25">
      <c r="M1588" s="274"/>
    </row>
    <row r="1589" spans="13:13" ht="15" customHeight="1" x14ac:dyDescent="0.25">
      <c r="M1589" s="274"/>
    </row>
    <row r="1590" spans="13:13" ht="15" customHeight="1" x14ac:dyDescent="0.25">
      <c r="M1590" s="274"/>
    </row>
    <row r="1591" spans="13:13" ht="15" customHeight="1" x14ac:dyDescent="0.25">
      <c r="M1591" s="274"/>
    </row>
    <row r="1592" spans="13:13" ht="15" customHeight="1" x14ac:dyDescent="0.25">
      <c r="M1592" s="274"/>
    </row>
    <row r="1593" spans="13:13" ht="15" customHeight="1" x14ac:dyDescent="0.25">
      <c r="M1593" s="274"/>
    </row>
    <row r="1594" spans="13:13" ht="15" customHeight="1" x14ac:dyDescent="0.25">
      <c r="M1594" s="274"/>
    </row>
    <row r="1595" spans="13:13" ht="15" customHeight="1" x14ac:dyDescent="0.25">
      <c r="M1595" s="274"/>
    </row>
    <row r="1596" spans="13:13" ht="15" customHeight="1" x14ac:dyDescent="0.25">
      <c r="M1596" s="274"/>
    </row>
    <row r="1597" spans="13:13" ht="15" customHeight="1" x14ac:dyDescent="0.25">
      <c r="M1597" s="274"/>
    </row>
    <row r="1598" spans="13:13" ht="15" customHeight="1" x14ac:dyDescent="0.25">
      <c r="M1598" s="274"/>
    </row>
    <row r="1599" spans="13:13" ht="15" customHeight="1" x14ac:dyDescent="0.25">
      <c r="M1599" s="274"/>
    </row>
    <row r="1600" spans="13:13" ht="15" customHeight="1" x14ac:dyDescent="0.25">
      <c r="M1600" s="274"/>
    </row>
    <row r="1601" spans="13:13" ht="15" customHeight="1" x14ac:dyDescent="0.25">
      <c r="M1601" s="274"/>
    </row>
    <row r="1602" spans="13:13" ht="15" customHeight="1" x14ac:dyDescent="0.25">
      <c r="M1602" s="274"/>
    </row>
    <row r="1603" spans="13:13" ht="15" customHeight="1" x14ac:dyDescent="0.25">
      <c r="M1603" s="274"/>
    </row>
    <row r="1604" spans="13:13" ht="15" customHeight="1" x14ac:dyDescent="0.25">
      <c r="M1604" s="274"/>
    </row>
    <row r="1605" spans="13:13" ht="15" customHeight="1" x14ac:dyDescent="0.25">
      <c r="M1605" s="274"/>
    </row>
    <row r="1606" spans="13:13" ht="15" customHeight="1" x14ac:dyDescent="0.25">
      <c r="M1606" s="274"/>
    </row>
    <row r="1607" spans="13:13" ht="15" customHeight="1" x14ac:dyDescent="0.25">
      <c r="M1607" s="274"/>
    </row>
    <row r="1608" spans="13:13" ht="15" customHeight="1" x14ac:dyDescent="0.25">
      <c r="M1608" s="274"/>
    </row>
    <row r="1609" spans="13:13" ht="15" customHeight="1" x14ac:dyDescent="0.25">
      <c r="M1609" s="274"/>
    </row>
    <row r="1610" spans="13:13" ht="15" customHeight="1" x14ac:dyDescent="0.25">
      <c r="M1610" s="274"/>
    </row>
    <row r="1611" spans="13:13" ht="15" customHeight="1" x14ac:dyDescent="0.25">
      <c r="M1611" s="274"/>
    </row>
    <row r="1612" spans="13:13" ht="15" customHeight="1" x14ac:dyDescent="0.25">
      <c r="M1612" s="274"/>
    </row>
    <row r="1613" spans="13:13" ht="15" customHeight="1" x14ac:dyDescent="0.25">
      <c r="M1613" s="274"/>
    </row>
    <row r="1614" spans="13:13" ht="15" customHeight="1" x14ac:dyDescent="0.25">
      <c r="M1614" s="274"/>
    </row>
    <row r="1615" spans="13:13" ht="15" customHeight="1" x14ac:dyDescent="0.25">
      <c r="M1615" s="274"/>
    </row>
    <row r="1616" spans="13:13" ht="15" customHeight="1" x14ac:dyDescent="0.25">
      <c r="M1616" s="274"/>
    </row>
    <row r="1617" spans="13:13" ht="15" customHeight="1" x14ac:dyDescent="0.25">
      <c r="M1617" s="274"/>
    </row>
    <row r="1618" spans="13:13" ht="15" customHeight="1" x14ac:dyDescent="0.25">
      <c r="M1618" s="274"/>
    </row>
    <row r="1619" spans="13:13" ht="15" customHeight="1" x14ac:dyDescent="0.25">
      <c r="M1619" s="274"/>
    </row>
    <row r="1620" spans="13:13" ht="15" customHeight="1" x14ac:dyDescent="0.25">
      <c r="M1620" s="274"/>
    </row>
    <row r="1621" spans="13:13" ht="15" customHeight="1" x14ac:dyDescent="0.25">
      <c r="M1621" s="274"/>
    </row>
    <row r="1622" spans="13:13" ht="15" customHeight="1" x14ac:dyDescent="0.25">
      <c r="M1622" s="274"/>
    </row>
    <row r="1623" spans="13:13" ht="15" customHeight="1" x14ac:dyDescent="0.25">
      <c r="M1623" s="274"/>
    </row>
    <row r="1624" spans="13:13" ht="15" customHeight="1" x14ac:dyDescent="0.25">
      <c r="M1624" s="274"/>
    </row>
    <row r="1625" spans="13:13" ht="15" customHeight="1" x14ac:dyDescent="0.25">
      <c r="M1625" s="274"/>
    </row>
    <row r="1626" spans="13:13" ht="15" customHeight="1" x14ac:dyDescent="0.25">
      <c r="M1626" s="274"/>
    </row>
    <row r="1627" spans="13:13" ht="15" customHeight="1" x14ac:dyDescent="0.25">
      <c r="M1627" s="274"/>
    </row>
    <row r="1628" spans="13:13" ht="15" customHeight="1" x14ac:dyDescent="0.25">
      <c r="M1628" s="274"/>
    </row>
    <row r="1629" spans="13:13" ht="15" customHeight="1" x14ac:dyDescent="0.25">
      <c r="M1629" s="274"/>
    </row>
    <row r="1630" spans="13:13" ht="15" customHeight="1" x14ac:dyDescent="0.25">
      <c r="M1630" s="274"/>
    </row>
    <row r="1631" spans="13:13" ht="15" customHeight="1" x14ac:dyDescent="0.25">
      <c r="M1631" s="274"/>
    </row>
    <row r="1632" spans="13:13" ht="15" customHeight="1" x14ac:dyDescent="0.25">
      <c r="M1632" s="274"/>
    </row>
    <row r="1633" spans="13:13" ht="15" customHeight="1" x14ac:dyDescent="0.25">
      <c r="M1633" s="274"/>
    </row>
    <row r="1634" spans="13:13" ht="15" customHeight="1" x14ac:dyDescent="0.25">
      <c r="M1634" s="274"/>
    </row>
    <row r="1635" spans="13:13" ht="15" customHeight="1" x14ac:dyDescent="0.25">
      <c r="M1635" s="274"/>
    </row>
    <row r="1636" spans="13:13" ht="15" customHeight="1" x14ac:dyDescent="0.25">
      <c r="M1636" s="274"/>
    </row>
    <row r="1637" spans="13:13" ht="15" customHeight="1" x14ac:dyDescent="0.25">
      <c r="M1637" s="274"/>
    </row>
    <row r="1638" spans="13:13" ht="15" customHeight="1" x14ac:dyDescent="0.25">
      <c r="M1638" s="274"/>
    </row>
    <row r="1639" spans="13:13" ht="15" customHeight="1" x14ac:dyDescent="0.25">
      <c r="M1639" s="274"/>
    </row>
    <row r="1640" spans="13:13" ht="15" customHeight="1" x14ac:dyDescent="0.25">
      <c r="M1640" s="274"/>
    </row>
    <row r="1641" spans="13:13" ht="15" customHeight="1" x14ac:dyDescent="0.25">
      <c r="M1641" s="274"/>
    </row>
    <row r="1642" spans="13:13" ht="15" customHeight="1" x14ac:dyDescent="0.25">
      <c r="M1642" s="274"/>
    </row>
    <row r="1643" spans="13:13" ht="15" customHeight="1" x14ac:dyDescent="0.25">
      <c r="M1643" s="274"/>
    </row>
    <row r="1644" spans="13:13" ht="15" customHeight="1" x14ac:dyDescent="0.25">
      <c r="M1644" s="274"/>
    </row>
    <row r="1645" spans="13:13" ht="15" customHeight="1" x14ac:dyDescent="0.25">
      <c r="M1645" s="274"/>
    </row>
    <row r="1646" spans="13:13" ht="15" customHeight="1" x14ac:dyDescent="0.25">
      <c r="M1646" s="274"/>
    </row>
    <row r="1647" spans="13:13" ht="15" customHeight="1" x14ac:dyDescent="0.25">
      <c r="M1647" s="274"/>
    </row>
    <row r="1648" spans="13:13" ht="15" customHeight="1" x14ac:dyDescent="0.25">
      <c r="M1648" s="274"/>
    </row>
    <row r="1649" spans="2:13" ht="15" customHeight="1" x14ac:dyDescent="0.25">
      <c r="M1649" s="274"/>
    </row>
    <row r="1650" spans="2:13" ht="15" customHeight="1" x14ac:dyDescent="0.25">
      <c r="M1650" s="274"/>
    </row>
    <row r="1651" spans="2:13" ht="15" customHeight="1" x14ac:dyDescent="0.25">
      <c r="M1651" s="274"/>
    </row>
    <row r="1652" spans="2:13" ht="15" customHeight="1" x14ac:dyDescent="0.25">
      <c r="M1652" s="274"/>
    </row>
    <row r="1653" spans="2:13" ht="15" customHeight="1" x14ac:dyDescent="0.25">
      <c r="M1653" s="274"/>
    </row>
    <row r="1654" spans="2:13" ht="15" customHeight="1" x14ac:dyDescent="0.25">
      <c r="M1654" s="274"/>
    </row>
    <row r="1655" spans="2:13" ht="15" customHeight="1" x14ac:dyDescent="0.25">
      <c r="M1655" s="274"/>
    </row>
    <row r="1656" spans="2:13" ht="15" customHeight="1" x14ac:dyDescent="0.25">
      <c r="M1656" s="274"/>
    </row>
    <row r="1657" spans="2:13" ht="15" customHeight="1" x14ac:dyDescent="0.25">
      <c r="M1657" s="274"/>
    </row>
    <row r="1658" spans="2:13" ht="15" customHeight="1" x14ac:dyDescent="0.25">
      <c r="M1658" s="274"/>
    </row>
    <row r="1659" spans="2:13" ht="15" customHeight="1" x14ac:dyDescent="0.25">
      <c r="M1659" s="274"/>
    </row>
    <row r="1660" spans="2:13" ht="15" customHeight="1" x14ac:dyDescent="0.25">
      <c r="M1660" s="274"/>
    </row>
    <row r="1661" spans="2:13" ht="15" customHeight="1" x14ac:dyDescent="0.25">
      <c r="M1661" s="274"/>
    </row>
    <row r="1662" spans="2:13" ht="15" customHeight="1" x14ac:dyDescent="0.25">
      <c r="M1662" s="274"/>
    </row>
    <row r="1663" spans="2:13" ht="15" customHeight="1" x14ac:dyDescent="0.25">
      <c r="M1663" s="274"/>
    </row>
    <row r="1664" spans="2:13" ht="15" customHeight="1" x14ac:dyDescent="0.25">
      <c r="B1664" s="260"/>
      <c r="I1664" s="266"/>
      <c r="K1664" s="268"/>
      <c r="M1664" s="274"/>
    </row>
    <row r="1665" spans="2:13" ht="15" customHeight="1" x14ac:dyDescent="0.25">
      <c r="B1665" s="260"/>
      <c r="E1665" s="291"/>
      <c r="F1665" s="293"/>
      <c r="I1665" s="266"/>
      <c r="K1665" s="268"/>
      <c r="M1665" s="274"/>
    </row>
    <row r="1666" spans="2:13" ht="15" customHeight="1" x14ac:dyDescent="0.25">
      <c r="B1666" s="260"/>
      <c r="C1666" s="290"/>
      <c r="E1666" s="291"/>
      <c r="F1666" s="262"/>
      <c r="G1666" s="297"/>
      <c r="H1666" s="299"/>
      <c r="I1666" s="266"/>
      <c r="K1666" s="268"/>
      <c r="M1666" s="274"/>
    </row>
    <row r="1667" spans="2:13" ht="15" customHeight="1" x14ac:dyDescent="0.25">
      <c r="B1667" s="260"/>
      <c r="G1667" s="297"/>
      <c r="I1667" s="266"/>
      <c r="K1667" s="268"/>
      <c r="M1667" s="274"/>
    </row>
    <row r="1668" spans="2:13" ht="15" customHeight="1" x14ac:dyDescent="0.25">
      <c r="B1668" s="260"/>
      <c r="G1668" s="297"/>
      <c r="I1668" s="266"/>
      <c r="K1668" s="268"/>
      <c r="M1668" s="274"/>
    </row>
    <row r="1669" spans="2:13" ht="15" customHeight="1" x14ac:dyDescent="0.25">
      <c r="B1669" s="260"/>
      <c r="G1669" s="297"/>
      <c r="I1669" s="266"/>
      <c r="K1669" s="268"/>
      <c r="M1669" s="274"/>
    </row>
    <row r="1670" spans="2:13" ht="15" customHeight="1" x14ac:dyDescent="0.25">
      <c r="B1670" s="260"/>
      <c r="G1670" s="297"/>
      <c r="I1670" s="266"/>
      <c r="K1670" s="268"/>
      <c r="M1670" s="274"/>
    </row>
    <row r="1671" spans="2:13" ht="15" customHeight="1" x14ac:dyDescent="0.25">
      <c r="M1671" s="274"/>
    </row>
    <row r="1672" spans="2:13" ht="15" customHeight="1" x14ac:dyDescent="0.25">
      <c r="M1672" s="274"/>
    </row>
    <row r="1673" spans="2:13" ht="15" customHeight="1" x14ac:dyDescent="0.25">
      <c r="M1673" s="274"/>
    </row>
    <row r="1674" spans="2:13" ht="15" customHeight="1" x14ac:dyDescent="0.25">
      <c r="M1674" s="274"/>
    </row>
    <row r="1675" spans="2:13" ht="15" customHeight="1" x14ac:dyDescent="0.25">
      <c r="M1675" s="274"/>
    </row>
    <row r="1676" spans="2:13" ht="15" customHeight="1" x14ac:dyDescent="0.25">
      <c r="M1676" s="274"/>
    </row>
    <row r="1677" spans="2:13" ht="15" customHeight="1" x14ac:dyDescent="0.25">
      <c r="M1677" s="274"/>
    </row>
    <row r="1678" spans="2:13" ht="15" customHeight="1" x14ac:dyDescent="0.25">
      <c r="M1678" s="274"/>
    </row>
    <row r="1679" spans="2:13" ht="15" customHeight="1" x14ac:dyDescent="0.25">
      <c r="M1679" s="274"/>
    </row>
    <row r="1680" spans="2:13" ht="15" customHeight="1" x14ac:dyDescent="0.25">
      <c r="M1680" s="274"/>
    </row>
    <row r="1681" spans="13:13" ht="15" customHeight="1" x14ac:dyDescent="0.25">
      <c r="M1681" s="274"/>
    </row>
    <row r="1682" spans="13:13" ht="15" customHeight="1" x14ac:dyDescent="0.25">
      <c r="M1682" s="274"/>
    </row>
    <row r="1683" spans="13:13" ht="15" customHeight="1" x14ac:dyDescent="0.25">
      <c r="M1683" s="274"/>
    </row>
    <row r="1684" spans="13:13" ht="15" customHeight="1" x14ac:dyDescent="0.25">
      <c r="M1684" s="274"/>
    </row>
    <row r="1685" spans="13:13" ht="15" customHeight="1" x14ac:dyDescent="0.25">
      <c r="M1685" s="274"/>
    </row>
    <row r="1686" spans="13:13" ht="15" customHeight="1" x14ac:dyDescent="0.25">
      <c r="M1686" s="274"/>
    </row>
    <row r="1687" spans="13:13" ht="15" customHeight="1" x14ac:dyDescent="0.25">
      <c r="M1687" s="274"/>
    </row>
    <row r="1688" spans="13:13" ht="15" customHeight="1" x14ac:dyDescent="0.25">
      <c r="M1688" s="274"/>
    </row>
    <row r="1689" spans="13:13" ht="15" customHeight="1" x14ac:dyDescent="0.25">
      <c r="M1689" s="274"/>
    </row>
    <row r="1690" spans="13:13" ht="15" customHeight="1" x14ac:dyDescent="0.25">
      <c r="M1690" s="274"/>
    </row>
    <row r="1691" spans="13:13" ht="15" customHeight="1" x14ac:dyDescent="0.25">
      <c r="M1691" s="274"/>
    </row>
    <row r="1692" spans="13:13" ht="15" customHeight="1" x14ac:dyDescent="0.25">
      <c r="M1692" s="274"/>
    </row>
    <row r="1693" spans="13:13" ht="15" customHeight="1" x14ac:dyDescent="0.25">
      <c r="M1693" s="274"/>
    </row>
    <row r="1694" spans="13:13" ht="15" customHeight="1" x14ac:dyDescent="0.25">
      <c r="M1694" s="274"/>
    </row>
    <row r="1695" spans="13:13" ht="15" customHeight="1" x14ac:dyDescent="0.25">
      <c r="M1695" s="274"/>
    </row>
    <row r="1696" spans="13:13" ht="15" customHeight="1" x14ac:dyDescent="0.25">
      <c r="M1696" s="274"/>
    </row>
    <row r="1697" spans="13:13" ht="15" customHeight="1" x14ac:dyDescent="0.25">
      <c r="M1697" s="274"/>
    </row>
    <row r="1698" spans="13:13" ht="15" customHeight="1" x14ac:dyDescent="0.25">
      <c r="M1698" s="274"/>
    </row>
    <row r="1699" spans="13:13" ht="15" customHeight="1" x14ac:dyDescent="0.25">
      <c r="M1699" s="274"/>
    </row>
    <row r="1700" spans="13:13" ht="15" customHeight="1" x14ac:dyDescent="0.25">
      <c r="M1700" s="274"/>
    </row>
    <row r="1701" spans="13:13" ht="15" customHeight="1" x14ac:dyDescent="0.25">
      <c r="M1701" s="274"/>
    </row>
    <row r="1702" spans="13:13" ht="15" customHeight="1" x14ac:dyDescent="0.25">
      <c r="M1702" s="274"/>
    </row>
    <row r="1703" spans="13:13" ht="15" customHeight="1" x14ac:dyDescent="0.25">
      <c r="M1703" s="274"/>
    </row>
    <row r="1704" spans="13:13" ht="15" customHeight="1" x14ac:dyDescent="0.25">
      <c r="M1704" s="274"/>
    </row>
    <row r="1705" spans="13:13" ht="15" customHeight="1" x14ac:dyDescent="0.25">
      <c r="M1705" s="274"/>
    </row>
    <row r="1706" spans="13:13" ht="15" customHeight="1" x14ac:dyDescent="0.25">
      <c r="M1706" s="274"/>
    </row>
    <row r="1707" spans="13:13" ht="15" customHeight="1" x14ac:dyDescent="0.25">
      <c r="M1707" s="274"/>
    </row>
    <row r="1708" spans="13:13" ht="15" customHeight="1" x14ac:dyDescent="0.25">
      <c r="M1708" s="274"/>
    </row>
    <row r="1709" spans="13:13" ht="15" customHeight="1" x14ac:dyDescent="0.25">
      <c r="M1709" s="274"/>
    </row>
    <row r="1710" spans="13:13" ht="15" customHeight="1" x14ac:dyDescent="0.25">
      <c r="M1710" s="274"/>
    </row>
    <row r="1711" spans="13:13" ht="15" customHeight="1" x14ac:dyDescent="0.25">
      <c r="M1711" s="274"/>
    </row>
    <row r="1712" spans="13:13" ht="15" customHeight="1" x14ac:dyDescent="0.25">
      <c r="M1712" s="274"/>
    </row>
    <row r="1713" spans="13:13" ht="15" customHeight="1" x14ac:dyDescent="0.25">
      <c r="M1713" s="274"/>
    </row>
    <row r="1714" spans="13:13" ht="15" customHeight="1" x14ac:dyDescent="0.25">
      <c r="M1714" s="274"/>
    </row>
    <row r="1715" spans="13:13" ht="15" customHeight="1" x14ac:dyDescent="0.25">
      <c r="M1715" s="274"/>
    </row>
    <row r="1716" spans="13:13" ht="15" customHeight="1" x14ac:dyDescent="0.25">
      <c r="M1716" s="274"/>
    </row>
    <row r="1717" spans="13:13" ht="15" customHeight="1" x14ac:dyDescent="0.25">
      <c r="M1717" s="274"/>
    </row>
    <row r="1718" spans="13:13" ht="15" customHeight="1" x14ac:dyDescent="0.25">
      <c r="M1718" s="274"/>
    </row>
    <row r="1719" spans="13:13" ht="15" customHeight="1" x14ac:dyDescent="0.25">
      <c r="M1719" s="274"/>
    </row>
    <row r="1720" spans="13:13" ht="15" customHeight="1" x14ac:dyDescent="0.25">
      <c r="M1720" s="274"/>
    </row>
    <row r="1721" spans="13:13" ht="15" customHeight="1" x14ac:dyDescent="0.25">
      <c r="M1721" s="274"/>
    </row>
    <row r="1722" spans="13:13" ht="15" customHeight="1" x14ac:dyDescent="0.25">
      <c r="M1722" s="274"/>
    </row>
    <row r="1723" spans="13:13" ht="15" customHeight="1" x14ac:dyDescent="0.25">
      <c r="M1723" s="274"/>
    </row>
    <row r="1724" spans="13:13" ht="15" customHeight="1" x14ac:dyDescent="0.25">
      <c r="M1724" s="274"/>
    </row>
    <row r="1725" spans="13:13" ht="15" customHeight="1" x14ac:dyDescent="0.25">
      <c r="M1725" s="274"/>
    </row>
    <row r="1726" spans="13:13" ht="15" customHeight="1" x14ac:dyDescent="0.25">
      <c r="M1726" s="274"/>
    </row>
    <row r="1727" spans="13:13" ht="15" customHeight="1" x14ac:dyDescent="0.25">
      <c r="M1727" s="274"/>
    </row>
    <row r="1728" spans="13:13" ht="15" customHeight="1" x14ac:dyDescent="0.25">
      <c r="M1728" s="274"/>
    </row>
    <row r="1729" spans="13:13" ht="15" customHeight="1" x14ac:dyDescent="0.25">
      <c r="M1729" s="274"/>
    </row>
    <row r="1730" spans="13:13" ht="15" customHeight="1" x14ac:dyDescent="0.25">
      <c r="M1730" s="274"/>
    </row>
    <row r="1731" spans="13:13" ht="15" customHeight="1" x14ac:dyDescent="0.25">
      <c r="M1731" s="274"/>
    </row>
    <row r="1732" spans="13:13" ht="15" customHeight="1" x14ac:dyDescent="0.25">
      <c r="M1732" s="274"/>
    </row>
    <row r="1733" spans="13:13" ht="15" customHeight="1" x14ac:dyDescent="0.25">
      <c r="M1733" s="274"/>
    </row>
    <row r="1734" spans="13:13" ht="15" customHeight="1" x14ac:dyDescent="0.25">
      <c r="M1734" s="274"/>
    </row>
    <row r="1735" spans="13:13" ht="15" customHeight="1" x14ac:dyDescent="0.25">
      <c r="M1735" s="274"/>
    </row>
    <row r="1736" spans="13:13" ht="15" customHeight="1" x14ac:dyDescent="0.25">
      <c r="M1736" s="274"/>
    </row>
    <row r="1737" spans="13:13" ht="15" customHeight="1" x14ac:dyDescent="0.25">
      <c r="M1737" s="274"/>
    </row>
    <row r="1738" spans="13:13" ht="15" customHeight="1" x14ac:dyDescent="0.25">
      <c r="M1738" s="274"/>
    </row>
    <row r="1739" spans="13:13" ht="15" customHeight="1" x14ac:dyDescent="0.25">
      <c r="M1739" s="274"/>
    </row>
    <row r="1740" spans="13:13" ht="15" customHeight="1" x14ac:dyDescent="0.25">
      <c r="M1740" s="274"/>
    </row>
    <row r="1741" spans="13:13" ht="15" customHeight="1" x14ac:dyDescent="0.25">
      <c r="M1741" s="274"/>
    </row>
    <row r="1742" spans="13:13" ht="15" customHeight="1" x14ac:dyDescent="0.25">
      <c r="M1742" s="274"/>
    </row>
    <row r="1743" spans="13:13" ht="15" customHeight="1" x14ac:dyDescent="0.25">
      <c r="M1743" s="274"/>
    </row>
    <row r="1744" spans="13:13" ht="15" customHeight="1" x14ac:dyDescent="0.25">
      <c r="M1744" s="274"/>
    </row>
    <row r="1745" spans="13:13" ht="15" customHeight="1" x14ac:dyDescent="0.25">
      <c r="M1745" s="274"/>
    </row>
    <row r="1746" spans="13:13" ht="15" customHeight="1" x14ac:dyDescent="0.25">
      <c r="M1746" s="274"/>
    </row>
    <row r="1747" spans="13:13" ht="15" customHeight="1" x14ac:dyDescent="0.25">
      <c r="M1747" s="274"/>
    </row>
    <row r="1748" spans="13:13" ht="15" customHeight="1" x14ac:dyDescent="0.25">
      <c r="M1748" s="274"/>
    </row>
    <row r="1749" spans="13:13" ht="15" customHeight="1" x14ac:dyDescent="0.25">
      <c r="M1749" s="274"/>
    </row>
    <row r="1750" spans="13:13" ht="15" customHeight="1" x14ac:dyDescent="0.25">
      <c r="M1750" s="274"/>
    </row>
    <row r="1751" spans="13:13" ht="15" customHeight="1" x14ac:dyDescent="0.25">
      <c r="M1751" s="274"/>
    </row>
    <row r="1752" spans="13:13" ht="15" customHeight="1" x14ac:dyDescent="0.25">
      <c r="M1752" s="274"/>
    </row>
    <row r="1753" spans="13:13" ht="15" customHeight="1" x14ac:dyDescent="0.25">
      <c r="M1753" s="274"/>
    </row>
    <row r="1754" spans="13:13" ht="15" customHeight="1" x14ac:dyDescent="0.25">
      <c r="M1754" s="274"/>
    </row>
    <row r="1755" spans="13:13" ht="15" customHeight="1" x14ac:dyDescent="0.25">
      <c r="M1755" s="274"/>
    </row>
    <row r="1756" spans="13:13" ht="15" customHeight="1" x14ac:dyDescent="0.25">
      <c r="M1756" s="274"/>
    </row>
    <row r="1757" spans="13:13" ht="15" customHeight="1" x14ac:dyDescent="0.25">
      <c r="M1757" s="274"/>
    </row>
    <row r="1758" spans="13:13" ht="15" customHeight="1" x14ac:dyDescent="0.25">
      <c r="M1758" s="274"/>
    </row>
    <row r="1759" spans="13:13" ht="15" customHeight="1" x14ac:dyDescent="0.25">
      <c r="M1759" s="274"/>
    </row>
    <row r="1760" spans="13:13" ht="15" customHeight="1" x14ac:dyDescent="0.25">
      <c r="M1760" s="274"/>
    </row>
    <row r="1761" spans="13:13" ht="15" customHeight="1" x14ac:dyDescent="0.25">
      <c r="M1761" s="274"/>
    </row>
    <row r="1762" spans="13:13" ht="15" customHeight="1" x14ac:dyDescent="0.25">
      <c r="M1762" s="274"/>
    </row>
    <row r="1763" spans="13:13" ht="15" customHeight="1" x14ac:dyDescent="0.25">
      <c r="M1763" s="274"/>
    </row>
    <row r="1764" spans="13:13" ht="15" customHeight="1" x14ac:dyDescent="0.25">
      <c r="M1764" s="274"/>
    </row>
    <row r="1765" spans="13:13" ht="15" customHeight="1" x14ac:dyDescent="0.25">
      <c r="M1765" s="274"/>
    </row>
    <row r="1766" spans="13:13" ht="15" customHeight="1" x14ac:dyDescent="0.25">
      <c r="M1766" s="274"/>
    </row>
    <row r="1767" spans="13:13" ht="15" customHeight="1" x14ac:dyDescent="0.25">
      <c r="M1767" s="274"/>
    </row>
    <row r="1768" spans="13:13" ht="15" customHeight="1" x14ac:dyDescent="0.25">
      <c r="M1768" s="274"/>
    </row>
    <row r="1769" spans="13:13" ht="15" customHeight="1" x14ac:dyDescent="0.25">
      <c r="M1769" s="274"/>
    </row>
    <row r="1770" spans="13:13" ht="15" customHeight="1" x14ac:dyDescent="0.25">
      <c r="M1770" s="274"/>
    </row>
    <row r="1771" spans="13:13" ht="15" customHeight="1" x14ac:dyDescent="0.25">
      <c r="M1771" s="274"/>
    </row>
    <row r="1772" spans="13:13" ht="15" customHeight="1" x14ac:dyDescent="0.25">
      <c r="M1772" s="274"/>
    </row>
    <row r="1773" spans="13:13" ht="15" customHeight="1" x14ac:dyDescent="0.25">
      <c r="M1773" s="274"/>
    </row>
    <row r="1774" spans="13:13" ht="15" customHeight="1" x14ac:dyDescent="0.25">
      <c r="M1774" s="274"/>
    </row>
    <row r="1775" spans="13:13" ht="15" customHeight="1" x14ac:dyDescent="0.25">
      <c r="M1775" s="274"/>
    </row>
    <row r="1776" spans="13:13" ht="15" customHeight="1" x14ac:dyDescent="0.25">
      <c r="M1776" s="274"/>
    </row>
    <row r="1777" spans="13:13" ht="15" customHeight="1" x14ac:dyDescent="0.25">
      <c r="M1777" s="274"/>
    </row>
    <row r="1778" spans="13:13" ht="15" customHeight="1" x14ac:dyDescent="0.25">
      <c r="M1778" s="274"/>
    </row>
    <row r="1779" spans="13:13" ht="15" customHeight="1" x14ac:dyDescent="0.25">
      <c r="M1779" s="274"/>
    </row>
    <row r="1780" spans="13:13" ht="15" customHeight="1" x14ac:dyDescent="0.25">
      <c r="M1780" s="274"/>
    </row>
    <row r="1781" spans="13:13" ht="15" customHeight="1" x14ac:dyDescent="0.25">
      <c r="M1781" s="274"/>
    </row>
    <row r="1782" spans="13:13" ht="15" customHeight="1" x14ac:dyDescent="0.25">
      <c r="M1782" s="274"/>
    </row>
    <row r="1783" spans="13:13" ht="15" customHeight="1" x14ac:dyDescent="0.25">
      <c r="M1783" s="274"/>
    </row>
    <row r="1784" spans="13:13" ht="15" customHeight="1" x14ac:dyDescent="0.25">
      <c r="M1784" s="274"/>
    </row>
    <row r="1785" spans="13:13" ht="15" customHeight="1" x14ac:dyDescent="0.25">
      <c r="M1785" s="274"/>
    </row>
    <row r="1786" spans="13:13" ht="15" customHeight="1" x14ac:dyDescent="0.25">
      <c r="M1786" s="274"/>
    </row>
    <row r="1787" spans="13:13" ht="15" customHeight="1" x14ac:dyDescent="0.25">
      <c r="M1787" s="274"/>
    </row>
    <row r="1788" spans="13:13" ht="15" customHeight="1" x14ac:dyDescent="0.25">
      <c r="M1788" s="274"/>
    </row>
    <row r="1789" spans="13:13" ht="15" customHeight="1" x14ac:dyDescent="0.25">
      <c r="M1789" s="274"/>
    </row>
    <row r="1790" spans="13:13" ht="15" customHeight="1" x14ac:dyDescent="0.25">
      <c r="M1790" s="274"/>
    </row>
    <row r="1791" spans="13:13" ht="15" customHeight="1" x14ac:dyDescent="0.25">
      <c r="M1791" s="274"/>
    </row>
    <row r="1792" spans="13:13" ht="15" customHeight="1" x14ac:dyDescent="0.25">
      <c r="M1792" s="274"/>
    </row>
    <row r="1793" spans="13:13" ht="15" customHeight="1" x14ac:dyDescent="0.25">
      <c r="M1793" s="274"/>
    </row>
    <row r="1794" spans="13:13" ht="15" customHeight="1" x14ac:dyDescent="0.25">
      <c r="M1794" s="274"/>
    </row>
    <row r="1795" spans="13:13" ht="15" customHeight="1" x14ac:dyDescent="0.25">
      <c r="M1795" s="274"/>
    </row>
    <row r="1796" spans="13:13" ht="15" customHeight="1" x14ac:dyDescent="0.25">
      <c r="M1796" s="274"/>
    </row>
    <row r="1797" spans="13:13" ht="15" customHeight="1" x14ac:dyDescent="0.25">
      <c r="M1797" s="274"/>
    </row>
    <row r="1798" spans="13:13" ht="15" customHeight="1" x14ac:dyDescent="0.25">
      <c r="M1798" s="274"/>
    </row>
    <row r="1799" spans="13:13" ht="15" customHeight="1" x14ac:dyDescent="0.25">
      <c r="M1799" s="274"/>
    </row>
    <row r="1800" spans="13:13" ht="15" customHeight="1" x14ac:dyDescent="0.25">
      <c r="M1800" s="274"/>
    </row>
    <row r="1801" spans="13:13" ht="15" customHeight="1" x14ac:dyDescent="0.25">
      <c r="M1801" s="274"/>
    </row>
    <row r="1802" spans="13:13" ht="15" customHeight="1" x14ac:dyDescent="0.25">
      <c r="M1802" s="274"/>
    </row>
    <row r="1803" spans="13:13" ht="15" customHeight="1" x14ac:dyDescent="0.25">
      <c r="M1803" s="274"/>
    </row>
    <row r="1804" spans="13:13" ht="15" customHeight="1" x14ac:dyDescent="0.25">
      <c r="M1804" s="274"/>
    </row>
    <row r="1805" spans="13:13" ht="15" customHeight="1" x14ac:dyDescent="0.25">
      <c r="M1805" s="274"/>
    </row>
    <row r="1806" spans="13:13" ht="15" customHeight="1" x14ac:dyDescent="0.25">
      <c r="M1806" s="274"/>
    </row>
    <row r="1807" spans="13:13" ht="15" customHeight="1" x14ac:dyDescent="0.25">
      <c r="M1807" s="274"/>
    </row>
    <row r="1808" spans="13:13" ht="15" customHeight="1" x14ac:dyDescent="0.25">
      <c r="M1808" s="274"/>
    </row>
    <row r="1809" spans="13:13" ht="15" customHeight="1" x14ac:dyDescent="0.25">
      <c r="M1809" s="274"/>
    </row>
    <row r="1810" spans="13:13" ht="15" customHeight="1" x14ac:dyDescent="0.25">
      <c r="M1810" s="274"/>
    </row>
    <row r="1811" spans="13:13" ht="15" customHeight="1" x14ac:dyDescent="0.25">
      <c r="M1811" s="274"/>
    </row>
    <row r="1812" spans="13:13" ht="15" customHeight="1" x14ac:dyDescent="0.25">
      <c r="M1812" s="274"/>
    </row>
    <row r="1813" spans="13:13" ht="15" customHeight="1" x14ac:dyDescent="0.25">
      <c r="M1813" s="274"/>
    </row>
    <row r="1814" spans="13:13" ht="15" customHeight="1" x14ac:dyDescent="0.25">
      <c r="M1814" s="274"/>
    </row>
    <row r="1815" spans="13:13" ht="15" customHeight="1" x14ac:dyDescent="0.25">
      <c r="M1815" s="274"/>
    </row>
    <row r="1816" spans="13:13" ht="15" customHeight="1" x14ac:dyDescent="0.25">
      <c r="M1816" s="274"/>
    </row>
    <row r="1817" spans="13:13" ht="15" customHeight="1" x14ac:dyDescent="0.25">
      <c r="M1817" s="274"/>
    </row>
    <row r="1818" spans="13:13" ht="15" customHeight="1" x14ac:dyDescent="0.25">
      <c r="M1818" s="274"/>
    </row>
    <row r="1819" spans="13:13" ht="15" customHeight="1" x14ac:dyDescent="0.25">
      <c r="M1819" s="274"/>
    </row>
    <row r="1820" spans="13:13" ht="15" customHeight="1" x14ac:dyDescent="0.25">
      <c r="M1820" s="274"/>
    </row>
    <row r="1821" spans="13:13" ht="15" customHeight="1" x14ac:dyDescent="0.25">
      <c r="M1821" s="274"/>
    </row>
    <row r="1822" spans="13:13" ht="15" customHeight="1" x14ac:dyDescent="0.25">
      <c r="M1822" s="274"/>
    </row>
    <row r="1823" spans="13:13" ht="15" customHeight="1" x14ac:dyDescent="0.25">
      <c r="M1823" s="274"/>
    </row>
    <row r="1824" spans="13:13" ht="15" customHeight="1" x14ac:dyDescent="0.25">
      <c r="M1824" s="274"/>
    </row>
    <row r="1825" spans="13:13" ht="15" customHeight="1" x14ac:dyDescent="0.25">
      <c r="M1825" s="274"/>
    </row>
    <row r="1826" spans="13:13" ht="15" customHeight="1" x14ac:dyDescent="0.25">
      <c r="M1826" s="274"/>
    </row>
    <row r="1827" spans="13:13" ht="15" customHeight="1" x14ac:dyDescent="0.25">
      <c r="M1827" s="274"/>
    </row>
    <row r="1828" spans="13:13" ht="15" customHeight="1" x14ac:dyDescent="0.25">
      <c r="M1828" s="274"/>
    </row>
    <row r="1829" spans="13:13" ht="15" customHeight="1" x14ac:dyDescent="0.25">
      <c r="M1829" s="274"/>
    </row>
    <row r="1830" spans="13:13" ht="15" customHeight="1" x14ac:dyDescent="0.25">
      <c r="M1830" s="274"/>
    </row>
    <row r="1831" spans="13:13" ht="15" customHeight="1" x14ac:dyDescent="0.25">
      <c r="M1831" s="274"/>
    </row>
    <row r="1832" spans="13:13" ht="15" customHeight="1" x14ac:dyDescent="0.25">
      <c r="M1832" s="274"/>
    </row>
    <row r="1833" spans="13:13" ht="15" customHeight="1" x14ac:dyDescent="0.25">
      <c r="M1833" s="274"/>
    </row>
    <row r="1834" spans="13:13" ht="15" customHeight="1" x14ac:dyDescent="0.25">
      <c r="M1834" s="274"/>
    </row>
    <row r="1835" spans="13:13" ht="15" customHeight="1" x14ac:dyDescent="0.25">
      <c r="M1835" s="274"/>
    </row>
    <row r="1836" spans="13:13" ht="15" customHeight="1" x14ac:dyDescent="0.25">
      <c r="M1836" s="274"/>
    </row>
    <row r="1837" spans="13:13" ht="15" customHeight="1" x14ac:dyDescent="0.25">
      <c r="M1837" s="274"/>
    </row>
    <row r="1838" spans="13:13" ht="15" customHeight="1" x14ac:dyDescent="0.25">
      <c r="M1838" s="274"/>
    </row>
    <row r="1839" spans="13:13" ht="15" customHeight="1" x14ac:dyDescent="0.25">
      <c r="M1839" s="274"/>
    </row>
    <row r="1840" spans="13:13" ht="15" customHeight="1" x14ac:dyDescent="0.25">
      <c r="M1840" s="274"/>
    </row>
    <row r="1841" spans="13:13" ht="15" customHeight="1" x14ac:dyDescent="0.25">
      <c r="M1841" s="274"/>
    </row>
    <row r="1842" spans="13:13" ht="15" customHeight="1" x14ac:dyDescent="0.25">
      <c r="M1842" s="274"/>
    </row>
    <row r="1843" spans="13:13" ht="15" customHeight="1" x14ac:dyDescent="0.25">
      <c r="M1843" s="274"/>
    </row>
    <row r="1844" spans="13:13" ht="15" customHeight="1" x14ac:dyDescent="0.25">
      <c r="M1844" s="274"/>
    </row>
    <row r="1845" spans="13:13" ht="15" customHeight="1" x14ac:dyDescent="0.25">
      <c r="M1845" s="274"/>
    </row>
    <row r="1846" spans="13:13" ht="15" customHeight="1" x14ac:dyDescent="0.25">
      <c r="M1846" s="274"/>
    </row>
    <row r="1847" spans="13:13" ht="15" customHeight="1" x14ac:dyDescent="0.25">
      <c r="M1847" s="274"/>
    </row>
    <row r="1848" spans="13:13" ht="15" customHeight="1" x14ac:dyDescent="0.25">
      <c r="M1848" s="274"/>
    </row>
    <row r="1849" spans="13:13" ht="15" customHeight="1" x14ac:dyDescent="0.25">
      <c r="M1849" s="274"/>
    </row>
    <row r="1850" spans="13:13" ht="15" customHeight="1" x14ac:dyDescent="0.25">
      <c r="M1850" s="274"/>
    </row>
    <row r="1851" spans="13:13" ht="15" customHeight="1" x14ac:dyDescent="0.25">
      <c r="M1851" s="274"/>
    </row>
    <row r="1852" spans="13:13" ht="15" customHeight="1" x14ac:dyDescent="0.25">
      <c r="M1852" s="274"/>
    </row>
    <row r="1853" spans="13:13" ht="15" customHeight="1" x14ac:dyDescent="0.25">
      <c r="M1853" s="274"/>
    </row>
    <row r="1854" spans="13:13" ht="15" customHeight="1" x14ac:dyDescent="0.25">
      <c r="M1854" s="274"/>
    </row>
    <row r="1855" spans="13:13" ht="15" customHeight="1" x14ac:dyDescent="0.25">
      <c r="M1855" s="274"/>
    </row>
    <row r="1856" spans="13:13" ht="15" customHeight="1" x14ac:dyDescent="0.25">
      <c r="M1856" s="274"/>
    </row>
    <row r="1857" spans="13:13" ht="15" customHeight="1" x14ac:dyDescent="0.25">
      <c r="M1857" s="274"/>
    </row>
    <row r="1858" spans="13:13" ht="15" customHeight="1" x14ac:dyDescent="0.25">
      <c r="M1858" s="274"/>
    </row>
    <row r="1859" spans="13:13" ht="15" customHeight="1" x14ac:dyDescent="0.25">
      <c r="M1859" s="274"/>
    </row>
    <row r="1860" spans="13:13" ht="15" customHeight="1" x14ac:dyDescent="0.25">
      <c r="M1860" s="274"/>
    </row>
    <row r="1861" spans="13:13" ht="15" customHeight="1" x14ac:dyDescent="0.25">
      <c r="M1861" s="274"/>
    </row>
    <row r="1862" spans="13:13" ht="15" customHeight="1" x14ac:dyDescent="0.25">
      <c r="M1862" s="274"/>
    </row>
    <row r="1863" spans="13:13" ht="15" customHeight="1" x14ac:dyDescent="0.25">
      <c r="M1863" s="274"/>
    </row>
    <row r="1864" spans="13:13" ht="15" customHeight="1" x14ac:dyDescent="0.25">
      <c r="M1864" s="274"/>
    </row>
    <row r="1865" spans="13:13" ht="15" customHeight="1" x14ac:dyDescent="0.25">
      <c r="M1865" s="274"/>
    </row>
    <row r="1866" spans="13:13" ht="15" customHeight="1" x14ac:dyDescent="0.25">
      <c r="M1866" s="274"/>
    </row>
    <row r="1867" spans="13:13" ht="15" customHeight="1" x14ac:dyDescent="0.25">
      <c r="M1867" s="274"/>
    </row>
    <row r="1868" spans="13:13" ht="15" customHeight="1" x14ac:dyDescent="0.25">
      <c r="M1868" s="274"/>
    </row>
    <row r="1869" spans="13:13" ht="15" customHeight="1" x14ac:dyDescent="0.25">
      <c r="M1869" s="274"/>
    </row>
    <row r="1870" spans="13:13" ht="15" customHeight="1" x14ac:dyDescent="0.25">
      <c r="M1870" s="274"/>
    </row>
    <row r="1871" spans="13:13" ht="15" customHeight="1" x14ac:dyDescent="0.25">
      <c r="M1871" s="274"/>
    </row>
    <row r="1872" spans="13:13" ht="15" customHeight="1" x14ac:dyDescent="0.25">
      <c r="M1872" s="274"/>
    </row>
    <row r="1873" spans="13:13" ht="15" customHeight="1" x14ac:dyDescent="0.25">
      <c r="M1873" s="274"/>
    </row>
    <row r="1874" spans="13:13" ht="15" customHeight="1" x14ac:dyDescent="0.25">
      <c r="M1874" s="274"/>
    </row>
    <row r="1875" spans="13:13" ht="15" customHeight="1" x14ac:dyDescent="0.25">
      <c r="M1875" s="274"/>
    </row>
    <row r="1876" spans="13:13" ht="15" customHeight="1" x14ac:dyDescent="0.25">
      <c r="M1876" s="274"/>
    </row>
    <row r="1877" spans="13:13" ht="15" customHeight="1" x14ac:dyDescent="0.25">
      <c r="M1877" s="274"/>
    </row>
    <row r="1878" spans="13:13" ht="15" customHeight="1" x14ac:dyDescent="0.25">
      <c r="M1878" s="274"/>
    </row>
    <row r="1879" spans="13:13" ht="15" customHeight="1" x14ac:dyDescent="0.25">
      <c r="M1879" s="274"/>
    </row>
    <row r="1880" spans="13:13" ht="15" customHeight="1" x14ac:dyDescent="0.25">
      <c r="M1880" s="274"/>
    </row>
    <row r="1881" spans="13:13" ht="15" customHeight="1" x14ac:dyDescent="0.25">
      <c r="M1881" s="274"/>
    </row>
    <row r="1882" spans="13:13" ht="15" customHeight="1" x14ac:dyDescent="0.25">
      <c r="M1882" s="274"/>
    </row>
    <row r="1883" spans="13:13" ht="15" customHeight="1" x14ac:dyDescent="0.25">
      <c r="M1883" s="274"/>
    </row>
    <row r="1884" spans="13:13" ht="15" customHeight="1" x14ac:dyDescent="0.25">
      <c r="M1884" s="274"/>
    </row>
    <row r="1885" spans="13:13" ht="15" customHeight="1" x14ac:dyDescent="0.25">
      <c r="M1885" s="274"/>
    </row>
    <row r="1886" spans="13:13" ht="15" customHeight="1" x14ac:dyDescent="0.25">
      <c r="M1886" s="274"/>
    </row>
    <row r="1887" spans="13:13" ht="15" customHeight="1" x14ac:dyDescent="0.25">
      <c r="M1887" s="274"/>
    </row>
    <row r="1888" spans="13:13" ht="15" customHeight="1" x14ac:dyDescent="0.25">
      <c r="M1888" s="274"/>
    </row>
    <row r="1889" spans="13:13" ht="15" customHeight="1" x14ac:dyDescent="0.25">
      <c r="M1889" s="274"/>
    </row>
    <row r="1890" spans="13:13" ht="15" customHeight="1" x14ac:dyDescent="0.25">
      <c r="M1890" s="274"/>
    </row>
    <row r="1891" spans="13:13" ht="15" customHeight="1" x14ac:dyDescent="0.25">
      <c r="M1891" s="274"/>
    </row>
    <row r="1892" spans="13:13" ht="15" customHeight="1" x14ac:dyDescent="0.25">
      <c r="M1892" s="274"/>
    </row>
    <row r="1893" spans="13:13" ht="15" customHeight="1" x14ac:dyDescent="0.25">
      <c r="M1893" s="274"/>
    </row>
    <row r="1894" spans="13:13" ht="15" customHeight="1" x14ac:dyDescent="0.25">
      <c r="M1894" s="274"/>
    </row>
    <row r="1895" spans="13:13" ht="15" customHeight="1" x14ac:dyDescent="0.25">
      <c r="M1895" s="274"/>
    </row>
    <row r="1896" spans="13:13" ht="15" customHeight="1" x14ac:dyDescent="0.25">
      <c r="M1896" s="274"/>
    </row>
    <row r="1897" spans="13:13" ht="15" customHeight="1" x14ac:dyDescent="0.25">
      <c r="M1897" s="274"/>
    </row>
    <row r="1898" spans="13:13" ht="15" customHeight="1" x14ac:dyDescent="0.25">
      <c r="M1898" s="274"/>
    </row>
    <row r="1899" spans="13:13" ht="15" customHeight="1" x14ac:dyDescent="0.25">
      <c r="M1899" s="274"/>
    </row>
    <row r="1900" spans="13:13" ht="15" customHeight="1" x14ac:dyDescent="0.25">
      <c r="M1900" s="274"/>
    </row>
    <row r="1901" spans="13:13" ht="15" customHeight="1" x14ac:dyDescent="0.25">
      <c r="M1901" s="274"/>
    </row>
    <row r="1902" spans="13:13" ht="15" customHeight="1" x14ac:dyDescent="0.25">
      <c r="M1902" s="274"/>
    </row>
    <row r="1903" spans="13:13" ht="15" customHeight="1" x14ac:dyDescent="0.25">
      <c r="M1903" s="274"/>
    </row>
    <row r="1904" spans="13:13" ht="15" customHeight="1" x14ac:dyDescent="0.25">
      <c r="M1904" s="274"/>
    </row>
    <row r="1905" spans="2:13" ht="15" customHeight="1" x14ac:dyDescent="0.25">
      <c r="B1905" s="260"/>
      <c r="G1905" s="297"/>
      <c r="I1905" s="266"/>
      <c r="K1905" s="268"/>
      <c r="M1905" s="274"/>
    </row>
    <row r="1906" spans="2:13" ht="15" customHeight="1" x14ac:dyDescent="0.25">
      <c r="B1906" s="260"/>
      <c r="G1906" s="297"/>
      <c r="I1906" s="266"/>
      <c r="K1906" s="268"/>
      <c r="M1906" s="274"/>
    </row>
    <row r="1907" spans="2:13" ht="15" customHeight="1" x14ac:dyDescent="0.25">
      <c r="B1907" s="260"/>
      <c r="I1907" s="266"/>
      <c r="K1907" s="268"/>
      <c r="M1907" s="274"/>
    </row>
    <row r="1908" spans="2:13" ht="15" customHeight="1" x14ac:dyDescent="0.25">
      <c r="B1908" s="260"/>
      <c r="I1908" s="266"/>
      <c r="K1908" s="268"/>
      <c r="M1908" s="274"/>
    </row>
    <row r="1909" spans="2:13" ht="15" customHeight="1" x14ac:dyDescent="0.25">
      <c r="B1909" s="260"/>
      <c r="I1909" s="266"/>
      <c r="K1909" s="268"/>
      <c r="M1909" s="274"/>
    </row>
    <row r="1910" spans="2:13" ht="15" customHeight="1" x14ac:dyDescent="0.25">
      <c r="B1910" s="260"/>
      <c r="I1910" s="266"/>
      <c r="K1910" s="268"/>
      <c r="M1910" s="274"/>
    </row>
    <row r="1911" spans="2:13" ht="15" customHeight="1" x14ac:dyDescent="0.25">
      <c r="B1911" s="260"/>
      <c r="E1911" s="291"/>
      <c r="F1911" s="293"/>
      <c r="I1911" s="266"/>
      <c r="K1911" s="268"/>
      <c r="M1911" s="274"/>
    </row>
    <row r="1912" spans="2:13" ht="15" customHeight="1" x14ac:dyDescent="0.25">
      <c r="B1912" s="260"/>
      <c r="C1912" s="290"/>
      <c r="E1912" s="291"/>
      <c r="F1912" s="262"/>
      <c r="G1912" s="297"/>
      <c r="H1912" s="299"/>
      <c r="I1912" s="266"/>
      <c r="K1912" s="268"/>
      <c r="M1912" s="274"/>
    </row>
    <row r="1913" spans="2:13" ht="15" customHeight="1" x14ac:dyDescent="0.25">
      <c r="B1913" s="260"/>
      <c r="G1913" s="297"/>
      <c r="I1913" s="266"/>
      <c r="K1913" s="268"/>
      <c r="M1913" s="274"/>
    </row>
    <row r="1914" spans="2:13" ht="15" customHeight="1" x14ac:dyDescent="0.25">
      <c r="B1914" s="260"/>
      <c r="G1914" s="297"/>
      <c r="I1914" s="266"/>
      <c r="K1914" s="268"/>
      <c r="M1914" s="274"/>
    </row>
    <row r="1915" spans="2:13" ht="15" customHeight="1" x14ac:dyDescent="0.25">
      <c r="B1915" s="260"/>
      <c r="G1915" s="297"/>
      <c r="I1915" s="266"/>
      <c r="K1915" s="268"/>
      <c r="M1915" s="274"/>
    </row>
    <row r="1916" spans="2:13" ht="15" customHeight="1" x14ac:dyDescent="0.25">
      <c r="B1916" s="260"/>
      <c r="G1916" s="297"/>
      <c r="I1916" s="266"/>
      <c r="K1916" s="268"/>
      <c r="M1916" s="274"/>
    </row>
    <row r="1917" spans="2:13" ht="15" customHeight="1" x14ac:dyDescent="0.25">
      <c r="B1917" s="260"/>
      <c r="G1917" s="297"/>
      <c r="I1917" s="266"/>
      <c r="K1917" s="268"/>
      <c r="M1917" s="274"/>
    </row>
    <row r="1918" spans="2:13" ht="15" customHeight="1" x14ac:dyDescent="0.25">
      <c r="B1918" s="260"/>
      <c r="G1918" s="297"/>
      <c r="I1918" s="266"/>
      <c r="K1918" s="268"/>
      <c r="M1918" s="274"/>
    </row>
    <row r="1919" spans="2:13" ht="15" customHeight="1" x14ac:dyDescent="0.25">
      <c r="B1919" s="260"/>
      <c r="I1919" s="266"/>
      <c r="K1919" s="268"/>
      <c r="M1919" s="274"/>
    </row>
    <row r="1920" spans="2:13" ht="15" customHeight="1" x14ac:dyDescent="0.25">
      <c r="B1920" s="260"/>
      <c r="I1920" s="266"/>
      <c r="K1920" s="268"/>
      <c r="M1920" s="274"/>
    </row>
    <row r="1921" spans="2:13" ht="15" customHeight="1" x14ac:dyDescent="0.25">
      <c r="B1921" s="260"/>
      <c r="I1921" s="266"/>
      <c r="K1921" s="268"/>
      <c r="M1921" s="274"/>
    </row>
    <row r="1922" spans="2:13" ht="15" customHeight="1" x14ac:dyDescent="0.25">
      <c r="M1922" s="274"/>
    </row>
    <row r="1923" spans="2:13" ht="15" customHeight="1" x14ac:dyDescent="0.25">
      <c r="M1923" s="274"/>
    </row>
    <row r="1924" spans="2:13" ht="15" customHeight="1" x14ac:dyDescent="0.25">
      <c r="M1924" s="274"/>
    </row>
    <row r="1925" spans="2:13" ht="15" customHeight="1" x14ac:dyDescent="0.25">
      <c r="M1925" s="274"/>
    </row>
    <row r="1926" spans="2:13" ht="15" customHeight="1" x14ac:dyDescent="0.25">
      <c r="M1926" s="274"/>
    </row>
    <row r="1927" spans="2:13" ht="15" customHeight="1" x14ac:dyDescent="0.25">
      <c r="M1927" s="274"/>
    </row>
    <row r="1928" spans="2:13" ht="15" customHeight="1" x14ac:dyDescent="0.25">
      <c r="M1928" s="274"/>
    </row>
    <row r="1929" spans="2:13" ht="15" customHeight="1" x14ac:dyDescent="0.25">
      <c r="M1929" s="274"/>
    </row>
    <row r="1930" spans="2:13" ht="15" customHeight="1" x14ac:dyDescent="0.25">
      <c r="M1930" s="274"/>
    </row>
    <row r="1931" spans="2:13" ht="15" customHeight="1" x14ac:dyDescent="0.25">
      <c r="M1931" s="274"/>
    </row>
    <row r="1932" spans="2:13" ht="15" customHeight="1" x14ac:dyDescent="0.25">
      <c r="M1932" s="274"/>
    </row>
    <row r="1933" spans="2:13" ht="15" customHeight="1" x14ac:dyDescent="0.25">
      <c r="M1933" s="274"/>
    </row>
    <row r="1934" spans="2:13" ht="15" customHeight="1" x14ac:dyDescent="0.25">
      <c r="M1934" s="274"/>
    </row>
    <row r="1935" spans="2:13" ht="15" customHeight="1" x14ac:dyDescent="0.25">
      <c r="M1935" s="274"/>
    </row>
    <row r="1936" spans="2:13" ht="15" customHeight="1" x14ac:dyDescent="0.25">
      <c r="M1936" s="274"/>
    </row>
    <row r="1937" spans="13:13" ht="15" customHeight="1" x14ac:dyDescent="0.25">
      <c r="M1937" s="274"/>
    </row>
    <row r="1938" spans="13:13" ht="15" customHeight="1" x14ac:dyDescent="0.25">
      <c r="M1938" s="274"/>
    </row>
    <row r="1939" spans="13:13" ht="15" customHeight="1" x14ac:dyDescent="0.25">
      <c r="M1939" s="274"/>
    </row>
    <row r="1940" spans="13:13" ht="15" customHeight="1" x14ac:dyDescent="0.25">
      <c r="M1940" s="274"/>
    </row>
    <row r="1941" spans="13:13" ht="15" customHeight="1" x14ac:dyDescent="0.25">
      <c r="M1941" s="274"/>
    </row>
    <row r="1942" spans="13:13" ht="15" customHeight="1" x14ac:dyDescent="0.25">
      <c r="M1942" s="274"/>
    </row>
    <row r="1943" spans="13:13" ht="15" customHeight="1" x14ac:dyDescent="0.25">
      <c r="M1943" s="274"/>
    </row>
    <row r="1944" spans="13:13" ht="15" customHeight="1" x14ac:dyDescent="0.25">
      <c r="M1944" s="274"/>
    </row>
    <row r="1945" spans="13:13" ht="15" customHeight="1" x14ac:dyDescent="0.25">
      <c r="M1945" s="274"/>
    </row>
    <row r="1946" spans="13:13" ht="15" customHeight="1" x14ac:dyDescent="0.25">
      <c r="M1946" s="274"/>
    </row>
    <row r="1947" spans="13:13" ht="15" customHeight="1" x14ac:dyDescent="0.25">
      <c r="M1947" s="274"/>
    </row>
    <row r="1948" spans="13:13" ht="15" customHeight="1" x14ac:dyDescent="0.25">
      <c r="M1948" s="274"/>
    </row>
    <row r="1949" spans="13:13" ht="15" customHeight="1" x14ac:dyDescent="0.25">
      <c r="M1949" s="274"/>
    </row>
    <row r="1950" spans="13:13" ht="15" customHeight="1" x14ac:dyDescent="0.25">
      <c r="M1950" s="274"/>
    </row>
    <row r="1951" spans="13:13" ht="15" customHeight="1" x14ac:dyDescent="0.25">
      <c r="M1951" s="274"/>
    </row>
    <row r="1952" spans="13:13" ht="15" customHeight="1" x14ac:dyDescent="0.25">
      <c r="M1952" s="274"/>
    </row>
    <row r="1953" spans="13:13" ht="15" customHeight="1" x14ac:dyDescent="0.25">
      <c r="M1953" s="274"/>
    </row>
    <row r="1954" spans="13:13" ht="15" customHeight="1" x14ac:dyDescent="0.25">
      <c r="M1954" s="274"/>
    </row>
    <row r="1955" spans="13:13" ht="15" customHeight="1" x14ac:dyDescent="0.25">
      <c r="M1955" s="274"/>
    </row>
    <row r="1956" spans="13:13" ht="15" customHeight="1" x14ac:dyDescent="0.25">
      <c r="M1956" s="274"/>
    </row>
    <row r="1957" spans="13:13" ht="15" customHeight="1" x14ac:dyDescent="0.25">
      <c r="M1957" s="274"/>
    </row>
    <row r="1958" spans="13:13" ht="15" customHeight="1" x14ac:dyDescent="0.25">
      <c r="M1958" s="274"/>
    </row>
    <row r="1959" spans="13:13" ht="15" customHeight="1" x14ac:dyDescent="0.25">
      <c r="M1959" s="274"/>
    </row>
    <row r="1960" spans="13:13" ht="15" customHeight="1" x14ac:dyDescent="0.25">
      <c r="M1960" s="274"/>
    </row>
    <row r="1961" spans="13:13" ht="15" customHeight="1" x14ac:dyDescent="0.25">
      <c r="M1961" s="274"/>
    </row>
    <row r="1962" spans="13:13" ht="15" customHeight="1" x14ac:dyDescent="0.25">
      <c r="M1962" s="274"/>
    </row>
    <row r="1963" spans="13:13" ht="15" customHeight="1" x14ac:dyDescent="0.25">
      <c r="M1963" s="274"/>
    </row>
    <row r="1964" spans="13:13" ht="15" customHeight="1" x14ac:dyDescent="0.25">
      <c r="M1964" s="274"/>
    </row>
    <row r="1965" spans="13:13" ht="15" customHeight="1" x14ac:dyDescent="0.25">
      <c r="M1965" s="274"/>
    </row>
    <row r="1966" spans="13:13" ht="15" customHeight="1" x14ac:dyDescent="0.25">
      <c r="M1966" s="274"/>
    </row>
    <row r="1967" spans="13:13" ht="15" customHeight="1" x14ac:dyDescent="0.25">
      <c r="M1967" s="274"/>
    </row>
    <row r="1968" spans="13:13" ht="15" customHeight="1" x14ac:dyDescent="0.25">
      <c r="M1968" s="274"/>
    </row>
    <row r="1969" spans="13:13" ht="15" customHeight="1" x14ac:dyDescent="0.25">
      <c r="M1969" s="274"/>
    </row>
    <row r="1970" spans="13:13" ht="15" customHeight="1" x14ac:dyDescent="0.25">
      <c r="M1970" s="274"/>
    </row>
    <row r="1971" spans="13:13" ht="15" customHeight="1" x14ac:dyDescent="0.25">
      <c r="M1971" s="274"/>
    </row>
    <row r="1972" spans="13:13" ht="15" customHeight="1" x14ac:dyDescent="0.25">
      <c r="M1972" s="274"/>
    </row>
    <row r="1973" spans="13:13" ht="15" customHeight="1" x14ac:dyDescent="0.25">
      <c r="M1973" s="274"/>
    </row>
    <row r="1974" spans="13:13" ht="15" customHeight="1" x14ac:dyDescent="0.25">
      <c r="M1974" s="274"/>
    </row>
    <row r="1975" spans="13:13" ht="15" customHeight="1" x14ac:dyDescent="0.25">
      <c r="M1975" s="274"/>
    </row>
    <row r="1976" spans="13:13" ht="15" customHeight="1" x14ac:dyDescent="0.25">
      <c r="M1976" s="274"/>
    </row>
    <row r="1977" spans="13:13" ht="15" customHeight="1" x14ac:dyDescent="0.25">
      <c r="M1977" s="274"/>
    </row>
    <row r="1978" spans="13:13" ht="15" customHeight="1" x14ac:dyDescent="0.25">
      <c r="M1978" s="274"/>
    </row>
    <row r="1979" spans="13:13" ht="15" customHeight="1" x14ac:dyDescent="0.25">
      <c r="M1979" s="274"/>
    </row>
    <row r="1980" spans="13:13" ht="15" customHeight="1" x14ac:dyDescent="0.25">
      <c r="M1980" s="274"/>
    </row>
    <row r="1981" spans="13:13" ht="15" customHeight="1" x14ac:dyDescent="0.25">
      <c r="M1981" s="274"/>
    </row>
    <row r="1982" spans="13:13" ht="15" customHeight="1" x14ac:dyDescent="0.25">
      <c r="M1982" s="274"/>
    </row>
    <row r="1983" spans="13:13" ht="15" customHeight="1" x14ac:dyDescent="0.25">
      <c r="M1983" s="274"/>
    </row>
    <row r="1984" spans="13:13" ht="15" customHeight="1" x14ac:dyDescent="0.25">
      <c r="M1984" s="274"/>
    </row>
    <row r="1985" spans="13:13" ht="15" customHeight="1" x14ac:dyDescent="0.25">
      <c r="M1985" s="274"/>
    </row>
    <row r="1986" spans="13:13" ht="15" customHeight="1" x14ac:dyDescent="0.25">
      <c r="M1986" s="274"/>
    </row>
    <row r="1987" spans="13:13" ht="15" customHeight="1" x14ac:dyDescent="0.25">
      <c r="M1987" s="274"/>
    </row>
    <row r="1988" spans="13:13" ht="15" customHeight="1" x14ac:dyDescent="0.25">
      <c r="M1988" s="274"/>
    </row>
    <row r="1989" spans="13:13" ht="15" customHeight="1" x14ac:dyDescent="0.25">
      <c r="M1989" s="274"/>
    </row>
    <row r="1990" spans="13:13" ht="15" customHeight="1" x14ac:dyDescent="0.25">
      <c r="M1990" s="274"/>
    </row>
    <row r="1991" spans="13:13" ht="15" customHeight="1" x14ac:dyDescent="0.25">
      <c r="M1991" s="274"/>
    </row>
    <row r="1992" spans="13:13" ht="15" customHeight="1" x14ac:dyDescent="0.25">
      <c r="M1992" s="274"/>
    </row>
    <row r="1993" spans="13:13" ht="15" customHeight="1" x14ac:dyDescent="0.25">
      <c r="M1993" s="274"/>
    </row>
    <row r="1994" spans="13:13" ht="15" customHeight="1" x14ac:dyDescent="0.25">
      <c r="M1994" s="274"/>
    </row>
    <row r="1995" spans="13:13" ht="15" customHeight="1" x14ac:dyDescent="0.25">
      <c r="M1995" s="274"/>
    </row>
    <row r="1996" spans="13:13" ht="15" customHeight="1" x14ac:dyDescent="0.25">
      <c r="M1996" s="274"/>
    </row>
    <row r="1997" spans="13:13" ht="15" customHeight="1" x14ac:dyDescent="0.25">
      <c r="M1997" s="274"/>
    </row>
    <row r="1998" spans="13:13" ht="15" customHeight="1" x14ac:dyDescent="0.25">
      <c r="M1998" s="274"/>
    </row>
    <row r="1999" spans="13:13" ht="15" customHeight="1" x14ac:dyDescent="0.25">
      <c r="M1999" s="274"/>
    </row>
    <row r="2000" spans="13:13" ht="15" customHeight="1" x14ac:dyDescent="0.25">
      <c r="M2000" s="274"/>
    </row>
    <row r="2001" spans="13:13" ht="15" customHeight="1" x14ac:dyDescent="0.25">
      <c r="M2001" s="274"/>
    </row>
    <row r="2002" spans="13:13" ht="15" customHeight="1" x14ac:dyDescent="0.25">
      <c r="M2002" s="274"/>
    </row>
    <row r="2003" spans="13:13" ht="15" customHeight="1" x14ac:dyDescent="0.25">
      <c r="M2003" s="274"/>
    </row>
    <row r="2004" spans="13:13" ht="15" customHeight="1" x14ac:dyDescent="0.25">
      <c r="M2004" s="274"/>
    </row>
    <row r="2005" spans="13:13" ht="15" customHeight="1" x14ac:dyDescent="0.25">
      <c r="M2005" s="274"/>
    </row>
    <row r="2006" spans="13:13" ht="15" customHeight="1" x14ac:dyDescent="0.25">
      <c r="M2006" s="274"/>
    </row>
    <row r="2007" spans="13:13" ht="15" customHeight="1" x14ac:dyDescent="0.25">
      <c r="M2007" s="274"/>
    </row>
    <row r="2008" spans="13:13" ht="15" customHeight="1" x14ac:dyDescent="0.25">
      <c r="M2008" s="274"/>
    </row>
    <row r="2009" spans="13:13" ht="15" customHeight="1" x14ac:dyDescent="0.25">
      <c r="M2009" s="274"/>
    </row>
    <row r="2010" spans="13:13" ht="15" customHeight="1" x14ac:dyDescent="0.25">
      <c r="M2010" s="274"/>
    </row>
    <row r="2011" spans="13:13" ht="15" customHeight="1" x14ac:dyDescent="0.25">
      <c r="M2011" s="274"/>
    </row>
    <row r="2012" spans="13:13" ht="15" customHeight="1" x14ac:dyDescent="0.25">
      <c r="M2012" s="274"/>
    </row>
    <row r="2013" spans="13:13" ht="15" customHeight="1" x14ac:dyDescent="0.25">
      <c r="M2013" s="274"/>
    </row>
    <row r="2014" spans="13:13" ht="15" customHeight="1" x14ac:dyDescent="0.25">
      <c r="M2014" s="274"/>
    </row>
    <row r="2015" spans="13:13" ht="15" customHeight="1" x14ac:dyDescent="0.25">
      <c r="M2015" s="274"/>
    </row>
    <row r="2016" spans="13:13" ht="15" customHeight="1" x14ac:dyDescent="0.25">
      <c r="M2016" s="274"/>
    </row>
    <row r="2017" spans="13:13" ht="15" customHeight="1" x14ac:dyDescent="0.25">
      <c r="M2017" s="274"/>
    </row>
    <row r="2018" spans="13:13" ht="15" customHeight="1" x14ac:dyDescent="0.25">
      <c r="M2018" s="274"/>
    </row>
    <row r="2019" spans="13:13" ht="15" customHeight="1" x14ac:dyDescent="0.25">
      <c r="M2019" s="274"/>
    </row>
    <row r="2020" spans="13:13" ht="15" customHeight="1" x14ac:dyDescent="0.25">
      <c r="M2020" s="274"/>
    </row>
    <row r="2021" spans="13:13" ht="15" customHeight="1" x14ac:dyDescent="0.25">
      <c r="M2021" s="274"/>
    </row>
    <row r="2022" spans="13:13" ht="15" customHeight="1" x14ac:dyDescent="0.25">
      <c r="M2022" s="274"/>
    </row>
    <row r="2023" spans="13:13" ht="15" customHeight="1" x14ac:dyDescent="0.25">
      <c r="M2023" s="274"/>
    </row>
    <row r="2024" spans="13:13" ht="15" customHeight="1" x14ac:dyDescent="0.25">
      <c r="M2024" s="274"/>
    </row>
    <row r="2025" spans="13:13" ht="15" customHeight="1" x14ac:dyDescent="0.25">
      <c r="M2025" s="274"/>
    </row>
    <row r="2026" spans="13:13" ht="15" customHeight="1" x14ac:dyDescent="0.25">
      <c r="M2026" s="274"/>
    </row>
    <row r="2027" spans="13:13" ht="15" customHeight="1" x14ac:dyDescent="0.25">
      <c r="M2027" s="274"/>
    </row>
    <row r="2028" spans="13:13" ht="15" customHeight="1" x14ac:dyDescent="0.25">
      <c r="M2028" s="274"/>
    </row>
    <row r="2029" spans="13:13" ht="15" customHeight="1" x14ac:dyDescent="0.25">
      <c r="M2029" s="274"/>
    </row>
    <row r="2030" spans="13:13" ht="15" customHeight="1" x14ac:dyDescent="0.25">
      <c r="M2030" s="274"/>
    </row>
    <row r="2031" spans="13:13" ht="15" customHeight="1" x14ac:dyDescent="0.25">
      <c r="M2031" s="274"/>
    </row>
    <row r="2032" spans="13:13" ht="15" customHeight="1" x14ac:dyDescent="0.25">
      <c r="M2032" s="274"/>
    </row>
    <row r="2033" spans="2:13" ht="15" customHeight="1" x14ac:dyDescent="0.25">
      <c r="M2033" s="274"/>
    </row>
    <row r="2034" spans="2:13" ht="15" customHeight="1" x14ac:dyDescent="0.25">
      <c r="M2034" s="274"/>
    </row>
    <row r="2035" spans="2:13" ht="15" customHeight="1" x14ac:dyDescent="0.25">
      <c r="M2035" s="274"/>
    </row>
    <row r="2036" spans="2:13" ht="15" customHeight="1" x14ac:dyDescent="0.25">
      <c r="M2036" s="274"/>
    </row>
    <row r="2037" spans="2:13" ht="15" customHeight="1" x14ac:dyDescent="0.25">
      <c r="M2037" s="274"/>
    </row>
    <row r="2038" spans="2:13" ht="15" customHeight="1" x14ac:dyDescent="0.25">
      <c r="M2038" s="274"/>
    </row>
    <row r="2039" spans="2:13" ht="15" customHeight="1" x14ac:dyDescent="0.25">
      <c r="M2039" s="274"/>
    </row>
    <row r="2040" spans="2:13" ht="15" customHeight="1" x14ac:dyDescent="0.25">
      <c r="M2040" s="274"/>
    </row>
    <row r="2041" spans="2:13" ht="15" customHeight="1" x14ac:dyDescent="0.25">
      <c r="M2041" s="274"/>
    </row>
    <row r="2042" spans="2:13" ht="15" customHeight="1" x14ac:dyDescent="0.25">
      <c r="M2042" s="274"/>
    </row>
    <row r="2043" spans="2:13" ht="15" customHeight="1" x14ac:dyDescent="0.25">
      <c r="M2043" s="274"/>
    </row>
    <row r="2044" spans="2:13" ht="15" customHeight="1" x14ac:dyDescent="0.25">
      <c r="M2044" s="274"/>
    </row>
    <row r="2045" spans="2:13" ht="15" customHeight="1" x14ac:dyDescent="0.25">
      <c r="M2045" s="274"/>
    </row>
    <row r="2046" spans="2:13" ht="15" customHeight="1" x14ac:dyDescent="0.25">
      <c r="B2046" s="289">
        <v>3422</v>
      </c>
      <c r="C2046" s="261">
        <v>123</v>
      </c>
      <c r="D2046" s="244" t="s">
        <v>12</v>
      </c>
      <c r="E2046" s="263">
        <v>79</v>
      </c>
      <c r="F2046" s="294" t="s">
        <v>126</v>
      </c>
      <c r="G2046" s="294" t="s">
        <v>156</v>
      </c>
      <c r="H2046" s="298">
        <v>1</v>
      </c>
      <c r="M2046" s="274"/>
    </row>
    <row r="2047" spans="2:13" ht="15" customHeight="1" x14ac:dyDescent="0.25">
      <c r="B2047" s="289">
        <v>3423</v>
      </c>
      <c r="C2047" s="261">
        <v>123</v>
      </c>
      <c r="D2047" s="244" t="s">
        <v>12</v>
      </c>
      <c r="E2047" s="263">
        <v>79</v>
      </c>
      <c r="F2047" s="294" t="s">
        <v>126</v>
      </c>
      <c r="G2047" s="294" t="s">
        <v>157</v>
      </c>
      <c r="H2047" s="298">
        <v>1</v>
      </c>
      <c r="M2047" s="274"/>
    </row>
    <row r="2048" spans="2:13" ht="15" customHeight="1" x14ac:dyDescent="0.25">
      <c r="B2048" s="289">
        <v>3424</v>
      </c>
      <c r="C2048" s="261">
        <v>123</v>
      </c>
      <c r="D2048" s="244" t="s">
        <v>12</v>
      </c>
      <c r="E2048" s="263">
        <v>97</v>
      </c>
      <c r="F2048" s="294" t="s">
        <v>126</v>
      </c>
      <c r="G2048" s="294" t="s">
        <v>158</v>
      </c>
      <c r="H2048" s="298">
        <v>1</v>
      </c>
      <c r="M2048" s="274"/>
    </row>
    <row r="2049" spans="2:13" ht="15" customHeight="1" x14ac:dyDescent="0.25">
      <c r="B2049" s="289">
        <v>3425</v>
      </c>
      <c r="C2049" s="261">
        <v>123</v>
      </c>
      <c r="D2049" s="244" t="s">
        <v>12</v>
      </c>
      <c r="E2049" s="263">
        <v>85</v>
      </c>
      <c r="F2049" s="294" t="s">
        <v>126</v>
      </c>
      <c r="G2049" s="294" t="s">
        <v>159</v>
      </c>
      <c r="H2049" s="298">
        <v>1</v>
      </c>
      <c r="M2049" s="274"/>
    </row>
    <row r="2050" spans="2:13" ht="15" customHeight="1" x14ac:dyDescent="0.25">
      <c r="B2050" s="289">
        <v>3426</v>
      </c>
      <c r="C2050" s="261">
        <v>123</v>
      </c>
      <c r="D2050" s="244" t="s">
        <v>12</v>
      </c>
      <c r="E2050" s="263">
        <v>62</v>
      </c>
      <c r="F2050" s="294" t="s">
        <v>126</v>
      </c>
      <c r="G2050" s="294" t="s">
        <v>160</v>
      </c>
      <c r="H2050" s="298">
        <v>1</v>
      </c>
      <c r="M2050" s="274"/>
    </row>
    <row r="2051" spans="2:13" ht="15" customHeight="1" x14ac:dyDescent="0.25">
      <c r="B2051" s="289">
        <v>3427</v>
      </c>
      <c r="C2051" s="261">
        <v>123</v>
      </c>
      <c r="D2051" s="244" t="s">
        <v>12</v>
      </c>
      <c r="E2051" s="263">
        <v>95</v>
      </c>
      <c r="F2051" s="294" t="s">
        <v>126</v>
      </c>
      <c r="G2051" s="294" t="s">
        <v>161</v>
      </c>
      <c r="H2051" s="298">
        <v>1</v>
      </c>
      <c r="M2051" s="274"/>
    </row>
    <row r="2052" spans="2:13" ht="15" customHeight="1" x14ac:dyDescent="0.25">
      <c r="B2052" s="289">
        <v>3428</v>
      </c>
      <c r="C2052" s="261">
        <v>123</v>
      </c>
      <c r="D2052" s="244" t="s">
        <v>12</v>
      </c>
      <c r="E2052" s="263">
        <v>97</v>
      </c>
      <c r="F2052" s="294" t="s">
        <v>126</v>
      </c>
      <c r="G2052" s="294" t="s">
        <v>162</v>
      </c>
      <c r="H2052" s="298">
        <v>1</v>
      </c>
      <c r="M2052" s="274"/>
    </row>
    <row r="2053" spans="2:13" ht="15" customHeight="1" x14ac:dyDescent="0.25">
      <c r="B2053" s="289">
        <v>3429</v>
      </c>
      <c r="C2053" s="261">
        <v>123</v>
      </c>
      <c r="D2053" s="244" t="s">
        <v>12</v>
      </c>
      <c r="E2053" s="263">
        <v>71</v>
      </c>
      <c r="F2053" s="294" t="s">
        <v>126</v>
      </c>
      <c r="G2053" s="294" t="s">
        <v>163</v>
      </c>
      <c r="H2053" s="298">
        <v>1</v>
      </c>
      <c r="M2053" s="274"/>
    </row>
    <row r="2054" spans="2:13" ht="15" customHeight="1" x14ac:dyDescent="0.25">
      <c r="B2054" s="289">
        <v>3430</v>
      </c>
      <c r="C2054" s="261">
        <v>123</v>
      </c>
      <c r="D2054" s="244" t="s">
        <v>12</v>
      </c>
      <c r="E2054" s="263">
        <v>27</v>
      </c>
      <c r="F2054" s="294" t="s">
        <v>126</v>
      </c>
      <c r="G2054" s="294" t="s">
        <v>164</v>
      </c>
      <c r="H2054" s="298">
        <v>1</v>
      </c>
      <c r="M2054" s="274"/>
    </row>
    <row r="2055" spans="2:13" ht="15" customHeight="1" x14ac:dyDescent="0.25">
      <c r="B2055" s="289">
        <v>3433</v>
      </c>
      <c r="C2055" s="261">
        <v>123</v>
      </c>
      <c r="D2055" s="244" t="s">
        <v>12</v>
      </c>
      <c r="E2055" s="263">
        <v>58</v>
      </c>
      <c r="F2055" s="294" t="s">
        <v>126</v>
      </c>
      <c r="G2055" s="294" t="s">
        <v>165</v>
      </c>
      <c r="H2055" s="298">
        <v>1</v>
      </c>
      <c r="M2055" s="274"/>
    </row>
    <row r="2056" spans="2:13" ht="15" customHeight="1" x14ac:dyDescent="0.25">
      <c r="B2056" s="289">
        <v>3434</v>
      </c>
      <c r="C2056" s="261">
        <v>123</v>
      </c>
      <c r="D2056" s="244" t="s">
        <v>12</v>
      </c>
      <c r="E2056" s="263">
        <v>68</v>
      </c>
      <c r="F2056" s="294" t="s">
        <v>126</v>
      </c>
      <c r="G2056" s="294" t="s">
        <v>166</v>
      </c>
      <c r="H2056" s="298">
        <v>1</v>
      </c>
      <c r="M2056" s="274"/>
    </row>
    <row r="2057" spans="2:13" ht="15" customHeight="1" x14ac:dyDescent="0.25">
      <c r="B2057" s="289">
        <v>3435</v>
      </c>
      <c r="C2057" s="261">
        <v>123</v>
      </c>
      <c r="D2057" s="244" t="s">
        <v>12</v>
      </c>
      <c r="E2057" s="263">
        <v>35</v>
      </c>
      <c r="F2057" s="294" t="s">
        <v>126</v>
      </c>
      <c r="G2057" s="294" t="s">
        <v>167</v>
      </c>
      <c r="H2057" s="298">
        <v>1</v>
      </c>
      <c r="M2057" s="274"/>
    </row>
    <row r="2058" spans="2:13" ht="15" customHeight="1" x14ac:dyDescent="0.25">
      <c r="B2058" s="289">
        <v>3436</v>
      </c>
      <c r="C2058" s="261">
        <v>123</v>
      </c>
      <c r="D2058" s="244" t="s">
        <v>12</v>
      </c>
      <c r="E2058" s="263">
        <v>50</v>
      </c>
      <c r="F2058" s="294" t="s">
        <v>126</v>
      </c>
      <c r="G2058" s="294" t="s">
        <v>168</v>
      </c>
      <c r="H2058" s="298">
        <v>1</v>
      </c>
      <c r="M2058" s="274"/>
    </row>
    <row r="2059" spans="2:13" ht="15" customHeight="1" x14ac:dyDescent="0.25">
      <c r="B2059" s="289">
        <v>3437</v>
      </c>
      <c r="C2059" s="261">
        <v>123</v>
      </c>
      <c r="D2059" s="244" t="s">
        <v>12</v>
      </c>
      <c r="E2059" s="263">
        <v>51</v>
      </c>
      <c r="F2059" s="294" t="s">
        <v>126</v>
      </c>
      <c r="G2059" s="294" t="s">
        <v>169</v>
      </c>
      <c r="H2059" s="298">
        <v>1</v>
      </c>
      <c r="M2059" s="274"/>
    </row>
    <row r="2060" spans="2:13" ht="15" customHeight="1" x14ac:dyDescent="0.25">
      <c r="B2060" s="289">
        <v>3439</v>
      </c>
      <c r="C2060" s="261">
        <v>123</v>
      </c>
      <c r="D2060" s="244" t="s">
        <v>12</v>
      </c>
      <c r="E2060" s="263">
        <v>20</v>
      </c>
      <c r="F2060" s="294" t="s">
        <v>126</v>
      </c>
      <c r="G2060" s="294" t="s">
        <v>170</v>
      </c>
      <c r="H2060" s="298">
        <v>1</v>
      </c>
      <c r="M2060" s="274"/>
    </row>
    <row r="2061" spans="2:13" ht="15" customHeight="1" x14ac:dyDescent="0.25">
      <c r="B2061" s="289">
        <v>3440</v>
      </c>
      <c r="C2061" s="261">
        <v>123</v>
      </c>
      <c r="D2061" s="244" t="s">
        <v>12</v>
      </c>
      <c r="E2061" s="263">
        <v>66</v>
      </c>
      <c r="F2061" s="294" t="s">
        <v>126</v>
      </c>
      <c r="G2061" s="294" t="s">
        <v>171</v>
      </c>
      <c r="H2061" s="298">
        <v>1</v>
      </c>
      <c r="M2061" s="274"/>
    </row>
    <row r="2062" spans="2:13" ht="15" customHeight="1" x14ac:dyDescent="0.25">
      <c r="B2062" s="289">
        <v>3443</v>
      </c>
      <c r="C2062" s="261">
        <v>123</v>
      </c>
      <c r="D2062" s="244" t="s">
        <v>12</v>
      </c>
      <c r="E2062" s="263">
        <v>19</v>
      </c>
      <c r="F2062" s="294" t="s">
        <v>126</v>
      </c>
      <c r="G2062" s="294" t="s">
        <v>172</v>
      </c>
      <c r="H2062" s="298">
        <v>1</v>
      </c>
      <c r="M2062" s="274"/>
    </row>
    <row r="2063" spans="2:13" ht="15" customHeight="1" x14ac:dyDescent="0.25">
      <c r="B2063" s="289">
        <v>3449</v>
      </c>
      <c r="C2063" s="261">
        <v>127</v>
      </c>
      <c r="D2063" s="244" t="s">
        <v>12</v>
      </c>
      <c r="E2063" s="263">
        <v>15</v>
      </c>
      <c r="F2063" s="294" t="s">
        <v>126</v>
      </c>
      <c r="G2063" s="294" t="s">
        <v>173</v>
      </c>
      <c r="H2063" s="298">
        <v>1</v>
      </c>
      <c r="M2063" s="274"/>
    </row>
    <row r="2064" spans="2:13" ht="15" customHeight="1" x14ac:dyDescent="0.25">
      <c r="B2064" s="289">
        <v>3451</v>
      </c>
      <c r="C2064" s="261">
        <v>123</v>
      </c>
      <c r="D2064" s="244" t="s">
        <v>12</v>
      </c>
      <c r="E2064" s="263">
        <v>13</v>
      </c>
      <c r="F2064" s="294" t="s">
        <v>126</v>
      </c>
      <c r="G2064" s="294" t="s">
        <v>174</v>
      </c>
      <c r="H2064" s="298">
        <v>1</v>
      </c>
      <c r="M2064" s="274"/>
    </row>
    <row r="2065" spans="2:13" ht="15" customHeight="1" x14ac:dyDescent="0.25">
      <c r="B2065" s="289">
        <v>3452</v>
      </c>
      <c r="C2065" s="261">
        <v>123</v>
      </c>
      <c r="D2065" s="244" t="s">
        <v>12</v>
      </c>
      <c r="E2065" s="263">
        <v>80</v>
      </c>
      <c r="F2065" s="294" t="s">
        <v>126</v>
      </c>
      <c r="G2065" s="294" t="s">
        <v>175</v>
      </c>
      <c r="H2065" s="298">
        <v>1</v>
      </c>
      <c r="M2065" s="274"/>
    </row>
    <row r="2066" spans="2:13" ht="15" customHeight="1" x14ac:dyDescent="0.25">
      <c r="B2066" s="289">
        <v>3453</v>
      </c>
      <c r="C2066" s="261">
        <v>123</v>
      </c>
      <c r="D2066" s="244" t="s">
        <v>12</v>
      </c>
      <c r="E2066" s="263">
        <v>69</v>
      </c>
      <c r="F2066" s="294" t="s">
        <v>126</v>
      </c>
      <c r="G2066" s="294" t="s">
        <v>176</v>
      </c>
      <c r="H2066" s="298">
        <v>1</v>
      </c>
      <c r="M2066" s="274"/>
    </row>
    <row r="2067" spans="2:13" ht="15" customHeight="1" x14ac:dyDescent="0.25">
      <c r="B2067" s="289">
        <v>3454</v>
      </c>
      <c r="C2067" s="261">
        <v>123</v>
      </c>
      <c r="D2067" s="244" t="s">
        <v>12</v>
      </c>
      <c r="E2067" s="263">
        <v>99</v>
      </c>
      <c r="F2067" s="294" t="s">
        <v>126</v>
      </c>
      <c r="G2067" s="294" t="s">
        <v>177</v>
      </c>
      <c r="H2067" s="298">
        <v>1</v>
      </c>
      <c r="M2067" s="274"/>
    </row>
    <row r="2068" spans="2:13" ht="15" customHeight="1" x14ac:dyDescent="0.25">
      <c r="B2068" s="289">
        <v>3455</v>
      </c>
      <c r="C2068" s="261">
        <v>123</v>
      </c>
      <c r="D2068" s="244" t="s">
        <v>12</v>
      </c>
      <c r="E2068" s="263">
        <v>11</v>
      </c>
      <c r="F2068" s="294" t="s">
        <v>126</v>
      </c>
      <c r="G2068" s="294" t="s">
        <v>178</v>
      </c>
      <c r="H2068" s="298">
        <v>1</v>
      </c>
      <c r="M2068" s="274"/>
    </row>
    <row r="2069" spans="2:13" ht="15" customHeight="1" x14ac:dyDescent="0.25">
      <c r="B2069" s="289">
        <v>3456</v>
      </c>
      <c r="C2069" s="261">
        <v>127</v>
      </c>
      <c r="D2069" s="244" t="s">
        <v>12</v>
      </c>
      <c r="E2069" s="263">
        <v>9</v>
      </c>
      <c r="F2069" s="294" t="s">
        <v>126</v>
      </c>
      <c r="G2069" s="294" t="s">
        <v>179</v>
      </c>
      <c r="H2069" s="298">
        <v>1</v>
      </c>
      <c r="M2069" s="274"/>
    </row>
    <row r="2070" spans="2:13" ht="15" customHeight="1" x14ac:dyDescent="0.25">
      <c r="B2070" s="289">
        <v>3457</v>
      </c>
      <c r="C2070" s="261">
        <v>123</v>
      </c>
      <c r="D2070" s="244" t="s">
        <v>12</v>
      </c>
      <c r="E2070" s="263">
        <v>56</v>
      </c>
      <c r="F2070" s="294" t="s">
        <v>126</v>
      </c>
      <c r="G2070" s="294" t="s">
        <v>180</v>
      </c>
      <c r="H2070" s="298">
        <v>1</v>
      </c>
      <c r="M2070" s="274"/>
    </row>
    <row r="2071" spans="2:13" ht="15" customHeight="1" x14ac:dyDescent="0.25">
      <c r="B2071" s="289">
        <v>3458</v>
      </c>
      <c r="C2071" s="261">
        <v>123</v>
      </c>
      <c r="D2071" s="244" t="s">
        <v>12</v>
      </c>
      <c r="E2071" s="263">
        <v>36</v>
      </c>
      <c r="F2071" s="294" t="s">
        <v>126</v>
      </c>
      <c r="G2071" s="294" t="s">
        <v>181</v>
      </c>
      <c r="H2071" s="298">
        <v>1</v>
      </c>
      <c r="M2071" s="274"/>
    </row>
    <row r="2072" spans="2:13" ht="15" customHeight="1" x14ac:dyDescent="0.25">
      <c r="B2072" s="289">
        <v>3459</v>
      </c>
      <c r="C2072" s="261">
        <v>123</v>
      </c>
      <c r="D2072" s="244" t="s">
        <v>12</v>
      </c>
      <c r="E2072" s="263">
        <v>44</v>
      </c>
      <c r="F2072" s="294" t="s">
        <v>126</v>
      </c>
      <c r="G2072" s="294" t="s">
        <v>182</v>
      </c>
      <c r="H2072" s="298">
        <v>1</v>
      </c>
      <c r="M2072" s="274"/>
    </row>
    <row r="2073" spans="2:13" ht="15" customHeight="1" x14ac:dyDescent="0.25">
      <c r="B2073" s="289">
        <v>3460</v>
      </c>
      <c r="C2073" s="261">
        <v>123</v>
      </c>
      <c r="D2073" s="244" t="s">
        <v>12</v>
      </c>
      <c r="E2073" s="263">
        <v>68</v>
      </c>
      <c r="F2073" s="294" t="s">
        <v>126</v>
      </c>
      <c r="G2073" s="294" t="s">
        <v>183</v>
      </c>
      <c r="H2073" s="298">
        <v>1</v>
      </c>
      <c r="M2073" s="274"/>
    </row>
    <row r="2074" spans="2:13" ht="15" customHeight="1" x14ac:dyDescent="0.25">
      <c r="B2074" s="289">
        <v>3461</v>
      </c>
      <c r="C2074" s="261">
        <v>123</v>
      </c>
      <c r="D2074" s="244" t="s">
        <v>12</v>
      </c>
      <c r="E2074" s="263">
        <v>68</v>
      </c>
      <c r="F2074" s="294" t="s">
        <v>126</v>
      </c>
      <c r="G2074" s="294" t="s">
        <v>184</v>
      </c>
      <c r="H2074" s="298">
        <v>1</v>
      </c>
      <c r="M2074" s="274"/>
    </row>
    <row r="2075" spans="2:13" ht="15" customHeight="1" x14ac:dyDescent="0.25">
      <c r="B2075" s="289">
        <v>3462</v>
      </c>
      <c r="C2075" s="261">
        <v>123</v>
      </c>
      <c r="D2075" s="244" t="s">
        <v>12</v>
      </c>
      <c r="E2075" s="263">
        <v>75</v>
      </c>
      <c r="F2075" s="294" t="s">
        <v>126</v>
      </c>
      <c r="G2075" s="294" t="s">
        <v>185</v>
      </c>
      <c r="H2075" s="298">
        <v>1</v>
      </c>
      <c r="M2075" s="274"/>
    </row>
    <row r="2076" spans="2:13" ht="15" customHeight="1" x14ac:dyDescent="0.25">
      <c r="B2076" s="289">
        <v>3463</v>
      </c>
      <c r="C2076" s="261">
        <v>123</v>
      </c>
      <c r="D2076" s="244" t="s">
        <v>12</v>
      </c>
      <c r="E2076" s="263">
        <v>68</v>
      </c>
      <c r="F2076" s="294" t="s">
        <v>126</v>
      </c>
      <c r="G2076" s="294" t="s">
        <v>186</v>
      </c>
      <c r="H2076" s="298">
        <v>1</v>
      </c>
      <c r="M2076" s="274"/>
    </row>
    <row r="2077" spans="2:13" ht="15" customHeight="1" x14ac:dyDescent="0.25">
      <c r="B2077" s="289">
        <v>3464</v>
      </c>
      <c r="C2077" s="261">
        <v>123</v>
      </c>
      <c r="D2077" s="244" t="s">
        <v>12</v>
      </c>
      <c r="E2077" s="263">
        <v>68</v>
      </c>
      <c r="F2077" s="294" t="s">
        <v>126</v>
      </c>
      <c r="G2077" s="294" t="s">
        <v>187</v>
      </c>
      <c r="H2077" s="298">
        <v>1</v>
      </c>
      <c r="M2077" s="274"/>
    </row>
    <row r="2078" spans="2:13" ht="15" customHeight="1" x14ac:dyDescent="0.25">
      <c r="B2078" s="289">
        <v>3467</v>
      </c>
      <c r="C2078" s="261">
        <v>123</v>
      </c>
      <c r="D2078" s="244" t="s">
        <v>12</v>
      </c>
      <c r="E2078" s="263">
        <v>14</v>
      </c>
      <c r="F2078" s="294" t="s">
        <v>126</v>
      </c>
      <c r="G2078" s="294" t="s">
        <v>188</v>
      </c>
      <c r="H2078" s="298">
        <v>1</v>
      </c>
      <c r="M2078" s="274"/>
    </row>
    <row r="2079" spans="2:13" ht="15" customHeight="1" x14ac:dyDescent="0.25">
      <c r="B2079" s="289">
        <v>3471</v>
      </c>
      <c r="C2079" s="261">
        <v>131</v>
      </c>
      <c r="D2079" s="244" t="s">
        <v>12</v>
      </c>
      <c r="E2079" s="263">
        <v>1</v>
      </c>
      <c r="F2079" s="294" t="s">
        <v>126</v>
      </c>
      <c r="G2079" s="294" t="s">
        <v>139</v>
      </c>
      <c r="H2079" s="298">
        <v>1</v>
      </c>
      <c r="M2079" s="274"/>
    </row>
    <row r="2080" spans="2:13" ht="15" customHeight="1" x14ac:dyDescent="0.25">
      <c r="B2080" s="289">
        <v>3475</v>
      </c>
      <c r="C2080" s="261">
        <v>123</v>
      </c>
      <c r="D2080" s="244" t="s">
        <v>12</v>
      </c>
      <c r="E2080" s="263">
        <v>47</v>
      </c>
      <c r="F2080" s="294" t="s">
        <v>126</v>
      </c>
      <c r="G2080" s="294" t="s">
        <v>189</v>
      </c>
      <c r="H2080" s="298">
        <v>1</v>
      </c>
      <c r="M2080" s="274"/>
    </row>
    <row r="2081" spans="2:13" ht="15" customHeight="1" x14ac:dyDescent="0.25">
      <c r="B2081" s="289">
        <v>3481</v>
      </c>
      <c r="C2081" s="261">
        <v>123</v>
      </c>
      <c r="D2081" s="244" t="s">
        <v>12</v>
      </c>
      <c r="E2081" s="263">
        <v>62</v>
      </c>
      <c r="F2081" s="294" t="s">
        <v>126</v>
      </c>
      <c r="G2081" s="294" t="s">
        <v>190</v>
      </c>
      <c r="H2081" s="298">
        <v>1</v>
      </c>
      <c r="M2081" s="274"/>
    </row>
    <row r="2082" spans="2:13" ht="15" customHeight="1" x14ac:dyDescent="0.25">
      <c r="B2082" s="289">
        <v>3489</v>
      </c>
      <c r="C2082" s="261">
        <v>127</v>
      </c>
      <c r="D2082" s="244" t="s">
        <v>12</v>
      </c>
      <c r="E2082" s="263">
        <v>6</v>
      </c>
      <c r="F2082" s="294" t="s">
        <v>126</v>
      </c>
      <c r="G2082" s="294" t="s">
        <v>191</v>
      </c>
      <c r="H2082" s="298">
        <v>1</v>
      </c>
      <c r="M2082" s="274"/>
    </row>
    <row r="2083" spans="2:13" ht="15" customHeight="1" x14ac:dyDescent="0.25">
      <c r="B2083" s="289">
        <v>3490</v>
      </c>
      <c r="C2083" s="261">
        <v>123</v>
      </c>
      <c r="D2083" s="244" t="s">
        <v>12</v>
      </c>
      <c r="E2083" s="263">
        <v>85</v>
      </c>
      <c r="F2083" s="294" t="s">
        <v>126</v>
      </c>
      <c r="G2083" s="294" t="s">
        <v>192</v>
      </c>
      <c r="H2083" s="298">
        <v>1</v>
      </c>
      <c r="M2083" s="274"/>
    </row>
    <row r="2084" spans="2:13" ht="15" customHeight="1" x14ac:dyDescent="0.25">
      <c r="B2084" s="289">
        <v>3498</v>
      </c>
      <c r="C2084" s="261">
        <v>123</v>
      </c>
      <c r="D2084" s="244" t="s">
        <v>12</v>
      </c>
      <c r="E2084" s="263">
        <v>94</v>
      </c>
      <c r="F2084" s="294" t="s">
        <v>126</v>
      </c>
      <c r="G2084" s="294" t="s">
        <v>193</v>
      </c>
      <c r="H2084" s="298">
        <v>1</v>
      </c>
      <c r="M2084" s="274"/>
    </row>
    <row r="2085" spans="2:13" ht="15" customHeight="1" x14ac:dyDescent="0.25">
      <c r="B2085" s="289">
        <v>3499</v>
      </c>
      <c r="C2085" s="261">
        <v>123</v>
      </c>
      <c r="D2085" s="244" t="s">
        <v>12</v>
      </c>
      <c r="E2085" s="263">
        <v>73</v>
      </c>
      <c r="F2085" s="294" t="s">
        <v>126</v>
      </c>
      <c r="G2085" s="294" t="s">
        <v>194</v>
      </c>
      <c r="H2085" s="298">
        <v>1</v>
      </c>
      <c r="M2085" s="274"/>
    </row>
    <row r="2086" spans="2:13" ht="15" customHeight="1" x14ac:dyDescent="0.25">
      <c r="B2086" s="289">
        <v>3500</v>
      </c>
      <c r="C2086" s="261">
        <v>123</v>
      </c>
      <c r="D2086" s="244" t="s">
        <v>12</v>
      </c>
      <c r="E2086" s="263">
        <v>53</v>
      </c>
      <c r="F2086" s="294" t="s">
        <v>126</v>
      </c>
      <c r="G2086" s="294" t="s">
        <v>195</v>
      </c>
      <c r="H2086" s="298">
        <v>1</v>
      </c>
      <c r="M2086" s="274"/>
    </row>
    <row r="2087" spans="2:13" ht="15" customHeight="1" x14ac:dyDescent="0.25">
      <c r="B2087" s="289">
        <v>3501</v>
      </c>
      <c r="C2087" s="261">
        <v>123</v>
      </c>
      <c r="D2087" s="244" t="s">
        <v>12</v>
      </c>
      <c r="E2087" s="263">
        <v>94</v>
      </c>
      <c r="F2087" s="294" t="s">
        <v>126</v>
      </c>
      <c r="G2087" s="294" t="s">
        <v>196</v>
      </c>
      <c r="H2087" s="298">
        <v>1</v>
      </c>
      <c r="M2087" s="274"/>
    </row>
    <row r="2088" spans="2:13" ht="15" customHeight="1" x14ac:dyDescent="0.25">
      <c r="B2088" s="289">
        <v>3502</v>
      </c>
      <c r="C2088" s="261">
        <v>123</v>
      </c>
      <c r="D2088" s="244" t="s">
        <v>12</v>
      </c>
      <c r="E2088" s="263">
        <v>94</v>
      </c>
      <c r="F2088" s="294" t="s">
        <v>126</v>
      </c>
      <c r="G2088" s="294" t="s">
        <v>197</v>
      </c>
      <c r="H2088" s="298">
        <v>1</v>
      </c>
      <c r="M2088" s="274"/>
    </row>
    <row r="2089" spans="2:13" ht="15" customHeight="1" x14ac:dyDescent="0.25">
      <c r="B2089" s="289">
        <v>3503</v>
      </c>
      <c r="C2089" s="261">
        <v>123</v>
      </c>
      <c r="D2089" s="244" t="s">
        <v>12</v>
      </c>
      <c r="E2089" s="263">
        <v>94</v>
      </c>
      <c r="F2089" s="294" t="s">
        <v>126</v>
      </c>
      <c r="G2089" s="294" t="s">
        <v>198</v>
      </c>
      <c r="H2089" s="298">
        <v>1</v>
      </c>
      <c r="M2089" s="274"/>
    </row>
    <row r="2090" spans="2:13" ht="15" customHeight="1" x14ac:dyDescent="0.25">
      <c r="B2090" s="289">
        <v>3504</v>
      </c>
      <c r="C2090" s="261">
        <v>123</v>
      </c>
      <c r="D2090" s="244" t="s">
        <v>12</v>
      </c>
      <c r="E2090" s="263">
        <v>83</v>
      </c>
      <c r="F2090" s="294" t="s">
        <v>126</v>
      </c>
      <c r="G2090" s="294" t="s">
        <v>199</v>
      </c>
      <c r="H2090" s="298">
        <v>1</v>
      </c>
      <c r="M2090" s="274"/>
    </row>
    <row r="2091" spans="2:13" ht="15" customHeight="1" x14ac:dyDescent="0.25">
      <c r="B2091" s="289">
        <v>3505</v>
      </c>
      <c r="C2091" s="261">
        <v>123</v>
      </c>
      <c r="D2091" s="244" t="s">
        <v>12</v>
      </c>
      <c r="E2091" s="263">
        <v>71</v>
      </c>
      <c r="F2091" s="294" t="s">
        <v>126</v>
      </c>
      <c r="G2091" s="294" t="s">
        <v>200</v>
      </c>
      <c r="H2091" s="298">
        <v>1</v>
      </c>
      <c r="M2091" s="274"/>
    </row>
    <row r="2092" spans="2:13" ht="15" customHeight="1" x14ac:dyDescent="0.25">
      <c r="B2092" s="289">
        <v>3506</v>
      </c>
      <c r="C2092" s="261">
        <v>123</v>
      </c>
      <c r="D2092" s="244" t="s">
        <v>12</v>
      </c>
      <c r="E2092" s="263">
        <v>80</v>
      </c>
      <c r="F2092" s="294" t="s">
        <v>126</v>
      </c>
      <c r="G2092" s="294" t="s">
        <v>201</v>
      </c>
      <c r="H2092" s="298">
        <v>1</v>
      </c>
      <c r="M2092" s="274"/>
    </row>
    <row r="2093" spans="2:13" ht="15" customHeight="1" x14ac:dyDescent="0.25">
      <c r="B2093" s="289">
        <v>3507</v>
      </c>
      <c r="C2093" s="261">
        <v>123</v>
      </c>
      <c r="D2093" s="244" t="s">
        <v>12</v>
      </c>
      <c r="E2093" s="263">
        <v>91</v>
      </c>
      <c r="F2093" s="294" t="s">
        <v>126</v>
      </c>
      <c r="G2093" s="294" t="s">
        <v>202</v>
      </c>
      <c r="H2093" s="298">
        <v>1</v>
      </c>
      <c r="M2093" s="274"/>
    </row>
    <row r="2094" spans="2:13" ht="15" customHeight="1" x14ac:dyDescent="0.25">
      <c r="B2094" s="289">
        <v>3508</v>
      </c>
      <c r="C2094" s="261">
        <v>123</v>
      </c>
      <c r="D2094" s="244" t="s">
        <v>12</v>
      </c>
      <c r="E2094" s="263">
        <v>86</v>
      </c>
      <c r="F2094" s="294" t="s">
        <v>126</v>
      </c>
      <c r="G2094" s="294" t="s">
        <v>203</v>
      </c>
      <c r="H2094" s="298">
        <v>1</v>
      </c>
      <c r="M2094" s="274"/>
    </row>
    <row r="2095" spans="2:13" ht="15" customHeight="1" x14ac:dyDescent="0.25">
      <c r="B2095" s="289">
        <v>3509</v>
      </c>
      <c r="C2095" s="261">
        <v>123</v>
      </c>
      <c r="D2095" s="244" t="s">
        <v>12</v>
      </c>
      <c r="E2095" s="263">
        <v>85</v>
      </c>
      <c r="F2095" s="294" t="s">
        <v>126</v>
      </c>
      <c r="G2095" s="294" t="s">
        <v>204</v>
      </c>
      <c r="H2095" s="298">
        <v>1</v>
      </c>
      <c r="M2095" s="274"/>
    </row>
    <row r="2096" spans="2:13" ht="15" customHeight="1" x14ac:dyDescent="0.25">
      <c r="B2096" s="289">
        <v>3510</v>
      </c>
      <c r="C2096" s="261">
        <v>123</v>
      </c>
      <c r="D2096" s="244" t="s">
        <v>12</v>
      </c>
      <c r="E2096" s="263">
        <v>98</v>
      </c>
      <c r="F2096" s="294" t="s">
        <v>126</v>
      </c>
      <c r="G2096" s="294" t="s">
        <v>205</v>
      </c>
      <c r="H2096" s="298">
        <v>1</v>
      </c>
      <c r="M2096" s="274"/>
    </row>
    <row r="2097" spans="2:13" ht="15" customHeight="1" x14ac:dyDescent="0.25">
      <c r="B2097" s="289">
        <v>3511</v>
      </c>
      <c r="C2097" s="261">
        <v>123</v>
      </c>
      <c r="D2097" s="244" t="s">
        <v>12</v>
      </c>
      <c r="E2097" s="263">
        <v>99</v>
      </c>
      <c r="F2097" s="294" t="s">
        <v>126</v>
      </c>
      <c r="G2097" s="294" t="s">
        <v>206</v>
      </c>
      <c r="H2097" s="298">
        <v>1</v>
      </c>
      <c r="M2097" s="274"/>
    </row>
    <row r="2098" spans="2:13" ht="15" customHeight="1" x14ac:dyDescent="0.25">
      <c r="B2098" s="289">
        <v>3512</v>
      </c>
      <c r="C2098" s="261">
        <v>123</v>
      </c>
      <c r="D2098" s="244" t="s">
        <v>12</v>
      </c>
      <c r="E2098" s="263">
        <v>68</v>
      </c>
      <c r="F2098" s="294" t="s">
        <v>126</v>
      </c>
      <c r="G2098" s="294" t="s">
        <v>207</v>
      </c>
      <c r="H2098" s="298">
        <v>1</v>
      </c>
      <c r="M2098" s="274"/>
    </row>
    <row r="2099" spans="2:13" ht="15" customHeight="1" x14ac:dyDescent="0.25">
      <c r="B2099" s="289">
        <v>3513</v>
      </c>
      <c r="C2099" s="261">
        <v>123</v>
      </c>
      <c r="D2099" s="244" t="s">
        <v>12</v>
      </c>
      <c r="E2099" s="263">
        <v>88</v>
      </c>
      <c r="F2099" s="294" t="s">
        <v>126</v>
      </c>
      <c r="G2099" s="294" t="s">
        <v>208</v>
      </c>
      <c r="H2099" s="298">
        <v>1</v>
      </c>
      <c r="M2099" s="274"/>
    </row>
    <row r="2100" spans="2:13" ht="15" customHeight="1" x14ac:dyDescent="0.25">
      <c r="B2100" s="289">
        <v>3514</v>
      </c>
      <c r="C2100" s="261">
        <v>123</v>
      </c>
      <c r="D2100" s="244" t="s">
        <v>12</v>
      </c>
      <c r="E2100" s="263">
        <v>55</v>
      </c>
      <c r="F2100" s="294" t="s">
        <v>126</v>
      </c>
      <c r="G2100" s="294" t="s">
        <v>209</v>
      </c>
      <c r="H2100" s="298">
        <v>1</v>
      </c>
      <c r="M2100" s="274"/>
    </row>
    <row r="2101" spans="2:13" ht="15" customHeight="1" x14ac:dyDescent="0.25">
      <c r="B2101" s="289">
        <v>3515</v>
      </c>
      <c r="C2101" s="261">
        <v>123</v>
      </c>
      <c r="D2101" s="244" t="s">
        <v>12</v>
      </c>
      <c r="E2101" s="263">
        <v>97</v>
      </c>
      <c r="F2101" s="294" t="s">
        <v>126</v>
      </c>
      <c r="G2101" s="294" t="s">
        <v>210</v>
      </c>
      <c r="H2101" s="298">
        <v>1</v>
      </c>
      <c r="M2101" s="274"/>
    </row>
    <row r="2102" spans="2:13" ht="15" customHeight="1" x14ac:dyDescent="0.25">
      <c r="B2102" s="289">
        <v>3522</v>
      </c>
      <c r="C2102" s="261">
        <v>127</v>
      </c>
      <c r="D2102" s="244" t="s">
        <v>12</v>
      </c>
      <c r="E2102" s="263">
        <v>15</v>
      </c>
      <c r="F2102" s="294" t="s">
        <v>126</v>
      </c>
      <c r="G2102" s="294" t="s">
        <v>211</v>
      </c>
      <c r="H2102" s="298">
        <v>1</v>
      </c>
      <c r="M2102" s="274"/>
    </row>
    <row r="2103" spans="2:13" ht="15" customHeight="1" x14ac:dyDescent="0.25">
      <c r="B2103" s="289">
        <v>3523</v>
      </c>
      <c r="C2103" s="261">
        <v>123</v>
      </c>
      <c r="D2103" s="244" t="s">
        <v>12</v>
      </c>
      <c r="E2103" s="263">
        <v>42</v>
      </c>
      <c r="F2103" s="294" t="s">
        <v>126</v>
      </c>
      <c r="G2103" s="294" t="s">
        <v>212</v>
      </c>
      <c r="H2103" s="298">
        <v>1</v>
      </c>
      <c r="M2103" s="274"/>
    </row>
    <row r="2104" spans="2:13" ht="15" customHeight="1" x14ac:dyDescent="0.25">
      <c r="B2104" s="289">
        <v>3525</v>
      </c>
      <c r="C2104" s="261">
        <v>129</v>
      </c>
      <c r="D2104" s="244" t="s">
        <v>11</v>
      </c>
      <c r="E2104" s="263">
        <v>34</v>
      </c>
      <c r="F2104" s="294" t="s">
        <v>213</v>
      </c>
      <c r="G2104" s="294" t="s">
        <v>126</v>
      </c>
      <c r="H2104" s="298">
        <v>1</v>
      </c>
      <c r="M2104" s="274"/>
    </row>
    <row r="2105" spans="2:13" ht="15" customHeight="1" x14ac:dyDescent="0.25">
      <c r="B2105" s="289">
        <v>3527</v>
      </c>
      <c r="C2105" s="261">
        <v>125</v>
      </c>
      <c r="D2105" s="244" t="s">
        <v>12</v>
      </c>
      <c r="E2105" s="263">
        <v>2</v>
      </c>
      <c r="F2105" s="294" t="s">
        <v>126</v>
      </c>
      <c r="G2105" s="294" t="s">
        <v>214</v>
      </c>
      <c r="H2105" s="298">
        <v>1</v>
      </c>
      <c r="M2105" s="274"/>
    </row>
    <row r="2106" spans="2:13" ht="15" customHeight="1" x14ac:dyDescent="0.25">
      <c r="B2106" s="289">
        <v>3528</v>
      </c>
      <c r="C2106" s="261">
        <v>123</v>
      </c>
      <c r="D2106" s="244" t="s">
        <v>12</v>
      </c>
      <c r="E2106" s="263">
        <v>82</v>
      </c>
      <c r="F2106" s="294" t="s">
        <v>126</v>
      </c>
      <c r="G2106" s="294" t="s">
        <v>215</v>
      </c>
      <c r="H2106" s="298">
        <v>1</v>
      </c>
      <c r="M2106" s="274"/>
    </row>
    <row r="2107" spans="2:13" ht="15" customHeight="1" x14ac:dyDescent="0.25">
      <c r="B2107" s="289">
        <v>3529</v>
      </c>
      <c r="C2107" s="261">
        <v>123</v>
      </c>
      <c r="D2107" s="244" t="s">
        <v>12</v>
      </c>
      <c r="E2107" s="263">
        <v>94</v>
      </c>
      <c r="F2107" s="294" t="s">
        <v>126</v>
      </c>
      <c r="G2107" s="294" t="s">
        <v>216</v>
      </c>
      <c r="H2107" s="298">
        <v>1</v>
      </c>
      <c r="M2107" s="274"/>
    </row>
    <row r="2108" spans="2:13" ht="15" customHeight="1" x14ac:dyDescent="0.25">
      <c r="B2108" s="289">
        <v>3530</v>
      </c>
      <c r="C2108" s="261">
        <v>123</v>
      </c>
      <c r="D2108" s="244" t="s">
        <v>12</v>
      </c>
      <c r="E2108" s="263">
        <v>94</v>
      </c>
      <c r="F2108" s="294" t="s">
        <v>126</v>
      </c>
      <c r="G2108" s="294" t="s">
        <v>217</v>
      </c>
      <c r="H2108" s="298">
        <v>1</v>
      </c>
      <c r="M2108" s="274"/>
    </row>
    <row r="2109" spans="2:13" ht="15" customHeight="1" x14ac:dyDescent="0.25">
      <c r="B2109" s="289">
        <v>3531</v>
      </c>
      <c r="C2109" s="261">
        <v>123</v>
      </c>
      <c r="D2109" s="244" t="s">
        <v>12</v>
      </c>
      <c r="E2109" s="263">
        <v>82</v>
      </c>
      <c r="F2109" s="294" t="s">
        <v>126</v>
      </c>
      <c r="G2109" s="294" t="s">
        <v>218</v>
      </c>
      <c r="H2109" s="298">
        <v>1</v>
      </c>
      <c r="M2109" s="274"/>
    </row>
    <row r="2110" spans="2:13" ht="15" customHeight="1" x14ac:dyDescent="0.25">
      <c r="B2110" s="289">
        <v>3532</v>
      </c>
      <c r="C2110" s="261">
        <v>123</v>
      </c>
      <c r="D2110" s="244" t="s">
        <v>12</v>
      </c>
      <c r="E2110" s="263">
        <v>94</v>
      </c>
      <c r="F2110" s="294" t="s">
        <v>126</v>
      </c>
      <c r="G2110" s="294" t="s">
        <v>219</v>
      </c>
      <c r="H2110" s="298">
        <v>1</v>
      </c>
      <c r="M2110" s="274"/>
    </row>
    <row r="2111" spans="2:13" ht="15" customHeight="1" x14ac:dyDescent="0.25">
      <c r="B2111" s="289">
        <v>3533</v>
      </c>
      <c r="C2111" s="261">
        <v>123</v>
      </c>
      <c r="D2111" s="244" t="s">
        <v>12</v>
      </c>
      <c r="E2111" s="263">
        <v>82</v>
      </c>
      <c r="F2111" s="294" t="s">
        <v>126</v>
      </c>
      <c r="G2111" s="294" t="s">
        <v>220</v>
      </c>
      <c r="H2111" s="298">
        <v>1</v>
      </c>
      <c r="M2111" s="274"/>
    </row>
    <row r="2112" spans="2:13" ht="15" customHeight="1" x14ac:dyDescent="0.25">
      <c r="B2112" s="289">
        <v>3534</v>
      </c>
      <c r="C2112" s="261">
        <v>123</v>
      </c>
      <c r="D2112" s="244" t="s">
        <v>12</v>
      </c>
      <c r="E2112" s="263">
        <v>100</v>
      </c>
      <c r="F2112" s="294" t="s">
        <v>126</v>
      </c>
      <c r="G2112" s="294" t="s">
        <v>221</v>
      </c>
      <c r="H2112" s="298">
        <v>1</v>
      </c>
      <c r="M2112" s="274"/>
    </row>
    <row r="2113" spans="2:13" ht="15" customHeight="1" x14ac:dyDescent="0.25">
      <c r="B2113" s="289">
        <v>3536</v>
      </c>
      <c r="C2113" s="261">
        <v>123</v>
      </c>
      <c r="D2113" s="244" t="s">
        <v>12</v>
      </c>
      <c r="E2113" s="263">
        <v>96</v>
      </c>
      <c r="F2113" s="294" t="s">
        <v>126</v>
      </c>
      <c r="G2113" s="294" t="s">
        <v>222</v>
      </c>
      <c r="H2113" s="298">
        <v>1</v>
      </c>
      <c r="M2113" s="274"/>
    </row>
    <row r="2114" spans="2:13" ht="15" customHeight="1" x14ac:dyDescent="0.25">
      <c r="B2114" s="289">
        <v>3538</v>
      </c>
      <c r="C2114" s="261">
        <v>123</v>
      </c>
      <c r="D2114" s="244" t="s">
        <v>12</v>
      </c>
      <c r="E2114" s="263">
        <v>75</v>
      </c>
      <c r="F2114" s="294" t="s">
        <v>126</v>
      </c>
      <c r="G2114" s="294" t="s">
        <v>223</v>
      </c>
      <c r="H2114" s="298">
        <v>2</v>
      </c>
      <c r="M2114" s="274"/>
    </row>
    <row r="2115" spans="2:13" ht="15" customHeight="1" x14ac:dyDescent="0.25">
      <c r="B2115" s="289">
        <v>3540</v>
      </c>
      <c r="C2115" s="261">
        <v>123</v>
      </c>
      <c r="D2115" s="244" t="s">
        <v>12</v>
      </c>
      <c r="E2115" s="263">
        <v>86</v>
      </c>
      <c r="F2115" s="294" t="s">
        <v>126</v>
      </c>
      <c r="G2115" s="294" t="s">
        <v>224</v>
      </c>
      <c r="H2115" s="298">
        <v>1</v>
      </c>
      <c r="M2115" s="274"/>
    </row>
    <row r="2116" spans="2:13" ht="15" customHeight="1" x14ac:dyDescent="0.25">
      <c r="B2116" s="289">
        <v>3541</v>
      </c>
      <c r="C2116" s="261">
        <v>123</v>
      </c>
      <c r="D2116" s="244" t="s">
        <v>12</v>
      </c>
      <c r="E2116" s="263">
        <v>71</v>
      </c>
      <c r="F2116" s="294" t="s">
        <v>126</v>
      </c>
      <c r="G2116" s="294" t="s">
        <v>225</v>
      </c>
      <c r="H2116" s="298">
        <v>1</v>
      </c>
      <c r="M2116" s="274"/>
    </row>
    <row r="2117" spans="2:13" ht="15" customHeight="1" x14ac:dyDescent="0.25">
      <c r="B2117" s="289">
        <v>3542</v>
      </c>
      <c r="C2117" s="261">
        <v>123</v>
      </c>
      <c r="D2117" s="244" t="s">
        <v>12</v>
      </c>
      <c r="E2117" s="263">
        <v>77</v>
      </c>
      <c r="F2117" s="294" t="s">
        <v>126</v>
      </c>
      <c r="G2117" s="294" t="s">
        <v>226</v>
      </c>
      <c r="H2117" s="298">
        <v>1</v>
      </c>
      <c r="M2117" s="274"/>
    </row>
    <row r="2118" spans="2:13" ht="15" customHeight="1" x14ac:dyDescent="0.25">
      <c r="B2118" s="289">
        <v>3542</v>
      </c>
      <c r="C2118" s="261">
        <v>128</v>
      </c>
      <c r="D2118" s="244" t="s">
        <v>12</v>
      </c>
      <c r="E2118" s="263">
        <v>2</v>
      </c>
      <c r="F2118" s="294" t="s">
        <v>126</v>
      </c>
      <c r="G2118" s="294" t="s">
        <v>227</v>
      </c>
      <c r="H2118" s="298">
        <v>1</v>
      </c>
      <c r="M2118" s="274"/>
    </row>
    <row r="2119" spans="2:13" ht="15" customHeight="1" x14ac:dyDescent="0.25">
      <c r="B2119" s="289">
        <v>3543</v>
      </c>
      <c r="C2119" s="261">
        <v>123</v>
      </c>
      <c r="D2119" s="244" t="s">
        <v>12</v>
      </c>
      <c r="E2119" s="263">
        <v>99</v>
      </c>
      <c r="F2119" s="294" t="s">
        <v>126</v>
      </c>
      <c r="G2119" s="294" t="s">
        <v>228</v>
      </c>
      <c r="H2119" s="298">
        <v>1</v>
      </c>
      <c r="M2119" s="274"/>
    </row>
    <row r="2120" spans="2:13" ht="15" customHeight="1" x14ac:dyDescent="0.25">
      <c r="B2120" s="289">
        <v>3544</v>
      </c>
      <c r="C2120" s="261">
        <v>123</v>
      </c>
      <c r="D2120" s="244" t="s">
        <v>12</v>
      </c>
      <c r="E2120" s="263">
        <v>50</v>
      </c>
      <c r="F2120" s="294" t="s">
        <v>126</v>
      </c>
      <c r="G2120" s="294" t="s">
        <v>229</v>
      </c>
      <c r="H2120" s="298">
        <v>1</v>
      </c>
      <c r="M2120" s="274"/>
    </row>
    <row r="2121" spans="2:13" ht="15" customHeight="1" x14ac:dyDescent="0.25">
      <c r="B2121" s="289">
        <v>3545</v>
      </c>
      <c r="C2121" s="261">
        <v>123</v>
      </c>
      <c r="D2121" s="244" t="s">
        <v>12</v>
      </c>
      <c r="E2121" s="263">
        <v>96</v>
      </c>
      <c r="F2121" s="294" t="s">
        <v>126</v>
      </c>
      <c r="G2121" s="294" t="s">
        <v>230</v>
      </c>
      <c r="H2121" s="298">
        <v>1</v>
      </c>
      <c r="M2121" s="274"/>
    </row>
    <row r="2122" spans="2:13" ht="15" customHeight="1" x14ac:dyDescent="0.25">
      <c r="B2122" s="289">
        <v>3549</v>
      </c>
      <c r="C2122" s="261">
        <v>123</v>
      </c>
      <c r="D2122" s="244" t="s">
        <v>12</v>
      </c>
      <c r="E2122" s="263">
        <v>93</v>
      </c>
      <c r="F2122" s="294" t="s">
        <v>126</v>
      </c>
      <c r="G2122" s="294" t="s">
        <v>231</v>
      </c>
      <c r="H2122" s="298">
        <v>1</v>
      </c>
      <c r="M2122" s="274"/>
    </row>
    <row r="2123" spans="2:13" ht="15" customHeight="1" x14ac:dyDescent="0.25">
      <c r="B2123" s="289">
        <v>3552</v>
      </c>
      <c r="C2123" s="261">
        <v>123</v>
      </c>
      <c r="D2123" s="244" t="s">
        <v>12</v>
      </c>
      <c r="E2123" s="263">
        <v>92</v>
      </c>
      <c r="F2123" s="294" t="s">
        <v>126</v>
      </c>
      <c r="G2123" s="294" t="s">
        <v>232</v>
      </c>
      <c r="H2123" s="298">
        <v>1</v>
      </c>
      <c r="M2123" s="274"/>
    </row>
    <row r="2124" spans="2:13" ht="15" customHeight="1" x14ac:dyDescent="0.25">
      <c r="B2124" s="289">
        <v>3558</v>
      </c>
      <c r="C2124" s="261">
        <v>125</v>
      </c>
      <c r="D2124" s="244" t="s">
        <v>12</v>
      </c>
      <c r="E2124" s="263">
        <v>2</v>
      </c>
      <c r="F2124" s="294" t="s">
        <v>126</v>
      </c>
      <c r="G2124" s="294" t="s">
        <v>233</v>
      </c>
      <c r="H2124" s="298">
        <v>1</v>
      </c>
      <c r="M2124" s="274"/>
    </row>
    <row r="2125" spans="2:13" ht="15" customHeight="1" x14ac:dyDescent="0.25">
      <c r="B2125" s="289">
        <v>3559</v>
      </c>
      <c r="C2125" s="261">
        <v>123</v>
      </c>
      <c r="D2125" s="244" t="s">
        <v>12</v>
      </c>
      <c r="E2125" s="263">
        <v>94</v>
      </c>
      <c r="F2125" s="294" t="s">
        <v>126</v>
      </c>
      <c r="G2125" s="294" t="s">
        <v>234</v>
      </c>
      <c r="H2125" s="298">
        <v>1</v>
      </c>
      <c r="M2125" s="274"/>
    </row>
    <row r="2126" spans="2:13" ht="15" customHeight="1" x14ac:dyDescent="0.25">
      <c r="B2126" s="289">
        <v>3560</v>
      </c>
      <c r="C2126" s="261">
        <v>124</v>
      </c>
      <c r="D2126" s="244" t="s">
        <v>12</v>
      </c>
      <c r="E2126" s="263">
        <v>1</v>
      </c>
      <c r="F2126" s="294" t="s">
        <v>126</v>
      </c>
      <c r="G2126" s="294" t="s">
        <v>235</v>
      </c>
      <c r="H2126" s="298">
        <v>1</v>
      </c>
      <c r="M2126" s="274"/>
    </row>
    <row r="2127" spans="2:13" ht="15" customHeight="1" x14ac:dyDescent="0.25">
      <c r="B2127" s="289">
        <v>3561</v>
      </c>
      <c r="C2127" s="261">
        <v>123</v>
      </c>
      <c r="D2127" s="244" t="s">
        <v>12</v>
      </c>
      <c r="E2127" s="263">
        <v>43</v>
      </c>
      <c r="F2127" s="294" t="s">
        <v>126</v>
      </c>
      <c r="G2127" s="294" t="s">
        <v>236</v>
      </c>
      <c r="H2127" s="298">
        <v>1</v>
      </c>
      <c r="M2127" s="274"/>
    </row>
    <row r="2128" spans="2:13" ht="15" customHeight="1" x14ac:dyDescent="0.25">
      <c r="B2128" s="289">
        <v>3562</v>
      </c>
      <c r="C2128" s="261">
        <v>123</v>
      </c>
      <c r="D2128" s="244" t="s">
        <v>12</v>
      </c>
      <c r="E2128" s="263">
        <v>43</v>
      </c>
      <c r="F2128" s="294" t="s">
        <v>126</v>
      </c>
      <c r="G2128" s="294" t="s">
        <v>237</v>
      </c>
      <c r="H2128" s="298">
        <v>1</v>
      </c>
      <c r="M2128" s="274"/>
    </row>
    <row r="2129" spans="2:13" ht="15" customHeight="1" x14ac:dyDescent="0.25">
      <c r="B2129" s="289">
        <v>3563</v>
      </c>
      <c r="C2129" s="261">
        <v>123</v>
      </c>
      <c r="D2129" s="244" t="s">
        <v>12</v>
      </c>
      <c r="E2129" s="263">
        <v>43</v>
      </c>
      <c r="F2129" s="294" t="s">
        <v>126</v>
      </c>
      <c r="G2129" s="294" t="s">
        <v>238</v>
      </c>
      <c r="H2129" s="298">
        <v>1</v>
      </c>
      <c r="M2129" s="274"/>
    </row>
    <row r="2130" spans="2:13" ht="15" customHeight="1" x14ac:dyDescent="0.25">
      <c r="B2130" s="289">
        <v>3564</v>
      </c>
      <c r="C2130" s="261">
        <v>123</v>
      </c>
      <c r="D2130" s="244" t="s">
        <v>12</v>
      </c>
      <c r="E2130" s="263">
        <v>36</v>
      </c>
      <c r="F2130" s="294" t="s">
        <v>126</v>
      </c>
      <c r="G2130" s="294" t="s">
        <v>239</v>
      </c>
      <c r="H2130" s="298">
        <v>1</v>
      </c>
      <c r="M2130" s="274"/>
    </row>
    <row r="2131" spans="2:13" ht="15" customHeight="1" x14ac:dyDescent="0.25">
      <c r="B2131" s="289">
        <v>3565</v>
      </c>
      <c r="C2131" s="261">
        <v>123</v>
      </c>
      <c r="D2131" s="244" t="s">
        <v>12</v>
      </c>
      <c r="E2131" s="263">
        <v>76</v>
      </c>
      <c r="F2131" s="294" t="s">
        <v>126</v>
      </c>
      <c r="G2131" s="294" t="s">
        <v>240</v>
      </c>
      <c r="H2131" s="298">
        <v>2</v>
      </c>
      <c r="M2131" s="274"/>
    </row>
    <row r="2132" spans="2:13" ht="15" customHeight="1" x14ac:dyDescent="0.25">
      <c r="B2132" s="289">
        <v>3567</v>
      </c>
      <c r="C2132" s="261">
        <v>123</v>
      </c>
      <c r="D2132" s="244" t="s">
        <v>12</v>
      </c>
      <c r="E2132" s="263">
        <v>79</v>
      </c>
      <c r="F2132" s="294" t="s">
        <v>126</v>
      </c>
      <c r="G2132" s="294" t="s">
        <v>241</v>
      </c>
      <c r="H2132" s="298">
        <v>2</v>
      </c>
      <c r="M2132" s="274"/>
    </row>
    <row r="2133" spans="2:13" ht="15" customHeight="1" x14ac:dyDescent="0.25">
      <c r="B2133" s="289">
        <v>3569</v>
      </c>
      <c r="C2133" s="261">
        <v>123</v>
      </c>
      <c r="D2133" s="244" t="s">
        <v>12</v>
      </c>
      <c r="E2133" s="263">
        <v>101</v>
      </c>
      <c r="F2133" s="294" t="s">
        <v>126</v>
      </c>
      <c r="G2133" s="294" t="s">
        <v>242</v>
      </c>
      <c r="H2133" s="298">
        <v>1</v>
      </c>
      <c r="M2133" s="274"/>
    </row>
    <row r="2134" spans="2:13" ht="15" customHeight="1" x14ac:dyDescent="0.25">
      <c r="B2134" s="289">
        <v>3570</v>
      </c>
      <c r="C2134" s="261">
        <v>123</v>
      </c>
      <c r="D2134" s="244" t="s">
        <v>12</v>
      </c>
      <c r="E2134" s="263">
        <v>101</v>
      </c>
      <c r="F2134" s="294" t="s">
        <v>126</v>
      </c>
      <c r="G2134" s="294" t="s">
        <v>243</v>
      </c>
      <c r="H2134" s="298">
        <v>1</v>
      </c>
      <c r="M2134" s="274"/>
    </row>
    <row r="2135" spans="2:13" ht="15" customHeight="1" x14ac:dyDescent="0.25">
      <c r="B2135" s="289">
        <v>3571</v>
      </c>
      <c r="C2135" s="261">
        <v>123</v>
      </c>
      <c r="D2135" s="244" t="s">
        <v>12</v>
      </c>
      <c r="E2135" s="263">
        <v>66</v>
      </c>
      <c r="F2135" s="294" t="s">
        <v>126</v>
      </c>
      <c r="G2135" s="294" t="s">
        <v>244</v>
      </c>
      <c r="H2135" s="298">
        <v>1</v>
      </c>
      <c r="M2135" s="274"/>
    </row>
    <row r="2136" spans="2:13" ht="15" customHeight="1" x14ac:dyDescent="0.25">
      <c r="B2136" s="289">
        <v>3572</v>
      </c>
      <c r="C2136" s="261">
        <v>123</v>
      </c>
      <c r="D2136" s="244" t="s">
        <v>12</v>
      </c>
      <c r="E2136" s="263">
        <v>80</v>
      </c>
      <c r="F2136" s="294" t="s">
        <v>126</v>
      </c>
      <c r="G2136" s="294" t="s">
        <v>245</v>
      </c>
      <c r="H2136" s="298">
        <v>1</v>
      </c>
      <c r="M2136" s="274"/>
    </row>
    <row r="2137" spans="2:13" ht="15" customHeight="1" x14ac:dyDescent="0.25">
      <c r="B2137" s="289">
        <v>3573</v>
      </c>
      <c r="C2137" s="261">
        <v>123</v>
      </c>
      <c r="D2137" s="244" t="s">
        <v>12</v>
      </c>
      <c r="E2137" s="263">
        <v>48</v>
      </c>
      <c r="F2137" s="294" t="s">
        <v>126</v>
      </c>
      <c r="G2137" s="294" t="s">
        <v>246</v>
      </c>
      <c r="H2137" s="298">
        <v>1</v>
      </c>
      <c r="M2137" s="274"/>
    </row>
    <row r="2138" spans="2:13" ht="15" customHeight="1" x14ac:dyDescent="0.25">
      <c r="B2138" s="289">
        <v>3575</v>
      </c>
      <c r="C2138" s="261">
        <v>123</v>
      </c>
      <c r="D2138" s="244" t="s">
        <v>12</v>
      </c>
      <c r="E2138" s="263">
        <v>84</v>
      </c>
      <c r="F2138" s="294" t="s">
        <v>126</v>
      </c>
      <c r="G2138" s="294" t="s">
        <v>247</v>
      </c>
      <c r="H2138" s="298">
        <v>1</v>
      </c>
      <c r="M2138" s="274"/>
    </row>
    <row r="2139" spans="2:13" ht="15" customHeight="1" x14ac:dyDescent="0.25">
      <c r="B2139" s="289">
        <v>3577</v>
      </c>
      <c r="C2139" s="261">
        <v>123</v>
      </c>
      <c r="D2139" s="244" t="s">
        <v>12</v>
      </c>
      <c r="E2139" s="263">
        <v>6</v>
      </c>
      <c r="F2139" s="294" t="s">
        <v>126</v>
      </c>
      <c r="G2139" s="294" t="s">
        <v>248</v>
      </c>
      <c r="H2139" s="298">
        <v>1</v>
      </c>
      <c r="M2139" s="274"/>
    </row>
    <row r="2140" spans="2:13" ht="15" customHeight="1" x14ac:dyDescent="0.25">
      <c r="B2140" s="289">
        <v>3578</v>
      </c>
      <c r="C2140" s="261">
        <v>123</v>
      </c>
      <c r="D2140" s="244" t="s">
        <v>12</v>
      </c>
      <c r="E2140" s="263">
        <v>99</v>
      </c>
      <c r="F2140" s="294" t="s">
        <v>126</v>
      </c>
      <c r="G2140" s="294" t="s">
        <v>249</v>
      </c>
      <c r="H2140" s="298">
        <v>1</v>
      </c>
      <c r="M2140" s="274"/>
    </row>
    <row r="2141" spans="2:13" ht="15" customHeight="1" x14ac:dyDescent="0.25">
      <c r="B2141" s="289">
        <v>3579</v>
      </c>
      <c r="C2141" s="261">
        <v>123</v>
      </c>
      <c r="D2141" s="244" t="s">
        <v>12</v>
      </c>
      <c r="E2141" s="263">
        <v>98</v>
      </c>
      <c r="F2141" s="294" t="s">
        <v>126</v>
      </c>
      <c r="G2141" s="294" t="s">
        <v>250</v>
      </c>
      <c r="H2141" s="298">
        <v>1</v>
      </c>
      <c r="M2141" s="274"/>
    </row>
    <row r="2142" spans="2:13" ht="15" customHeight="1" x14ac:dyDescent="0.25">
      <c r="B2142" s="289">
        <v>3580</v>
      </c>
      <c r="C2142" s="261">
        <v>123</v>
      </c>
      <c r="D2142" s="244" t="s">
        <v>12</v>
      </c>
      <c r="E2142" s="263">
        <v>99</v>
      </c>
      <c r="F2142" s="294" t="s">
        <v>126</v>
      </c>
      <c r="G2142" s="294" t="s">
        <v>251</v>
      </c>
      <c r="H2142" s="298">
        <v>1</v>
      </c>
      <c r="M2142" s="274"/>
    </row>
    <row r="2143" spans="2:13" ht="15" customHeight="1" x14ac:dyDescent="0.25">
      <c r="B2143" s="289">
        <v>3581</v>
      </c>
      <c r="C2143" s="261">
        <v>123</v>
      </c>
      <c r="D2143" s="244" t="s">
        <v>12</v>
      </c>
      <c r="E2143" s="263">
        <v>95</v>
      </c>
      <c r="F2143" s="294" t="s">
        <v>126</v>
      </c>
      <c r="G2143" s="294" t="s">
        <v>252</v>
      </c>
      <c r="H2143" s="298">
        <v>1</v>
      </c>
      <c r="M2143" s="274"/>
    </row>
    <row r="2144" spans="2:13" ht="15" customHeight="1" x14ac:dyDescent="0.25">
      <c r="B2144" s="289">
        <v>3581</v>
      </c>
      <c r="C2144" s="261">
        <v>130</v>
      </c>
      <c r="D2144" s="244" t="s">
        <v>12</v>
      </c>
      <c r="E2144" s="263">
        <v>3</v>
      </c>
      <c r="F2144" s="294" t="s">
        <v>126</v>
      </c>
      <c r="G2144" s="294" t="s">
        <v>253</v>
      </c>
      <c r="H2144" s="298">
        <v>1</v>
      </c>
      <c r="M2144" s="274"/>
    </row>
    <row r="2145" spans="2:13" ht="15" customHeight="1" x14ac:dyDescent="0.25">
      <c r="B2145" s="289">
        <v>3582</v>
      </c>
      <c r="C2145" s="261">
        <v>123</v>
      </c>
      <c r="D2145" s="244" t="s">
        <v>12</v>
      </c>
      <c r="E2145" s="263">
        <v>96</v>
      </c>
      <c r="F2145" s="294" t="s">
        <v>126</v>
      </c>
      <c r="G2145" s="294" t="s">
        <v>254</v>
      </c>
      <c r="H2145" s="298">
        <v>1</v>
      </c>
      <c r="M2145" s="274"/>
    </row>
    <row r="2146" spans="2:13" ht="15" customHeight="1" x14ac:dyDescent="0.25">
      <c r="B2146" s="289">
        <v>3583</v>
      </c>
      <c r="C2146" s="261">
        <v>123</v>
      </c>
      <c r="D2146" s="244" t="s">
        <v>12</v>
      </c>
      <c r="E2146" s="263">
        <v>99</v>
      </c>
      <c r="F2146" s="294" t="s">
        <v>126</v>
      </c>
      <c r="G2146" s="294" t="s">
        <v>255</v>
      </c>
      <c r="H2146" s="298">
        <v>2</v>
      </c>
      <c r="M2146" s="274"/>
    </row>
    <row r="2147" spans="2:13" ht="15" customHeight="1" x14ac:dyDescent="0.25">
      <c r="B2147" s="289">
        <v>3585</v>
      </c>
      <c r="C2147" s="261">
        <v>123</v>
      </c>
      <c r="D2147" s="244" t="s">
        <v>12</v>
      </c>
      <c r="E2147" s="263">
        <v>99</v>
      </c>
      <c r="F2147" s="294" t="s">
        <v>126</v>
      </c>
      <c r="G2147" s="294" t="s">
        <v>256</v>
      </c>
      <c r="H2147" s="298">
        <v>1</v>
      </c>
      <c r="M2147" s="274"/>
    </row>
    <row r="2148" spans="2:13" ht="15" customHeight="1" x14ac:dyDescent="0.25">
      <c r="B2148" s="289">
        <v>3586</v>
      </c>
      <c r="C2148" s="261">
        <v>123</v>
      </c>
      <c r="D2148" s="244" t="s">
        <v>12</v>
      </c>
      <c r="E2148" s="263">
        <v>71</v>
      </c>
      <c r="F2148" s="294" t="s">
        <v>126</v>
      </c>
      <c r="G2148" s="294" t="s">
        <v>257</v>
      </c>
      <c r="H2148" s="298">
        <v>1</v>
      </c>
      <c r="M2148" s="274"/>
    </row>
    <row r="2149" spans="2:13" ht="15" customHeight="1" x14ac:dyDescent="0.25">
      <c r="B2149" s="289">
        <v>3587</v>
      </c>
      <c r="C2149" s="261">
        <v>123</v>
      </c>
      <c r="D2149" s="244" t="s">
        <v>12</v>
      </c>
      <c r="E2149" s="263">
        <v>71</v>
      </c>
      <c r="F2149" s="294" t="s">
        <v>126</v>
      </c>
      <c r="G2149" s="294" t="s">
        <v>258</v>
      </c>
      <c r="H2149" s="298">
        <v>1</v>
      </c>
      <c r="M2149" s="274"/>
    </row>
    <row r="2150" spans="2:13" ht="15" customHeight="1" x14ac:dyDescent="0.25">
      <c r="B2150" s="289">
        <v>3591</v>
      </c>
      <c r="C2150" s="261">
        <v>123</v>
      </c>
      <c r="D2150" s="244" t="s">
        <v>12</v>
      </c>
      <c r="E2150" s="263">
        <v>77</v>
      </c>
      <c r="F2150" s="294" t="s">
        <v>126</v>
      </c>
      <c r="G2150" s="294" t="s">
        <v>259</v>
      </c>
      <c r="H2150" s="298">
        <v>1</v>
      </c>
      <c r="M2150" s="274"/>
    </row>
    <row r="2151" spans="2:13" ht="15" customHeight="1" x14ac:dyDescent="0.25">
      <c r="B2151" s="289">
        <v>3592</v>
      </c>
      <c r="C2151" s="261">
        <v>123</v>
      </c>
      <c r="D2151" s="244" t="s">
        <v>12</v>
      </c>
      <c r="E2151" s="263">
        <v>63</v>
      </c>
      <c r="F2151" s="294" t="s">
        <v>126</v>
      </c>
      <c r="G2151" s="294" t="s">
        <v>260</v>
      </c>
      <c r="H2151" s="298">
        <v>1</v>
      </c>
      <c r="M2151" s="274"/>
    </row>
    <row r="2152" spans="2:13" ht="15" customHeight="1" x14ac:dyDescent="0.25">
      <c r="B2152" s="289">
        <v>3594</v>
      </c>
      <c r="C2152" s="261">
        <v>123</v>
      </c>
      <c r="D2152" s="244" t="s">
        <v>12</v>
      </c>
      <c r="E2152" s="263">
        <v>63</v>
      </c>
      <c r="F2152" s="294" t="s">
        <v>126</v>
      </c>
      <c r="G2152" s="294" t="s">
        <v>261</v>
      </c>
      <c r="H2152" s="298">
        <v>1</v>
      </c>
      <c r="M2152" s="274"/>
    </row>
    <row r="2153" spans="2:13" ht="15" customHeight="1" x14ac:dyDescent="0.25">
      <c r="B2153" s="289">
        <v>3595</v>
      </c>
      <c r="C2153" s="261">
        <v>123</v>
      </c>
      <c r="D2153" s="244" t="s">
        <v>12</v>
      </c>
      <c r="E2153" s="263">
        <v>54</v>
      </c>
      <c r="F2153" s="294" t="s">
        <v>126</v>
      </c>
      <c r="G2153" s="294" t="s">
        <v>262</v>
      </c>
      <c r="H2153" s="298">
        <v>1</v>
      </c>
      <c r="M2153" s="274"/>
    </row>
    <row r="2154" spans="2:13" ht="15" customHeight="1" x14ac:dyDescent="0.25">
      <c r="B2154" s="289">
        <v>3596</v>
      </c>
      <c r="C2154" s="261">
        <v>123</v>
      </c>
      <c r="D2154" s="244" t="s">
        <v>12</v>
      </c>
      <c r="E2154" s="263">
        <v>65</v>
      </c>
      <c r="F2154" s="294" t="s">
        <v>126</v>
      </c>
      <c r="G2154" s="294" t="s">
        <v>263</v>
      </c>
      <c r="H2154" s="298">
        <v>1</v>
      </c>
      <c r="M2154" s="274"/>
    </row>
    <row r="2155" spans="2:13" ht="15" customHeight="1" x14ac:dyDescent="0.25">
      <c r="B2155" s="289">
        <v>3597</v>
      </c>
      <c r="C2155" s="261">
        <v>123</v>
      </c>
      <c r="D2155" s="244" t="s">
        <v>12</v>
      </c>
      <c r="E2155" s="263">
        <v>69</v>
      </c>
      <c r="F2155" s="294" t="s">
        <v>126</v>
      </c>
      <c r="G2155" s="294" t="s">
        <v>264</v>
      </c>
      <c r="H2155" s="298">
        <v>1</v>
      </c>
      <c r="M2155" s="274"/>
    </row>
    <row r="2156" spans="2:13" ht="15" customHeight="1" x14ac:dyDescent="0.25">
      <c r="B2156" s="289">
        <v>3598</v>
      </c>
      <c r="C2156" s="261">
        <v>123</v>
      </c>
      <c r="D2156" s="244" t="s">
        <v>12</v>
      </c>
      <c r="E2156" s="263">
        <v>70</v>
      </c>
      <c r="F2156" s="294" t="s">
        <v>126</v>
      </c>
      <c r="G2156" s="294" t="s">
        <v>265</v>
      </c>
      <c r="H2156" s="298">
        <v>1</v>
      </c>
      <c r="M2156" s="274"/>
    </row>
    <row r="2157" spans="2:13" ht="15" customHeight="1" x14ac:dyDescent="0.25">
      <c r="B2157" s="289">
        <v>3599</v>
      </c>
      <c r="C2157" s="261">
        <v>123</v>
      </c>
      <c r="D2157" s="244" t="s">
        <v>12</v>
      </c>
      <c r="E2157" s="263">
        <v>56</v>
      </c>
      <c r="F2157" s="294" t="s">
        <v>126</v>
      </c>
      <c r="G2157" s="294" t="s">
        <v>266</v>
      </c>
      <c r="H2157" s="298">
        <v>2</v>
      </c>
      <c r="M2157" s="274"/>
    </row>
    <row r="2158" spans="2:13" ht="15" customHeight="1" x14ac:dyDescent="0.25">
      <c r="B2158" s="289">
        <v>3601</v>
      </c>
      <c r="C2158" s="261">
        <v>127</v>
      </c>
      <c r="D2158" s="244" t="s">
        <v>11</v>
      </c>
      <c r="E2158" s="263">
        <v>8</v>
      </c>
      <c r="F2158" s="294" t="s">
        <v>267</v>
      </c>
      <c r="G2158" s="294" t="s">
        <v>126</v>
      </c>
      <c r="H2158" s="298">
        <v>1</v>
      </c>
      <c r="M2158" s="274"/>
    </row>
    <row r="2159" spans="2:13" ht="15" customHeight="1" x14ac:dyDescent="0.25">
      <c r="B2159" s="289">
        <v>3602</v>
      </c>
      <c r="C2159" s="261">
        <v>123</v>
      </c>
      <c r="D2159" s="244" t="s">
        <v>12</v>
      </c>
      <c r="E2159" s="263">
        <v>44</v>
      </c>
      <c r="F2159" s="294" t="s">
        <v>126</v>
      </c>
      <c r="G2159" s="294" t="s">
        <v>268</v>
      </c>
      <c r="H2159" s="298">
        <v>1</v>
      </c>
      <c r="M2159" s="274"/>
    </row>
    <row r="2160" spans="2:13" ht="15" customHeight="1" x14ac:dyDescent="0.25">
      <c r="B2160" s="289">
        <v>3603</v>
      </c>
      <c r="C2160" s="261">
        <v>123</v>
      </c>
      <c r="D2160" s="244" t="s">
        <v>12</v>
      </c>
      <c r="E2160" s="263">
        <v>3</v>
      </c>
      <c r="F2160" s="294" t="s">
        <v>126</v>
      </c>
      <c r="G2160" s="294" t="s">
        <v>269</v>
      </c>
      <c r="H2160" s="298">
        <v>1</v>
      </c>
      <c r="M2160" s="274"/>
    </row>
    <row r="2161" spans="2:13" ht="15" customHeight="1" x14ac:dyDescent="0.25">
      <c r="B2161" s="289">
        <v>3604</v>
      </c>
      <c r="C2161" s="261">
        <v>123</v>
      </c>
      <c r="D2161" s="244" t="s">
        <v>12</v>
      </c>
      <c r="E2161" s="263">
        <v>98</v>
      </c>
      <c r="F2161" s="294" t="s">
        <v>126</v>
      </c>
      <c r="G2161" s="294" t="s">
        <v>270</v>
      </c>
      <c r="H2161" s="298">
        <v>1</v>
      </c>
      <c r="M2161" s="274"/>
    </row>
    <row r="2162" spans="2:13" ht="15" customHeight="1" x14ac:dyDescent="0.25">
      <c r="B2162" s="289">
        <v>3605</v>
      </c>
      <c r="C2162" s="261">
        <v>123</v>
      </c>
      <c r="D2162" s="244" t="s">
        <v>12</v>
      </c>
      <c r="E2162" s="263">
        <v>81</v>
      </c>
      <c r="F2162" s="294" t="s">
        <v>126</v>
      </c>
      <c r="G2162" s="294" t="s">
        <v>271</v>
      </c>
      <c r="H2162" s="298">
        <v>1</v>
      </c>
      <c r="M2162" s="274"/>
    </row>
    <row r="2163" spans="2:13" ht="15" customHeight="1" x14ac:dyDescent="0.25">
      <c r="B2163" s="289">
        <v>3606</v>
      </c>
      <c r="C2163" s="261">
        <v>123</v>
      </c>
      <c r="D2163" s="244" t="s">
        <v>12</v>
      </c>
      <c r="E2163" s="263">
        <v>81</v>
      </c>
      <c r="F2163" s="294" t="s">
        <v>126</v>
      </c>
      <c r="G2163" s="294" t="s">
        <v>272</v>
      </c>
      <c r="H2163" s="298">
        <v>1</v>
      </c>
      <c r="M2163" s="274"/>
    </row>
    <row r="2164" spans="2:13" ht="15" customHeight="1" x14ac:dyDescent="0.25">
      <c r="B2164" s="289">
        <v>3607</v>
      </c>
      <c r="C2164" s="261">
        <v>123</v>
      </c>
      <c r="D2164" s="244" t="s">
        <v>12</v>
      </c>
      <c r="E2164" s="263">
        <v>70</v>
      </c>
      <c r="F2164" s="294" t="s">
        <v>126</v>
      </c>
      <c r="G2164" s="294" t="s">
        <v>273</v>
      </c>
      <c r="H2164" s="298">
        <v>1</v>
      </c>
      <c r="M2164" s="274"/>
    </row>
    <row r="2165" spans="2:13" ht="15" customHeight="1" x14ac:dyDescent="0.25">
      <c r="B2165" s="289">
        <v>3608</v>
      </c>
      <c r="C2165" s="261">
        <v>123</v>
      </c>
      <c r="D2165" s="244" t="s">
        <v>12</v>
      </c>
      <c r="E2165" s="263">
        <v>70</v>
      </c>
      <c r="F2165" s="294" t="s">
        <v>126</v>
      </c>
      <c r="G2165" s="294" t="s">
        <v>274</v>
      </c>
      <c r="H2165" s="298">
        <v>1</v>
      </c>
      <c r="M2165" s="274"/>
    </row>
    <row r="2166" spans="2:13" ht="15" customHeight="1" x14ac:dyDescent="0.25">
      <c r="B2166" s="289">
        <v>3612</v>
      </c>
      <c r="C2166" s="261">
        <v>123</v>
      </c>
      <c r="D2166" s="244" t="s">
        <v>12</v>
      </c>
      <c r="E2166" s="263">
        <v>5</v>
      </c>
      <c r="F2166" s="294" t="s">
        <v>126</v>
      </c>
      <c r="G2166" s="294" t="s">
        <v>275</v>
      </c>
      <c r="H2166" s="298">
        <v>1</v>
      </c>
      <c r="M2166" s="274"/>
    </row>
    <row r="2167" spans="2:13" ht="15" customHeight="1" x14ac:dyDescent="0.25">
      <c r="B2167" s="289">
        <v>3614</v>
      </c>
      <c r="C2167" s="261">
        <v>123</v>
      </c>
      <c r="D2167" s="244" t="s">
        <v>12</v>
      </c>
      <c r="E2167" s="263">
        <v>26</v>
      </c>
      <c r="F2167" s="294" t="s">
        <v>126</v>
      </c>
      <c r="G2167" s="294" t="s">
        <v>276</v>
      </c>
      <c r="H2167" s="298">
        <v>1</v>
      </c>
      <c r="M2167" s="274"/>
    </row>
    <row r="2168" spans="2:13" ht="15" customHeight="1" x14ac:dyDescent="0.25">
      <c r="B2168" s="289">
        <v>3615</v>
      </c>
      <c r="C2168" s="261">
        <v>123</v>
      </c>
      <c r="D2168" s="244" t="s">
        <v>12</v>
      </c>
      <c r="E2168" s="263">
        <v>89</v>
      </c>
      <c r="F2168" s="294" t="s">
        <v>126</v>
      </c>
      <c r="G2168" s="294" t="s">
        <v>277</v>
      </c>
      <c r="H2168" s="298">
        <v>1</v>
      </c>
      <c r="M2168" s="274"/>
    </row>
    <row r="2169" spans="2:13" ht="15" customHeight="1" x14ac:dyDescent="0.25">
      <c r="B2169" s="289">
        <v>3616</v>
      </c>
      <c r="C2169" s="261">
        <v>123</v>
      </c>
      <c r="D2169" s="244" t="s">
        <v>12</v>
      </c>
      <c r="E2169" s="263">
        <v>69</v>
      </c>
      <c r="F2169" s="294" t="s">
        <v>126</v>
      </c>
      <c r="G2169" s="294" t="s">
        <v>278</v>
      </c>
      <c r="H2169" s="298">
        <v>1</v>
      </c>
      <c r="M2169" s="274"/>
    </row>
    <row r="2170" spans="2:13" ht="15" customHeight="1" x14ac:dyDescent="0.25">
      <c r="B2170" s="289">
        <v>3617</v>
      </c>
      <c r="C2170" s="261">
        <v>123</v>
      </c>
      <c r="D2170" s="244" t="s">
        <v>12</v>
      </c>
      <c r="E2170" s="263">
        <v>44</v>
      </c>
      <c r="F2170" s="294" t="s">
        <v>126</v>
      </c>
      <c r="G2170" s="294" t="s">
        <v>279</v>
      </c>
      <c r="H2170" s="298">
        <v>1</v>
      </c>
      <c r="M2170" s="274"/>
    </row>
    <row r="2171" spans="2:13" ht="15" customHeight="1" x14ac:dyDescent="0.25">
      <c r="B2171" s="289">
        <v>3618</v>
      </c>
      <c r="C2171" s="261">
        <v>123</v>
      </c>
      <c r="D2171" s="244" t="s">
        <v>12</v>
      </c>
      <c r="E2171" s="263">
        <v>69</v>
      </c>
      <c r="F2171" s="294" t="s">
        <v>126</v>
      </c>
      <c r="G2171" s="294" t="s">
        <v>280</v>
      </c>
      <c r="H2171" s="298">
        <v>1</v>
      </c>
      <c r="M2171" s="274"/>
    </row>
    <row r="2172" spans="2:13" ht="15" customHeight="1" x14ac:dyDescent="0.25">
      <c r="B2172" s="289">
        <v>3625</v>
      </c>
      <c r="C2172" s="261">
        <v>123</v>
      </c>
      <c r="D2172" s="244" t="s">
        <v>12</v>
      </c>
      <c r="E2172" s="263">
        <v>96</v>
      </c>
      <c r="F2172" s="294" t="s">
        <v>126</v>
      </c>
      <c r="G2172" s="294" t="s">
        <v>281</v>
      </c>
      <c r="H2172" s="298">
        <v>1</v>
      </c>
      <c r="M2172" s="274"/>
    </row>
    <row r="2173" spans="2:13" ht="15" customHeight="1" x14ac:dyDescent="0.25">
      <c r="B2173" s="289">
        <v>3629</v>
      </c>
      <c r="C2173" s="261">
        <v>123</v>
      </c>
      <c r="D2173" s="244" t="s">
        <v>12</v>
      </c>
      <c r="E2173" s="263">
        <v>88</v>
      </c>
      <c r="F2173" s="294" t="s">
        <v>126</v>
      </c>
      <c r="G2173" s="294" t="s">
        <v>282</v>
      </c>
      <c r="H2173" s="298">
        <v>1</v>
      </c>
      <c r="M2173" s="274"/>
    </row>
    <row r="2174" spans="2:13" ht="15" customHeight="1" x14ac:dyDescent="0.25">
      <c r="B2174" s="289">
        <v>3630</v>
      </c>
      <c r="C2174" s="261">
        <v>123</v>
      </c>
      <c r="D2174" s="244" t="s">
        <v>12</v>
      </c>
      <c r="E2174" s="263">
        <v>100</v>
      </c>
      <c r="F2174" s="294" t="s">
        <v>126</v>
      </c>
      <c r="G2174" s="294" t="s">
        <v>283</v>
      </c>
      <c r="H2174" s="298">
        <v>1</v>
      </c>
      <c r="M2174" s="274"/>
    </row>
    <row r="2175" spans="2:13" ht="15" customHeight="1" x14ac:dyDescent="0.25">
      <c r="B2175" s="289">
        <v>3642</v>
      </c>
      <c r="C2175" s="261">
        <v>123</v>
      </c>
      <c r="D2175" s="244" t="s">
        <v>12</v>
      </c>
      <c r="E2175" s="263">
        <v>5</v>
      </c>
      <c r="F2175" s="294" t="s">
        <v>126</v>
      </c>
      <c r="G2175" s="294" t="s">
        <v>284</v>
      </c>
      <c r="H2175" s="298">
        <v>1</v>
      </c>
      <c r="M2175" s="274"/>
    </row>
    <row r="2176" spans="2:13" ht="15" customHeight="1" x14ac:dyDescent="0.25">
      <c r="B2176" s="289">
        <v>3643</v>
      </c>
      <c r="C2176" s="261">
        <v>124</v>
      </c>
      <c r="D2176" s="244" t="s">
        <v>12</v>
      </c>
      <c r="E2176" s="263">
        <v>2</v>
      </c>
      <c r="F2176" s="294" t="s">
        <v>126</v>
      </c>
      <c r="G2176" s="294" t="s">
        <v>285</v>
      </c>
      <c r="H2176" s="298">
        <v>1</v>
      </c>
      <c r="M2176" s="274"/>
    </row>
    <row r="2177" spans="2:13" ht="15" customHeight="1" x14ac:dyDescent="0.25">
      <c r="B2177" s="289">
        <v>3645</v>
      </c>
      <c r="C2177" s="261">
        <v>123</v>
      </c>
      <c r="D2177" s="244" t="s">
        <v>12</v>
      </c>
      <c r="E2177" s="263">
        <v>33</v>
      </c>
      <c r="F2177" s="294" t="s">
        <v>126</v>
      </c>
      <c r="G2177" s="294" t="s">
        <v>286</v>
      </c>
      <c r="H2177" s="298">
        <v>1</v>
      </c>
      <c r="M2177" s="274"/>
    </row>
    <row r="2178" spans="2:13" ht="15" customHeight="1" x14ac:dyDescent="0.25">
      <c r="B2178" s="289">
        <v>3647</v>
      </c>
      <c r="C2178" s="261">
        <v>123</v>
      </c>
      <c r="D2178" s="244" t="s">
        <v>12</v>
      </c>
      <c r="E2178" s="263">
        <v>94</v>
      </c>
      <c r="F2178" s="294" t="s">
        <v>126</v>
      </c>
      <c r="G2178" s="294" t="s">
        <v>287</v>
      </c>
      <c r="H2178" s="298">
        <v>1</v>
      </c>
      <c r="M2178" s="274"/>
    </row>
    <row r="2179" spans="2:13" ht="15" customHeight="1" x14ac:dyDescent="0.25">
      <c r="B2179" s="289">
        <v>3648</v>
      </c>
      <c r="C2179" s="261">
        <v>123</v>
      </c>
      <c r="D2179" s="244" t="s">
        <v>12</v>
      </c>
      <c r="E2179" s="263">
        <v>94</v>
      </c>
      <c r="F2179" s="294" t="s">
        <v>126</v>
      </c>
      <c r="G2179" s="294" t="s">
        <v>288</v>
      </c>
      <c r="H2179" s="298">
        <v>1</v>
      </c>
      <c r="M2179" s="274"/>
    </row>
    <row r="2180" spans="2:13" ht="15" customHeight="1" x14ac:dyDescent="0.25">
      <c r="B2180" s="289">
        <v>3651</v>
      </c>
      <c r="C2180" s="261">
        <v>123</v>
      </c>
      <c r="D2180" s="244" t="s">
        <v>12</v>
      </c>
      <c r="E2180" s="263">
        <v>49</v>
      </c>
      <c r="F2180" s="294" t="s">
        <v>126</v>
      </c>
      <c r="G2180" s="294" t="s">
        <v>289</v>
      </c>
      <c r="H2180" s="298">
        <v>1</v>
      </c>
      <c r="M2180" s="274"/>
    </row>
    <row r="2181" spans="2:13" ht="15" customHeight="1" x14ac:dyDescent="0.25">
      <c r="B2181" s="289">
        <v>3653</v>
      </c>
      <c r="C2181" s="261">
        <v>123</v>
      </c>
      <c r="D2181" s="244" t="s">
        <v>12</v>
      </c>
      <c r="E2181" s="263">
        <v>73</v>
      </c>
      <c r="F2181" s="294" t="s">
        <v>126</v>
      </c>
      <c r="G2181" s="294" t="s">
        <v>290</v>
      </c>
      <c r="H2181" s="298">
        <v>1</v>
      </c>
      <c r="M2181" s="274"/>
    </row>
    <row r="2182" spans="2:13" ht="15" customHeight="1" x14ac:dyDescent="0.25">
      <c r="B2182" s="289">
        <v>3654</v>
      </c>
      <c r="C2182" s="261">
        <v>123</v>
      </c>
      <c r="D2182" s="244" t="s">
        <v>12</v>
      </c>
      <c r="E2182" s="263">
        <v>88</v>
      </c>
      <c r="F2182" s="294" t="s">
        <v>126</v>
      </c>
      <c r="G2182" s="294" t="s">
        <v>291</v>
      </c>
      <c r="H2182" s="298">
        <v>1</v>
      </c>
      <c r="M2182" s="274"/>
    </row>
    <row r="2183" spans="2:13" ht="15" customHeight="1" x14ac:dyDescent="0.25">
      <c r="B2183" s="289">
        <v>3655</v>
      </c>
      <c r="C2183" s="261">
        <v>123</v>
      </c>
      <c r="D2183" s="244" t="s">
        <v>12</v>
      </c>
      <c r="E2183" s="263">
        <v>4</v>
      </c>
      <c r="F2183" s="294" t="s">
        <v>126</v>
      </c>
      <c r="G2183" s="294" t="s">
        <v>292</v>
      </c>
      <c r="H2183" s="298">
        <v>1</v>
      </c>
      <c r="M2183" s="274"/>
    </row>
    <row r="2184" spans="2:13" ht="15" customHeight="1" x14ac:dyDescent="0.25">
      <c r="B2184" s="289">
        <v>3663</v>
      </c>
      <c r="C2184" s="261">
        <v>123</v>
      </c>
      <c r="D2184" s="244" t="s">
        <v>12</v>
      </c>
      <c r="E2184" s="263">
        <v>50</v>
      </c>
      <c r="F2184" s="294" t="s">
        <v>126</v>
      </c>
      <c r="G2184" s="294" t="s">
        <v>293</v>
      </c>
      <c r="H2184" s="298">
        <v>1</v>
      </c>
      <c r="M2184" s="274"/>
    </row>
    <row r="2185" spans="2:13" ht="15" customHeight="1" x14ac:dyDescent="0.25">
      <c r="B2185" s="289">
        <v>3667</v>
      </c>
      <c r="C2185" s="261">
        <v>123</v>
      </c>
      <c r="D2185" s="244" t="s">
        <v>12</v>
      </c>
      <c r="E2185" s="263">
        <v>79</v>
      </c>
      <c r="F2185" s="294" t="s">
        <v>126</v>
      </c>
      <c r="G2185" s="294" t="s">
        <v>294</v>
      </c>
      <c r="H2185" s="298">
        <v>1</v>
      </c>
      <c r="M2185" s="274"/>
    </row>
    <row r="2186" spans="2:13" ht="15" customHeight="1" x14ac:dyDescent="0.25">
      <c r="B2186" s="289">
        <v>3674</v>
      </c>
      <c r="C2186" s="261">
        <v>123</v>
      </c>
      <c r="D2186" s="244" t="s">
        <v>12</v>
      </c>
      <c r="E2186" s="263">
        <v>100</v>
      </c>
      <c r="F2186" s="294" t="s">
        <v>126</v>
      </c>
      <c r="G2186" s="294" t="s">
        <v>295</v>
      </c>
      <c r="H2186" s="298">
        <v>1</v>
      </c>
      <c r="M2186" s="274"/>
    </row>
    <row r="2187" spans="2:13" ht="15" customHeight="1" x14ac:dyDescent="0.25">
      <c r="B2187" s="289">
        <v>3676</v>
      </c>
      <c r="C2187" s="261">
        <v>127</v>
      </c>
      <c r="D2187" s="244" t="s">
        <v>12</v>
      </c>
      <c r="E2187" s="263">
        <v>3</v>
      </c>
      <c r="F2187" s="294" t="s">
        <v>126</v>
      </c>
      <c r="G2187" s="294" t="s">
        <v>296</v>
      </c>
      <c r="H2187" s="298">
        <v>1</v>
      </c>
      <c r="M2187" s="274"/>
    </row>
    <row r="2188" spans="2:13" ht="15" customHeight="1" x14ac:dyDescent="0.25">
      <c r="B2188" s="289">
        <v>3682</v>
      </c>
      <c r="C2188" s="261">
        <v>122</v>
      </c>
      <c r="D2188" s="244" t="s">
        <v>11</v>
      </c>
      <c r="E2188" s="263">
        <v>14</v>
      </c>
      <c r="F2188" s="294" t="s">
        <v>297</v>
      </c>
      <c r="G2188" s="294" t="s">
        <v>126</v>
      </c>
      <c r="H2188" s="298">
        <v>1</v>
      </c>
      <c r="M2188" s="274"/>
    </row>
    <row r="2189" spans="2:13" ht="15" customHeight="1" x14ac:dyDescent="0.25">
      <c r="B2189" s="289">
        <v>3684</v>
      </c>
      <c r="C2189" s="261">
        <v>123</v>
      </c>
      <c r="D2189" s="244" t="s">
        <v>12</v>
      </c>
      <c r="E2189" s="263">
        <v>62</v>
      </c>
      <c r="F2189" s="294" t="s">
        <v>126</v>
      </c>
      <c r="G2189" s="294" t="s">
        <v>298</v>
      </c>
      <c r="H2189" s="298">
        <v>1</v>
      </c>
      <c r="M2189" s="274"/>
    </row>
    <row r="2190" spans="2:13" ht="15" customHeight="1" x14ac:dyDescent="0.25">
      <c r="B2190" s="289">
        <v>3685</v>
      </c>
      <c r="C2190" s="261">
        <v>121</v>
      </c>
      <c r="D2190" s="244" t="s">
        <v>12</v>
      </c>
      <c r="E2190" s="263">
        <v>9</v>
      </c>
      <c r="F2190" s="294" t="s">
        <v>126</v>
      </c>
      <c r="G2190" s="294" t="s">
        <v>299</v>
      </c>
      <c r="H2190" s="298">
        <v>1</v>
      </c>
      <c r="M2190" s="274"/>
    </row>
    <row r="2191" spans="2:13" ht="15" customHeight="1" x14ac:dyDescent="0.25">
      <c r="B2191" s="289">
        <v>3686</v>
      </c>
      <c r="C2191" s="261">
        <v>123</v>
      </c>
      <c r="D2191" s="244" t="s">
        <v>12</v>
      </c>
      <c r="E2191" s="263">
        <v>47</v>
      </c>
      <c r="F2191" s="294" t="s">
        <v>126</v>
      </c>
      <c r="G2191" s="294" t="s">
        <v>300</v>
      </c>
      <c r="H2191" s="298">
        <v>1</v>
      </c>
      <c r="M2191" s="274"/>
    </row>
    <row r="2192" spans="2:13" ht="15" customHeight="1" x14ac:dyDescent="0.25">
      <c r="B2192" s="289">
        <v>3687</v>
      </c>
      <c r="C2192" s="261">
        <v>131</v>
      </c>
      <c r="D2192" s="244" t="s">
        <v>12</v>
      </c>
      <c r="E2192" s="263">
        <v>5</v>
      </c>
      <c r="F2192" s="294" t="s">
        <v>126</v>
      </c>
      <c r="G2192" s="294" t="s">
        <v>301</v>
      </c>
      <c r="H2192" s="298">
        <v>1</v>
      </c>
      <c r="M2192" s="274"/>
    </row>
    <row r="2193" spans="2:13" ht="15" customHeight="1" x14ac:dyDescent="0.25">
      <c r="B2193" s="289">
        <v>3688</v>
      </c>
      <c r="C2193" s="261">
        <v>123</v>
      </c>
      <c r="D2193" s="244" t="s">
        <v>12</v>
      </c>
      <c r="E2193" s="263">
        <v>80</v>
      </c>
      <c r="F2193" s="294" t="s">
        <v>126</v>
      </c>
      <c r="G2193" s="294" t="s">
        <v>302</v>
      </c>
      <c r="H2193" s="298">
        <v>1</v>
      </c>
      <c r="M2193" s="274"/>
    </row>
    <row r="2194" spans="2:13" ht="15" customHeight="1" x14ac:dyDescent="0.25">
      <c r="B2194" s="289">
        <v>3688</v>
      </c>
      <c r="C2194" s="261">
        <v>126</v>
      </c>
      <c r="D2194" s="244" t="s">
        <v>11</v>
      </c>
      <c r="E2194" s="263">
        <v>1</v>
      </c>
      <c r="F2194" s="294" t="s">
        <v>235</v>
      </c>
      <c r="G2194" s="294" t="s">
        <v>126</v>
      </c>
      <c r="H2194" s="298">
        <v>1</v>
      </c>
      <c r="M2194" s="274"/>
    </row>
    <row r="2195" spans="2:13" ht="15" customHeight="1" x14ac:dyDescent="0.25">
      <c r="B2195" s="289">
        <v>3689</v>
      </c>
      <c r="C2195" s="261">
        <v>123</v>
      </c>
      <c r="D2195" s="244" t="s">
        <v>12</v>
      </c>
      <c r="E2195" s="263">
        <v>80</v>
      </c>
      <c r="F2195" s="294" t="s">
        <v>126</v>
      </c>
      <c r="G2195" s="294" t="s">
        <v>303</v>
      </c>
      <c r="H2195" s="298">
        <v>1</v>
      </c>
      <c r="M2195" s="274"/>
    </row>
    <row r="2196" spans="2:13" ht="15" customHeight="1" x14ac:dyDescent="0.25">
      <c r="B2196" s="289">
        <v>3689</v>
      </c>
      <c r="C2196" s="261">
        <v>126</v>
      </c>
      <c r="D2196" s="244" t="s">
        <v>11</v>
      </c>
      <c r="E2196" s="263">
        <v>1</v>
      </c>
      <c r="F2196" s="294" t="s">
        <v>235</v>
      </c>
      <c r="G2196" s="294" t="s">
        <v>126</v>
      </c>
      <c r="H2196" s="298">
        <v>1</v>
      </c>
      <c r="M2196" s="274"/>
    </row>
    <row r="2197" spans="2:13" ht="15" customHeight="1" x14ac:dyDescent="0.25">
      <c r="B2197" s="289">
        <v>3690</v>
      </c>
      <c r="C2197" s="261">
        <v>123</v>
      </c>
      <c r="D2197" s="244" t="s">
        <v>12</v>
      </c>
      <c r="E2197" s="263">
        <v>85</v>
      </c>
      <c r="F2197" s="294" t="s">
        <v>126</v>
      </c>
      <c r="G2197" s="294" t="s">
        <v>304</v>
      </c>
      <c r="H2197" s="298">
        <v>1</v>
      </c>
      <c r="M2197" s="274"/>
    </row>
    <row r="2198" spans="2:13" ht="15" customHeight="1" x14ac:dyDescent="0.25">
      <c r="B2198" s="289">
        <v>3697</v>
      </c>
      <c r="C2198" s="261">
        <v>123</v>
      </c>
      <c r="D2198" s="244" t="s">
        <v>12</v>
      </c>
      <c r="E2198" s="263">
        <v>100</v>
      </c>
      <c r="F2198" s="294" t="s">
        <v>126</v>
      </c>
      <c r="G2198" s="294" t="s">
        <v>305</v>
      </c>
      <c r="H2198" s="298">
        <v>1</v>
      </c>
      <c r="M2198" s="274"/>
    </row>
    <row r="2199" spans="2:13" ht="15" customHeight="1" x14ac:dyDescent="0.25">
      <c r="B2199" s="289">
        <v>3699</v>
      </c>
      <c r="C2199" s="261">
        <v>123</v>
      </c>
      <c r="D2199" s="244" t="s">
        <v>12</v>
      </c>
      <c r="E2199" s="263">
        <v>42</v>
      </c>
      <c r="F2199" s="294" t="s">
        <v>126</v>
      </c>
      <c r="G2199" s="294" t="s">
        <v>306</v>
      </c>
      <c r="H2199" s="298">
        <v>1</v>
      </c>
      <c r="M2199" s="274"/>
    </row>
    <row r="2200" spans="2:13" ht="15" customHeight="1" x14ac:dyDescent="0.25">
      <c r="B2200" s="289">
        <v>3700</v>
      </c>
      <c r="C2200" s="261">
        <v>123</v>
      </c>
      <c r="D2200" s="244" t="s">
        <v>12</v>
      </c>
      <c r="E2200" s="263">
        <v>101</v>
      </c>
      <c r="F2200" s="294" t="s">
        <v>126</v>
      </c>
      <c r="G2200" s="294" t="s">
        <v>307</v>
      </c>
      <c r="H2200" s="298">
        <v>1</v>
      </c>
      <c r="M2200" s="274"/>
    </row>
    <row r="2201" spans="2:13" ht="15" customHeight="1" x14ac:dyDescent="0.25">
      <c r="B2201" s="289">
        <v>3701</v>
      </c>
      <c r="C2201" s="261">
        <v>123</v>
      </c>
      <c r="D2201" s="244" t="s">
        <v>12</v>
      </c>
      <c r="E2201" s="263">
        <v>101</v>
      </c>
      <c r="F2201" s="294" t="s">
        <v>126</v>
      </c>
      <c r="G2201" s="294" t="s">
        <v>308</v>
      </c>
      <c r="H2201" s="298">
        <v>1</v>
      </c>
      <c r="M2201" s="274"/>
    </row>
    <row r="2202" spans="2:13" ht="15" customHeight="1" x14ac:dyDescent="0.25">
      <c r="B2202" s="289">
        <v>3702</v>
      </c>
      <c r="C2202" s="261">
        <v>123</v>
      </c>
      <c r="D2202" s="244" t="s">
        <v>12</v>
      </c>
      <c r="E2202" s="263">
        <v>42</v>
      </c>
      <c r="F2202" s="294" t="s">
        <v>126</v>
      </c>
      <c r="G2202" s="294" t="s">
        <v>309</v>
      </c>
      <c r="H2202" s="298">
        <v>1</v>
      </c>
      <c r="M2202" s="274"/>
    </row>
    <row r="2203" spans="2:13" ht="15" customHeight="1" x14ac:dyDescent="0.25">
      <c r="B2203" s="289">
        <v>3703</v>
      </c>
      <c r="C2203" s="261">
        <v>123</v>
      </c>
      <c r="D2203" s="244" t="s">
        <v>12</v>
      </c>
      <c r="E2203" s="263">
        <v>53</v>
      </c>
      <c r="F2203" s="294" t="s">
        <v>126</v>
      </c>
      <c r="G2203" s="294" t="s">
        <v>310</v>
      </c>
      <c r="H2203" s="298">
        <v>1</v>
      </c>
      <c r="M2203" s="274"/>
    </row>
    <row r="2204" spans="2:13" ht="15" customHeight="1" x14ac:dyDescent="0.25">
      <c r="B2204" s="289">
        <v>3713</v>
      </c>
      <c r="C2204" s="261">
        <v>123</v>
      </c>
      <c r="D2204" s="244" t="s">
        <v>12</v>
      </c>
      <c r="E2204" s="263">
        <v>68</v>
      </c>
      <c r="F2204" s="294" t="s">
        <v>126</v>
      </c>
      <c r="G2204" s="294" t="s">
        <v>311</v>
      </c>
      <c r="H2204" s="298">
        <v>1</v>
      </c>
      <c r="M2204" s="274"/>
    </row>
    <row r="2205" spans="2:13" ht="15" customHeight="1" x14ac:dyDescent="0.25">
      <c r="B2205" s="289">
        <v>3719</v>
      </c>
      <c r="C2205" s="261">
        <v>123</v>
      </c>
      <c r="D2205" s="244" t="s">
        <v>12</v>
      </c>
      <c r="E2205" s="263">
        <v>98</v>
      </c>
      <c r="F2205" s="294" t="s">
        <v>126</v>
      </c>
      <c r="G2205" s="294" t="s">
        <v>312</v>
      </c>
      <c r="H2205" s="298">
        <v>1</v>
      </c>
      <c r="M2205" s="274"/>
    </row>
    <row r="2206" spans="2:13" ht="15" customHeight="1" x14ac:dyDescent="0.25">
      <c r="B2206" s="289">
        <v>3720</v>
      </c>
      <c r="C2206" s="261">
        <v>123</v>
      </c>
      <c r="D2206" s="244" t="s">
        <v>12</v>
      </c>
      <c r="E2206" s="263">
        <v>102</v>
      </c>
      <c r="F2206" s="294" t="s">
        <v>126</v>
      </c>
      <c r="G2206" s="294" t="s">
        <v>313</v>
      </c>
      <c r="H2206" s="298">
        <v>1</v>
      </c>
      <c r="M2206" s="274"/>
    </row>
    <row r="2207" spans="2:13" ht="15" customHeight="1" x14ac:dyDescent="0.25">
      <c r="B2207" s="289">
        <v>3725</v>
      </c>
      <c r="C2207" s="261">
        <v>123</v>
      </c>
      <c r="D2207" s="244" t="s">
        <v>12</v>
      </c>
      <c r="E2207" s="263">
        <v>73</v>
      </c>
      <c r="F2207" s="294" t="s">
        <v>126</v>
      </c>
      <c r="G2207" s="294" t="s">
        <v>314</v>
      </c>
      <c r="H2207" s="298">
        <v>1</v>
      </c>
      <c r="M2207" s="274"/>
    </row>
    <row r="2208" spans="2:13" ht="15" customHeight="1" x14ac:dyDescent="0.25">
      <c r="B2208" s="289">
        <v>3726</v>
      </c>
      <c r="C2208" s="261">
        <v>123</v>
      </c>
      <c r="D2208" s="244" t="s">
        <v>12</v>
      </c>
      <c r="E2208" s="263">
        <v>4</v>
      </c>
      <c r="F2208" s="294" t="s">
        <v>126</v>
      </c>
      <c r="G2208" s="294" t="s">
        <v>315</v>
      </c>
      <c r="H2208" s="298">
        <v>1</v>
      </c>
      <c r="M2208" s="274"/>
    </row>
    <row r="2209" spans="2:13" ht="15" customHeight="1" x14ac:dyDescent="0.25">
      <c r="B2209" s="289">
        <v>3729</v>
      </c>
      <c r="C2209" s="261">
        <v>123</v>
      </c>
      <c r="D2209" s="244" t="s">
        <v>12</v>
      </c>
      <c r="E2209" s="263">
        <v>92</v>
      </c>
      <c r="F2209" s="294" t="s">
        <v>126</v>
      </c>
      <c r="G2209" s="294" t="s">
        <v>316</v>
      </c>
      <c r="H2209" s="298">
        <v>1</v>
      </c>
      <c r="M2209" s="274"/>
    </row>
    <row r="2210" spans="2:13" ht="15" customHeight="1" x14ac:dyDescent="0.25">
      <c r="B2210" s="289">
        <v>3730</v>
      </c>
      <c r="C2210" s="261">
        <v>121</v>
      </c>
      <c r="D2210" s="244" t="s">
        <v>12</v>
      </c>
      <c r="E2210" s="263">
        <v>14</v>
      </c>
      <c r="F2210" s="294" t="s">
        <v>126</v>
      </c>
      <c r="G2210" s="294" t="s">
        <v>317</v>
      </c>
      <c r="H2210" s="298">
        <v>1</v>
      </c>
      <c r="M2210" s="274"/>
    </row>
    <row r="2211" spans="2:13" ht="15" customHeight="1" x14ac:dyDescent="0.25">
      <c r="B2211" s="289">
        <v>3732</v>
      </c>
      <c r="C2211" s="261">
        <v>123</v>
      </c>
      <c r="D2211" s="244" t="s">
        <v>12</v>
      </c>
      <c r="E2211" s="263">
        <v>63</v>
      </c>
      <c r="F2211" s="294" t="s">
        <v>126</v>
      </c>
      <c r="G2211" s="294" t="s">
        <v>318</v>
      </c>
      <c r="H2211" s="298">
        <v>1</v>
      </c>
      <c r="M2211" s="274"/>
    </row>
    <row r="2212" spans="2:13" ht="15" customHeight="1" x14ac:dyDescent="0.25">
      <c r="B2212" s="289">
        <v>3733</v>
      </c>
      <c r="C2212" s="261">
        <v>123</v>
      </c>
      <c r="D2212" s="244" t="s">
        <v>12</v>
      </c>
      <c r="E2212" s="263">
        <v>64</v>
      </c>
      <c r="F2212" s="294" t="s">
        <v>126</v>
      </c>
      <c r="G2212" s="294" t="s">
        <v>319</v>
      </c>
      <c r="H2212" s="298">
        <v>1</v>
      </c>
      <c r="M2212" s="274"/>
    </row>
    <row r="2213" spans="2:13" ht="15" customHeight="1" x14ac:dyDescent="0.25">
      <c r="B2213" s="289">
        <v>3735</v>
      </c>
      <c r="C2213" s="261">
        <v>123</v>
      </c>
      <c r="D2213" s="244" t="s">
        <v>12</v>
      </c>
      <c r="E2213" s="263">
        <v>19</v>
      </c>
      <c r="F2213" s="294" t="s">
        <v>126</v>
      </c>
      <c r="G2213" s="294" t="s">
        <v>320</v>
      </c>
      <c r="H2213" s="298">
        <v>1</v>
      </c>
      <c r="M2213" s="274"/>
    </row>
    <row r="2214" spans="2:13" ht="15" customHeight="1" x14ac:dyDescent="0.25">
      <c r="B2214" s="289">
        <v>3740</v>
      </c>
      <c r="C2214" s="261">
        <v>123</v>
      </c>
      <c r="D2214" s="244" t="s">
        <v>12</v>
      </c>
      <c r="E2214" s="263">
        <v>67</v>
      </c>
      <c r="F2214" s="294" t="s">
        <v>126</v>
      </c>
      <c r="G2214" s="294" t="s">
        <v>321</v>
      </c>
      <c r="H2214" s="298">
        <v>1</v>
      </c>
      <c r="M2214" s="274"/>
    </row>
    <row r="2215" spans="2:13" ht="15" customHeight="1" x14ac:dyDescent="0.25">
      <c r="B2215" s="289">
        <v>3741</v>
      </c>
      <c r="C2215" s="261">
        <v>123</v>
      </c>
      <c r="D2215" s="244" t="s">
        <v>12</v>
      </c>
      <c r="E2215" s="263">
        <v>71</v>
      </c>
      <c r="F2215" s="294" t="s">
        <v>126</v>
      </c>
      <c r="G2215" s="294" t="s">
        <v>322</v>
      </c>
      <c r="H2215" s="298">
        <v>1</v>
      </c>
      <c r="M2215" s="274"/>
    </row>
    <row r="2216" spans="2:13" ht="15" customHeight="1" x14ac:dyDescent="0.25">
      <c r="B2216" s="289">
        <v>3743</v>
      </c>
      <c r="C2216" s="261">
        <v>120</v>
      </c>
      <c r="D2216" s="244" t="s">
        <v>12</v>
      </c>
      <c r="E2216" s="263">
        <v>1</v>
      </c>
      <c r="F2216" s="294" t="s">
        <v>126</v>
      </c>
      <c r="G2216" s="294" t="s">
        <v>139</v>
      </c>
      <c r="H2216" s="298">
        <v>1</v>
      </c>
      <c r="M2216" s="274"/>
    </row>
    <row r="2217" spans="2:13" ht="15" customHeight="1" x14ac:dyDescent="0.25">
      <c r="B2217" s="289">
        <v>3743</v>
      </c>
      <c r="C2217" s="261">
        <v>123</v>
      </c>
      <c r="D2217" s="244" t="s">
        <v>12</v>
      </c>
      <c r="E2217" s="263">
        <v>73</v>
      </c>
      <c r="F2217" s="294" t="s">
        <v>126</v>
      </c>
      <c r="G2217" s="294" t="s">
        <v>323</v>
      </c>
      <c r="H2217" s="298">
        <v>1</v>
      </c>
      <c r="M2217" s="274"/>
    </row>
    <row r="2218" spans="2:13" ht="15" customHeight="1" x14ac:dyDescent="0.25">
      <c r="B2218" s="289">
        <v>3744</v>
      </c>
      <c r="C2218" s="261">
        <v>120</v>
      </c>
      <c r="D2218" s="244" t="s">
        <v>11</v>
      </c>
      <c r="E2218" s="263">
        <v>11</v>
      </c>
      <c r="F2218" s="294" t="s">
        <v>324</v>
      </c>
      <c r="G2218" s="294" t="s">
        <v>126</v>
      </c>
      <c r="H2218" s="298">
        <v>1</v>
      </c>
      <c r="M2218" s="274"/>
    </row>
    <row r="2219" spans="2:13" ht="15" customHeight="1" x14ac:dyDescent="0.25">
      <c r="B2219" s="289">
        <v>3752</v>
      </c>
      <c r="C2219" s="261">
        <v>123</v>
      </c>
      <c r="D2219" s="244" t="s">
        <v>12</v>
      </c>
      <c r="E2219" s="263">
        <v>86</v>
      </c>
      <c r="F2219" s="294" t="s">
        <v>126</v>
      </c>
      <c r="G2219" s="294" t="s">
        <v>325</v>
      </c>
      <c r="H2219" s="298">
        <v>1</v>
      </c>
      <c r="M2219" s="274"/>
    </row>
    <row r="2220" spans="2:13" ht="15" customHeight="1" x14ac:dyDescent="0.25">
      <c r="B2220" s="289">
        <v>3763</v>
      </c>
      <c r="C2220" s="261">
        <v>123</v>
      </c>
      <c r="D2220" s="244" t="s">
        <v>12</v>
      </c>
      <c r="E2220" s="263">
        <v>52</v>
      </c>
      <c r="F2220" s="294" t="s">
        <v>126</v>
      </c>
      <c r="G2220" s="294" t="s">
        <v>326</v>
      </c>
      <c r="H2220" s="298">
        <v>1</v>
      </c>
      <c r="M2220" s="274"/>
    </row>
    <row r="2221" spans="2:13" ht="15" customHeight="1" x14ac:dyDescent="0.25">
      <c r="B2221" s="289">
        <v>3767</v>
      </c>
      <c r="C2221" s="261">
        <v>123</v>
      </c>
      <c r="D2221" s="244" t="s">
        <v>12</v>
      </c>
      <c r="E2221" s="263">
        <v>98</v>
      </c>
      <c r="F2221" s="294" t="s">
        <v>126</v>
      </c>
      <c r="G2221" s="294" t="s">
        <v>327</v>
      </c>
      <c r="H2221" s="298">
        <v>1</v>
      </c>
      <c r="M2221" s="274"/>
    </row>
    <row r="2222" spans="2:13" ht="15" customHeight="1" x14ac:dyDescent="0.25">
      <c r="B2222" s="289">
        <v>3768</v>
      </c>
      <c r="C2222" s="261">
        <v>116</v>
      </c>
      <c r="D2222" s="244" t="s">
        <v>12</v>
      </c>
      <c r="E2222" s="263">
        <v>6</v>
      </c>
      <c r="F2222" s="294" t="s">
        <v>126</v>
      </c>
      <c r="G2222" s="294" t="s">
        <v>328</v>
      </c>
      <c r="H2222" s="298">
        <v>1</v>
      </c>
      <c r="M2222" s="274"/>
    </row>
    <row r="2223" spans="2:13" ht="15" customHeight="1" x14ac:dyDescent="0.25">
      <c r="B2223" s="289">
        <v>3768</v>
      </c>
      <c r="C2223" s="261">
        <v>123</v>
      </c>
      <c r="D2223" s="244" t="s">
        <v>12</v>
      </c>
      <c r="E2223" s="263">
        <v>83</v>
      </c>
      <c r="F2223" s="294" t="s">
        <v>126</v>
      </c>
      <c r="G2223" s="294" t="s">
        <v>329</v>
      </c>
      <c r="H2223" s="298">
        <v>1</v>
      </c>
      <c r="M2223" s="274"/>
    </row>
    <row r="2224" spans="2:13" ht="15" customHeight="1" x14ac:dyDescent="0.25">
      <c r="B2224" s="289">
        <v>3769</v>
      </c>
      <c r="C2224" s="261">
        <v>116</v>
      </c>
      <c r="D2224" s="244" t="s">
        <v>12</v>
      </c>
      <c r="E2224" s="263">
        <v>6</v>
      </c>
      <c r="F2224" s="294" t="s">
        <v>126</v>
      </c>
      <c r="G2224" s="294" t="s">
        <v>328</v>
      </c>
      <c r="H2224" s="298">
        <v>1</v>
      </c>
      <c r="M2224" s="274"/>
    </row>
    <row r="2225" spans="2:13" ht="15" customHeight="1" x14ac:dyDescent="0.25">
      <c r="B2225" s="289">
        <v>3769</v>
      </c>
      <c r="C2225" s="261">
        <v>123</v>
      </c>
      <c r="D2225" s="244" t="s">
        <v>12</v>
      </c>
      <c r="E2225" s="263">
        <v>83</v>
      </c>
      <c r="F2225" s="294" t="s">
        <v>126</v>
      </c>
      <c r="G2225" s="294" t="s">
        <v>330</v>
      </c>
      <c r="H2225" s="298">
        <v>1</v>
      </c>
      <c r="M2225" s="274"/>
    </row>
    <row r="2226" spans="2:13" ht="15" customHeight="1" x14ac:dyDescent="0.25">
      <c r="B2226" s="289">
        <v>3774</v>
      </c>
      <c r="C2226" s="261">
        <v>123</v>
      </c>
      <c r="D2226" s="244" t="s">
        <v>12</v>
      </c>
      <c r="E2226" s="263">
        <v>45</v>
      </c>
      <c r="F2226" s="294" t="s">
        <v>126</v>
      </c>
      <c r="G2226" s="294" t="s">
        <v>331</v>
      </c>
      <c r="H2226" s="298">
        <v>1</v>
      </c>
      <c r="M2226" s="274"/>
    </row>
    <row r="2227" spans="2:13" ht="15" customHeight="1" x14ac:dyDescent="0.25">
      <c r="B2227" s="289">
        <v>3774</v>
      </c>
      <c r="C2227" s="261">
        <v>130</v>
      </c>
      <c r="D2227" s="244" t="s">
        <v>12</v>
      </c>
      <c r="E2227" s="263">
        <v>5</v>
      </c>
      <c r="F2227" s="294" t="s">
        <v>126</v>
      </c>
      <c r="G2227" s="294" t="s">
        <v>275</v>
      </c>
      <c r="H2227" s="298">
        <v>1</v>
      </c>
      <c r="M2227" s="274"/>
    </row>
    <row r="2228" spans="2:13" ht="15" customHeight="1" x14ac:dyDescent="0.25">
      <c r="B2228" s="289">
        <v>3776</v>
      </c>
      <c r="C2228" s="261">
        <v>123</v>
      </c>
      <c r="D2228" s="244" t="s">
        <v>12</v>
      </c>
      <c r="E2228" s="263">
        <v>97</v>
      </c>
      <c r="F2228" s="294" t="s">
        <v>126</v>
      </c>
      <c r="G2228" s="294" t="s">
        <v>332</v>
      </c>
      <c r="H2228" s="298">
        <v>1</v>
      </c>
      <c r="M2228" s="274"/>
    </row>
    <row r="2229" spans="2:13" ht="15" customHeight="1" x14ac:dyDescent="0.25">
      <c r="B2229" s="289">
        <v>3780</v>
      </c>
      <c r="C2229" s="261">
        <v>118</v>
      </c>
      <c r="D2229" s="244" t="s">
        <v>12</v>
      </c>
      <c r="E2229" s="263">
        <v>14</v>
      </c>
      <c r="F2229" s="294" t="s">
        <v>126</v>
      </c>
      <c r="G2229" s="294" t="s">
        <v>333</v>
      </c>
      <c r="H2229" s="298">
        <v>1</v>
      </c>
      <c r="M2229" s="274"/>
    </row>
    <row r="2230" spans="2:13" ht="15" customHeight="1" x14ac:dyDescent="0.25">
      <c r="B2230" s="289">
        <v>3780</v>
      </c>
      <c r="C2230" s="261">
        <v>123</v>
      </c>
      <c r="D2230" s="244" t="s">
        <v>12</v>
      </c>
      <c r="E2230" s="263">
        <v>73</v>
      </c>
      <c r="F2230" s="294" t="s">
        <v>126</v>
      </c>
      <c r="G2230" s="294" t="s">
        <v>334</v>
      </c>
      <c r="H2230" s="298">
        <v>1</v>
      </c>
      <c r="M2230" s="274"/>
    </row>
    <row r="2231" spans="2:13" ht="15" customHeight="1" x14ac:dyDescent="0.25">
      <c r="B2231" s="289">
        <v>3781</v>
      </c>
      <c r="C2231" s="261">
        <v>118</v>
      </c>
      <c r="D2231" s="244" t="s">
        <v>12</v>
      </c>
      <c r="E2231" s="263">
        <v>14</v>
      </c>
      <c r="F2231" s="294" t="s">
        <v>126</v>
      </c>
      <c r="G2231" s="294" t="s">
        <v>333</v>
      </c>
      <c r="H2231" s="298">
        <v>1</v>
      </c>
      <c r="M2231" s="274"/>
    </row>
    <row r="2232" spans="2:13" ht="15" customHeight="1" x14ac:dyDescent="0.25">
      <c r="B2232" s="289">
        <v>3781</v>
      </c>
      <c r="C2232" s="261">
        <v>123</v>
      </c>
      <c r="D2232" s="244" t="s">
        <v>12</v>
      </c>
      <c r="E2232" s="263">
        <v>73</v>
      </c>
      <c r="F2232" s="294" t="s">
        <v>126</v>
      </c>
      <c r="G2232" s="294" t="s">
        <v>335</v>
      </c>
      <c r="H2232" s="298">
        <v>1</v>
      </c>
      <c r="M2232" s="274"/>
    </row>
    <row r="2233" spans="2:13" ht="15" customHeight="1" x14ac:dyDescent="0.25">
      <c r="B2233" s="289">
        <v>3782</v>
      </c>
      <c r="C2233" s="261">
        <v>118</v>
      </c>
      <c r="D2233" s="244" t="s">
        <v>12</v>
      </c>
      <c r="E2233" s="263">
        <v>14</v>
      </c>
      <c r="F2233" s="294" t="s">
        <v>126</v>
      </c>
      <c r="G2233" s="294" t="s">
        <v>333</v>
      </c>
      <c r="H2233" s="298">
        <v>1</v>
      </c>
      <c r="M2233" s="274"/>
    </row>
    <row r="2234" spans="2:13" ht="15" customHeight="1" x14ac:dyDescent="0.25">
      <c r="B2234" s="289">
        <v>3782</v>
      </c>
      <c r="C2234" s="261">
        <v>123</v>
      </c>
      <c r="D2234" s="244" t="s">
        <v>12</v>
      </c>
      <c r="E2234" s="263">
        <v>73</v>
      </c>
      <c r="F2234" s="294" t="s">
        <v>126</v>
      </c>
      <c r="G2234" s="294" t="s">
        <v>336</v>
      </c>
      <c r="H2234" s="298">
        <v>1</v>
      </c>
      <c r="M2234" s="274"/>
    </row>
    <row r="2235" spans="2:13" ht="15" customHeight="1" x14ac:dyDescent="0.25">
      <c r="B2235" s="289">
        <v>3783</v>
      </c>
      <c r="C2235" s="261">
        <v>118</v>
      </c>
      <c r="D2235" s="244" t="s">
        <v>12</v>
      </c>
      <c r="E2235" s="263">
        <v>14</v>
      </c>
      <c r="F2235" s="294" t="s">
        <v>126</v>
      </c>
      <c r="G2235" s="294" t="s">
        <v>333</v>
      </c>
      <c r="H2235" s="298">
        <v>1</v>
      </c>
      <c r="M2235" s="274"/>
    </row>
    <row r="2236" spans="2:13" ht="15" customHeight="1" x14ac:dyDescent="0.25">
      <c r="B2236" s="289">
        <v>3783</v>
      </c>
      <c r="C2236" s="261">
        <v>123</v>
      </c>
      <c r="D2236" s="244" t="s">
        <v>12</v>
      </c>
      <c r="E2236" s="263">
        <v>73</v>
      </c>
      <c r="F2236" s="294" t="s">
        <v>126</v>
      </c>
      <c r="G2236" s="294" t="s">
        <v>337</v>
      </c>
      <c r="H2236" s="298">
        <v>1</v>
      </c>
      <c r="M2236" s="274"/>
    </row>
    <row r="2237" spans="2:13" ht="15" customHeight="1" x14ac:dyDescent="0.25">
      <c r="B2237" s="289">
        <v>3785</v>
      </c>
      <c r="C2237" s="261">
        <v>123</v>
      </c>
      <c r="D2237" s="244" t="s">
        <v>12</v>
      </c>
      <c r="E2237" s="263">
        <v>99</v>
      </c>
      <c r="F2237" s="294" t="s">
        <v>126</v>
      </c>
      <c r="G2237" s="294" t="s">
        <v>338</v>
      </c>
      <c r="H2237" s="298">
        <v>1</v>
      </c>
      <c r="M2237" s="274"/>
    </row>
    <row r="2238" spans="2:13" ht="15" customHeight="1" x14ac:dyDescent="0.25">
      <c r="B2238" s="289">
        <v>3786</v>
      </c>
      <c r="C2238" s="261">
        <v>115</v>
      </c>
      <c r="D2238" s="244" t="s">
        <v>12</v>
      </c>
      <c r="E2238" s="263">
        <v>1</v>
      </c>
      <c r="F2238" s="294" t="s">
        <v>126</v>
      </c>
      <c r="G2238" s="294" t="s">
        <v>139</v>
      </c>
      <c r="H2238" s="298">
        <v>1</v>
      </c>
      <c r="M2238" s="274"/>
    </row>
    <row r="2239" spans="2:13" ht="15" customHeight="1" x14ac:dyDescent="0.25">
      <c r="B2239" s="289">
        <v>3786</v>
      </c>
      <c r="C2239" s="261">
        <v>119</v>
      </c>
      <c r="D2239" s="244" t="s">
        <v>12</v>
      </c>
      <c r="E2239" s="263">
        <v>1</v>
      </c>
      <c r="F2239" s="294" t="s">
        <v>126</v>
      </c>
      <c r="G2239" s="294" t="s">
        <v>139</v>
      </c>
      <c r="H2239" s="298">
        <v>1</v>
      </c>
      <c r="M2239" s="274"/>
    </row>
    <row r="2240" spans="2:13" ht="15" customHeight="1" x14ac:dyDescent="0.25">
      <c r="B2240" s="289">
        <v>3791</v>
      </c>
      <c r="C2240" s="261">
        <v>123</v>
      </c>
      <c r="D2240" s="244" t="s">
        <v>12</v>
      </c>
      <c r="E2240" s="263">
        <v>71</v>
      </c>
      <c r="F2240" s="294" t="s">
        <v>126</v>
      </c>
      <c r="G2240" s="294" t="s">
        <v>339</v>
      </c>
      <c r="H2240" s="298">
        <v>1</v>
      </c>
      <c r="M2240" s="274"/>
    </row>
    <row r="2241" spans="2:13" ht="15" customHeight="1" x14ac:dyDescent="0.25">
      <c r="B2241" s="289">
        <v>3804</v>
      </c>
      <c r="C2241" s="261">
        <v>123</v>
      </c>
      <c r="D2241" s="244" t="s">
        <v>12</v>
      </c>
      <c r="E2241" s="263">
        <v>58</v>
      </c>
      <c r="F2241" s="294" t="s">
        <v>126</v>
      </c>
      <c r="G2241" s="294" t="s">
        <v>340</v>
      </c>
      <c r="H2241" s="298">
        <v>1</v>
      </c>
      <c r="M2241" s="274"/>
    </row>
    <row r="2242" spans="2:13" ht="15" customHeight="1" x14ac:dyDescent="0.25">
      <c r="B2242" s="289">
        <v>3808</v>
      </c>
      <c r="C2242" s="261">
        <v>120</v>
      </c>
      <c r="D2242" s="244" t="s">
        <v>12</v>
      </c>
      <c r="E2242" s="263">
        <v>2</v>
      </c>
      <c r="F2242" s="294" t="s">
        <v>126</v>
      </c>
      <c r="G2242" s="294" t="s">
        <v>341</v>
      </c>
      <c r="H2242" s="298">
        <v>1</v>
      </c>
      <c r="M2242" s="274"/>
    </row>
    <row r="2243" spans="2:13" ht="15" customHeight="1" x14ac:dyDescent="0.25">
      <c r="B2243" s="289">
        <v>3808</v>
      </c>
      <c r="C2243" s="261">
        <v>123</v>
      </c>
      <c r="D2243" s="244" t="s">
        <v>12</v>
      </c>
      <c r="E2243" s="263">
        <v>82</v>
      </c>
      <c r="F2243" s="294" t="s">
        <v>126</v>
      </c>
      <c r="G2243" s="294" t="s">
        <v>342</v>
      </c>
      <c r="H2243" s="298">
        <v>1</v>
      </c>
      <c r="M2243" s="274"/>
    </row>
    <row r="2244" spans="2:13" ht="15" customHeight="1" x14ac:dyDescent="0.25">
      <c r="B2244" s="289">
        <v>3809</v>
      </c>
      <c r="C2244" s="261">
        <v>120</v>
      </c>
      <c r="D2244" s="244" t="s">
        <v>12</v>
      </c>
      <c r="E2244" s="263">
        <v>2</v>
      </c>
      <c r="F2244" s="294" t="s">
        <v>126</v>
      </c>
      <c r="G2244" s="294" t="s">
        <v>341</v>
      </c>
      <c r="H2244" s="298">
        <v>1</v>
      </c>
      <c r="M2244" s="274"/>
    </row>
    <row r="2245" spans="2:13" ht="15" customHeight="1" x14ac:dyDescent="0.25">
      <c r="B2245" s="289">
        <v>3809</v>
      </c>
      <c r="C2245" s="261">
        <v>123</v>
      </c>
      <c r="D2245" s="244" t="s">
        <v>12</v>
      </c>
      <c r="E2245" s="263">
        <v>82</v>
      </c>
      <c r="F2245" s="294" t="s">
        <v>126</v>
      </c>
      <c r="G2245" s="294" t="s">
        <v>343</v>
      </c>
      <c r="H2245" s="298">
        <v>1</v>
      </c>
      <c r="M2245" s="274"/>
    </row>
    <row r="2246" spans="2:13" ht="15" customHeight="1" x14ac:dyDescent="0.25">
      <c r="B2246" s="289">
        <v>3825</v>
      </c>
      <c r="C2246" s="261">
        <v>123</v>
      </c>
      <c r="D2246" s="244" t="s">
        <v>12</v>
      </c>
      <c r="E2246" s="263">
        <v>67</v>
      </c>
      <c r="F2246" s="294" t="s">
        <v>126</v>
      </c>
      <c r="G2246" s="294" t="s">
        <v>344</v>
      </c>
      <c r="H2246" s="298">
        <v>1</v>
      </c>
      <c r="M2246" s="274"/>
    </row>
    <row r="2247" spans="2:13" ht="15" customHeight="1" x14ac:dyDescent="0.25">
      <c r="B2247" s="289">
        <v>3834</v>
      </c>
      <c r="C2247" s="261">
        <v>123</v>
      </c>
      <c r="D2247" s="244" t="s">
        <v>12</v>
      </c>
      <c r="E2247" s="263">
        <v>88</v>
      </c>
      <c r="F2247" s="294" t="s">
        <v>126</v>
      </c>
      <c r="G2247" s="294" t="s">
        <v>345</v>
      </c>
      <c r="H2247" s="298">
        <v>1</v>
      </c>
      <c r="M2247" s="274"/>
    </row>
    <row r="2248" spans="2:13" ht="15" customHeight="1" x14ac:dyDescent="0.25">
      <c r="B2248" s="289">
        <v>3835</v>
      </c>
      <c r="C2248" s="261">
        <v>123</v>
      </c>
      <c r="D2248" s="244" t="s">
        <v>12</v>
      </c>
      <c r="E2248" s="263">
        <v>88</v>
      </c>
      <c r="F2248" s="294" t="s">
        <v>126</v>
      </c>
      <c r="G2248" s="294" t="s">
        <v>346</v>
      </c>
      <c r="H2248" s="298">
        <v>1</v>
      </c>
      <c r="M2248" s="274"/>
    </row>
    <row r="2249" spans="2:13" ht="15" customHeight="1" x14ac:dyDescent="0.25">
      <c r="B2249" s="289">
        <v>3836</v>
      </c>
      <c r="C2249" s="261">
        <v>123</v>
      </c>
      <c r="D2249" s="244" t="s">
        <v>12</v>
      </c>
      <c r="E2249" s="263">
        <v>88</v>
      </c>
      <c r="F2249" s="294" t="s">
        <v>126</v>
      </c>
      <c r="G2249" s="294" t="s">
        <v>347</v>
      </c>
      <c r="H2249" s="298">
        <v>1</v>
      </c>
      <c r="M2249" s="274"/>
    </row>
    <row r="2250" spans="2:13" ht="15" customHeight="1" x14ac:dyDescent="0.25">
      <c r="B2250" s="289">
        <v>3844</v>
      </c>
      <c r="C2250" s="261">
        <v>120</v>
      </c>
      <c r="D2250" s="244" t="s">
        <v>12</v>
      </c>
      <c r="E2250" s="263">
        <v>2</v>
      </c>
      <c r="F2250" s="294" t="s">
        <v>126</v>
      </c>
      <c r="G2250" s="294" t="s">
        <v>341</v>
      </c>
      <c r="H2250" s="298">
        <v>1</v>
      </c>
      <c r="M2250" s="274"/>
    </row>
    <row r="2251" spans="2:13" ht="15" customHeight="1" x14ac:dyDescent="0.25">
      <c r="B2251" s="289">
        <v>3844</v>
      </c>
      <c r="C2251" s="261">
        <v>123</v>
      </c>
      <c r="D2251" s="244" t="s">
        <v>12</v>
      </c>
      <c r="E2251" s="263">
        <v>86</v>
      </c>
      <c r="F2251" s="294" t="s">
        <v>126</v>
      </c>
      <c r="G2251" s="294" t="s">
        <v>348</v>
      </c>
      <c r="H2251" s="298">
        <v>1</v>
      </c>
      <c r="M2251" s="274"/>
    </row>
    <row r="2252" spans="2:13" ht="15" customHeight="1" x14ac:dyDescent="0.25">
      <c r="B2252" s="289">
        <v>3845</v>
      </c>
      <c r="C2252" s="261">
        <v>120</v>
      </c>
      <c r="D2252" s="244" t="s">
        <v>12</v>
      </c>
      <c r="E2252" s="263">
        <v>2</v>
      </c>
      <c r="F2252" s="294" t="s">
        <v>126</v>
      </c>
      <c r="G2252" s="294" t="s">
        <v>341</v>
      </c>
      <c r="H2252" s="298">
        <v>1</v>
      </c>
      <c r="M2252" s="274"/>
    </row>
    <row r="2253" spans="2:13" ht="15" customHeight="1" x14ac:dyDescent="0.25">
      <c r="B2253" s="289">
        <v>3845</v>
      </c>
      <c r="C2253" s="261">
        <v>123</v>
      </c>
      <c r="D2253" s="244" t="s">
        <v>12</v>
      </c>
      <c r="E2253" s="263">
        <v>86</v>
      </c>
      <c r="F2253" s="294" t="s">
        <v>126</v>
      </c>
      <c r="G2253" s="294" t="s">
        <v>349</v>
      </c>
      <c r="H2253" s="298">
        <v>1</v>
      </c>
      <c r="M2253" s="274"/>
    </row>
    <row r="2254" spans="2:13" ht="15" customHeight="1" x14ac:dyDescent="0.25">
      <c r="B2254" s="289">
        <v>3846</v>
      </c>
      <c r="C2254" s="261">
        <v>120</v>
      </c>
      <c r="D2254" s="244" t="s">
        <v>12</v>
      </c>
      <c r="E2254" s="263">
        <v>2</v>
      </c>
      <c r="F2254" s="294" t="s">
        <v>126</v>
      </c>
      <c r="G2254" s="294" t="s">
        <v>341</v>
      </c>
      <c r="H2254" s="298">
        <v>1</v>
      </c>
      <c r="M2254" s="274"/>
    </row>
    <row r="2255" spans="2:13" ht="15" customHeight="1" x14ac:dyDescent="0.25">
      <c r="B2255" s="289">
        <v>3846</v>
      </c>
      <c r="C2255" s="261">
        <v>123</v>
      </c>
      <c r="D2255" s="244" t="s">
        <v>12</v>
      </c>
      <c r="E2255" s="263">
        <v>86</v>
      </c>
      <c r="F2255" s="294" t="s">
        <v>126</v>
      </c>
      <c r="G2255" s="294" t="s">
        <v>350</v>
      </c>
      <c r="H2255" s="298">
        <v>1</v>
      </c>
      <c r="M2255" s="274"/>
    </row>
    <row r="2256" spans="2:13" ht="15" customHeight="1" x14ac:dyDescent="0.25">
      <c r="B2256" s="289">
        <v>3851</v>
      </c>
      <c r="C2256" s="261">
        <v>123</v>
      </c>
      <c r="D2256" s="244" t="s">
        <v>12</v>
      </c>
      <c r="E2256" s="263">
        <v>30</v>
      </c>
      <c r="F2256" s="294" t="s">
        <v>126</v>
      </c>
      <c r="G2256" s="294" t="s">
        <v>351</v>
      </c>
      <c r="H2256" s="298">
        <v>1</v>
      </c>
      <c r="M2256" s="274"/>
    </row>
    <row r="2257" spans="2:13" ht="15" customHeight="1" x14ac:dyDescent="0.25">
      <c r="B2257" s="289">
        <v>3852</v>
      </c>
      <c r="C2257" s="261">
        <v>111</v>
      </c>
      <c r="D2257" s="244" t="s">
        <v>11</v>
      </c>
      <c r="E2257" s="263">
        <v>35</v>
      </c>
      <c r="F2257" s="294" t="s">
        <v>352</v>
      </c>
      <c r="G2257" s="294" t="s">
        <v>126</v>
      </c>
      <c r="H2257" s="298">
        <v>1</v>
      </c>
      <c r="M2257" s="274"/>
    </row>
    <row r="2258" spans="2:13" ht="15" customHeight="1" x14ac:dyDescent="0.25">
      <c r="B2258" s="289">
        <v>3860</v>
      </c>
      <c r="C2258" s="261">
        <v>123</v>
      </c>
      <c r="D2258" s="244" t="s">
        <v>12</v>
      </c>
      <c r="E2258" s="263">
        <v>95</v>
      </c>
      <c r="F2258" s="294" t="s">
        <v>126</v>
      </c>
      <c r="G2258" s="294" t="s">
        <v>353</v>
      </c>
      <c r="H2258" s="298">
        <v>1</v>
      </c>
      <c r="M2258" s="274"/>
    </row>
    <row r="2259" spans="2:13" ht="15" customHeight="1" x14ac:dyDescent="0.25">
      <c r="B2259" s="289">
        <v>3861</v>
      </c>
      <c r="C2259" s="261">
        <v>123</v>
      </c>
      <c r="D2259" s="244" t="s">
        <v>12</v>
      </c>
      <c r="E2259" s="263">
        <v>95</v>
      </c>
      <c r="F2259" s="294" t="s">
        <v>126</v>
      </c>
      <c r="G2259" s="294" t="s">
        <v>354</v>
      </c>
      <c r="H2259" s="298">
        <v>1</v>
      </c>
      <c r="M2259" s="274"/>
    </row>
    <row r="2260" spans="2:13" ht="15" customHeight="1" x14ac:dyDescent="0.25">
      <c r="B2260" s="289">
        <v>3862</v>
      </c>
      <c r="C2260" s="261">
        <v>123</v>
      </c>
      <c r="D2260" s="244" t="s">
        <v>12</v>
      </c>
      <c r="E2260" s="263">
        <v>95</v>
      </c>
      <c r="F2260" s="294" t="s">
        <v>126</v>
      </c>
      <c r="G2260" s="294" t="s">
        <v>355</v>
      </c>
      <c r="H2260" s="298">
        <v>1</v>
      </c>
      <c r="M2260" s="274"/>
    </row>
    <row r="2261" spans="2:13" ht="15" customHeight="1" x14ac:dyDescent="0.25">
      <c r="B2261" s="289">
        <v>3877</v>
      </c>
      <c r="C2261" s="261">
        <v>123</v>
      </c>
      <c r="D2261" s="244" t="s">
        <v>12</v>
      </c>
      <c r="E2261" s="263">
        <v>85</v>
      </c>
      <c r="F2261" s="294" t="s">
        <v>126</v>
      </c>
      <c r="G2261" s="294" t="s">
        <v>356</v>
      </c>
      <c r="H2261" s="298">
        <v>1</v>
      </c>
      <c r="M2261" s="274"/>
    </row>
    <row r="2262" spans="2:13" ht="15" customHeight="1" x14ac:dyDescent="0.25">
      <c r="B2262" s="289">
        <v>3878</v>
      </c>
      <c r="C2262" s="261">
        <v>123</v>
      </c>
      <c r="D2262" s="244" t="s">
        <v>12</v>
      </c>
      <c r="E2262" s="263">
        <v>85</v>
      </c>
      <c r="F2262" s="294" t="s">
        <v>126</v>
      </c>
      <c r="G2262" s="294" t="s">
        <v>357</v>
      </c>
      <c r="H2262" s="298">
        <v>1</v>
      </c>
      <c r="M2262" s="274"/>
    </row>
    <row r="2263" spans="2:13" ht="15" customHeight="1" x14ac:dyDescent="0.25">
      <c r="B2263" s="289">
        <v>3880</v>
      </c>
      <c r="C2263" s="261">
        <v>123</v>
      </c>
      <c r="D2263" s="244" t="s">
        <v>12</v>
      </c>
      <c r="E2263" s="263">
        <v>85</v>
      </c>
      <c r="F2263" s="294" t="s">
        <v>126</v>
      </c>
      <c r="G2263" s="294" t="s">
        <v>358</v>
      </c>
      <c r="H2263" s="298">
        <v>1</v>
      </c>
      <c r="M2263" s="274"/>
    </row>
    <row r="2264" spans="2:13" ht="15" customHeight="1" x14ac:dyDescent="0.25">
      <c r="B2264" s="289">
        <v>3904</v>
      </c>
      <c r="C2264" s="261">
        <v>123</v>
      </c>
      <c r="D2264" s="244" t="s">
        <v>12</v>
      </c>
      <c r="E2264" s="263">
        <v>41</v>
      </c>
      <c r="F2264" s="294" t="s">
        <v>126</v>
      </c>
      <c r="G2264" s="294" t="s">
        <v>359</v>
      </c>
      <c r="H2264" s="298">
        <v>1</v>
      </c>
      <c r="M2264" s="274"/>
    </row>
    <row r="2265" spans="2:13" ht="15" customHeight="1" x14ac:dyDescent="0.25">
      <c r="B2265" s="289">
        <v>3905</v>
      </c>
      <c r="C2265" s="261">
        <v>123</v>
      </c>
      <c r="D2265" s="244" t="s">
        <v>12</v>
      </c>
      <c r="E2265" s="263">
        <v>63</v>
      </c>
      <c r="F2265" s="294" t="s">
        <v>126</v>
      </c>
      <c r="G2265" s="294" t="s">
        <v>360</v>
      </c>
      <c r="H2265" s="298">
        <v>1</v>
      </c>
      <c r="M2265" s="274"/>
    </row>
    <row r="2266" spans="2:13" ht="15" customHeight="1" x14ac:dyDescent="0.25">
      <c r="B2266" s="289">
        <v>3906</v>
      </c>
      <c r="C2266" s="261">
        <v>123</v>
      </c>
      <c r="D2266" s="244" t="s">
        <v>12</v>
      </c>
      <c r="E2266" s="263">
        <v>96</v>
      </c>
      <c r="F2266" s="294" t="s">
        <v>126</v>
      </c>
      <c r="G2266" s="294" t="s">
        <v>361</v>
      </c>
      <c r="H2266" s="298">
        <v>1</v>
      </c>
      <c r="M2266" s="274"/>
    </row>
    <row r="2267" spans="2:13" ht="15" customHeight="1" x14ac:dyDescent="0.25">
      <c r="B2267" s="289">
        <v>3907</v>
      </c>
      <c r="C2267" s="261">
        <v>123</v>
      </c>
      <c r="D2267" s="244" t="s">
        <v>12</v>
      </c>
      <c r="E2267" s="263">
        <v>75</v>
      </c>
      <c r="F2267" s="294" t="s">
        <v>126</v>
      </c>
      <c r="G2267" s="294" t="s">
        <v>362</v>
      </c>
      <c r="H2267" s="298">
        <v>1</v>
      </c>
      <c r="M2267" s="274"/>
    </row>
    <row r="2268" spans="2:13" ht="15" customHeight="1" x14ac:dyDescent="0.25">
      <c r="B2268" s="289">
        <v>3908</v>
      </c>
      <c r="C2268" s="261">
        <v>123</v>
      </c>
      <c r="D2268" s="244" t="s">
        <v>12</v>
      </c>
      <c r="E2268" s="263">
        <v>75</v>
      </c>
      <c r="F2268" s="294" t="s">
        <v>126</v>
      </c>
      <c r="G2268" s="294" t="s">
        <v>363</v>
      </c>
      <c r="H2268" s="298">
        <v>1</v>
      </c>
      <c r="M2268" s="274"/>
    </row>
    <row r="2269" spans="2:13" ht="15" customHeight="1" x14ac:dyDescent="0.25">
      <c r="B2269" s="289">
        <v>3910</v>
      </c>
      <c r="C2269" s="261">
        <v>123</v>
      </c>
      <c r="D2269" s="244" t="s">
        <v>12</v>
      </c>
      <c r="E2269" s="263">
        <v>100</v>
      </c>
      <c r="F2269" s="294" t="s">
        <v>126</v>
      </c>
      <c r="G2269" s="294" t="s">
        <v>364</v>
      </c>
      <c r="H2269" s="298">
        <v>1</v>
      </c>
      <c r="M2269" s="274"/>
    </row>
    <row r="2270" spans="2:13" ht="15" customHeight="1" x14ac:dyDescent="0.25">
      <c r="B2270" s="289">
        <v>3911</v>
      </c>
      <c r="C2270" s="261">
        <v>123</v>
      </c>
      <c r="D2270" s="244" t="s">
        <v>12</v>
      </c>
      <c r="E2270" s="263">
        <v>20</v>
      </c>
      <c r="F2270" s="294" t="s">
        <v>126</v>
      </c>
      <c r="G2270" s="294" t="s">
        <v>365</v>
      </c>
      <c r="H2270" s="298">
        <v>1</v>
      </c>
      <c r="M2270" s="274"/>
    </row>
    <row r="2271" spans="2:13" ht="15" customHeight="1" x14ac:dyDescent="0.25">
      <c r="B2271" s="289">
        <v>3912</v>
      </c>
      <c r="C2271" s="261">
        <v>123</v>
      </c>
      <c r="D2271" s="244" t="s">
        <v>12</v>
      </c>
      <c r="E2271" s="263">
        <v>88</v>
      </c>
      <c r="F2271" s="294" t="s">
        <v>126</v>
      </c>
      <c r="G2271" s="294" t="s">
        <v>366</v>
      </c>
      <c r="H2271" s="298">
        <v>1</v>
      </c>
      <c r="M2271" s="274"/>
    </row>
    <row r="2272" spans="2:13" ht="15" customHeight="1" x14ac:dyDescent="0.25">
      <c r="B2272" s="289">
        <v>3914</v>
      </c>
      <c r="C2272" s="261">
        <v>123</v>
      </c>
      <c r="D2272" s="244" t="s">
        <v>12</v>
      </c>
      <c r="E2272" s="263">
        <v>96</v>
      </c>
      <c r="F2272" s="294" t="s">
        <v>126</v>
      </c>
      <c r="G2272" s="294" t="s">
        <v>367</v>
      </c>
      <c r="H2272" s="298">
        <v>1</v>
      </c>
      <c r="M2272" s="274"/>
    </row>
    <row r="2273" spans="2:13" ht="15" customHeight="1" x14ac:dyDescent="0.25">
      <c r="B2273" s="289">
        <v>3921</v>
      </c>
      <c r="C2273" s="261">
        <v>123</v>
      </c>
      <c r="D2273" s="244" t="s">
        <v>12</v>
      </c>
      <c r="E2273" s="263">
        <v>66</v>
      </c>
      <c r="F2273" s="294" t="s">
        <v>126</v>
      </c>
      <c r="G2273" s="294" t="s">
        <v>368</v>
      </c>
      <c r="H2273" s="298">
        <v>1</v>
      </c>
      <c r="M2273" s="274"/>
    </row>
    <row r="2274" spans="2:13" ht="15" customHeight="1" x14ac:dyDescent="0.25">
      <c r="B2274" s="289">
        <v>3923</v>
      </c>
      <c r="C2274" s="261">
        <v>123</v>
      </c>
      <c r="D2274" s="244" t="s">
        <v>12</v>
      </c>
      <c r="E2274" s="263">
        <v>44</v>
      </c>
      <c r="F2274" s="294" t="s">
        <v>126</v>
      </c>
      <c r="G2274" s="294" t="s">
        <v>369</v>
      </c>
      <c r="H2274" s="298">
        <v>1</v>
      </c>
      <c r="M2274" s="274"/>
    </row>
    <row r="2275" spans="2:13" ht="15" customHeight="1" x14ac:dyDescent="0.25">
      <c r="B2275" s="289">
        <v>3924</v>
      </c>
      <c r="C2275" s="261">
        <v>116</v>
      </c>
      <c r="D2275" s="244" t="s">
        <v>12</v>
      </c>
      <c r="E2275" s="263">
        <v>6</v>
      </c>
      <c r="F2275" s="294" t="s">
        <v>126</v>
      </c>
      <c r="G2275" s="294" t="s">
        <v>328</v>
      </c>
      <c r="H2275" s="298">
        <v>1</v>
      </c>
      <c r="M2275" s="274"/>
    </row>
    <row r="2276" spans="2:13" ht="15" customHeight="1" x14ac:dyDescent="0.25">
      <c r="B2276" s="289">
        <v>3924</v>
      </c>
      <c r="C2276" s="261">
        <v>123</v>
      </c>
      <c r="D2276" s="244" t="s">
        <v>12</v>
      </c>
      <c r="E2276" s="263">
        <v>80</v>
      </c>
      <c r="F2276" s="294" t="s">
        <v>126</v>
      </c>
      <c r="G2276" s="294" t="s">
        <v>370</v>
      </c>
      <c r="H2276" s="298">
        <v>1</v>
      </c>
      <c r="M2276" s="274"/>
    </row>
    <row r="2277" spans="2:13" ht="15" customHeight="1" x14ac:dyDescent="0.25">
      <c r="B2277" s="289">
        <v>3927</v>
      </c>
      <c r="C2277" s="261">
        <v>123</v>
      </c>
      <c r="D2277" s="244" t="s">
        <v>12</v>
      </c>
      <c r="E2277" s="263">
        <v>73</v>
      </c>
      <c r="F2277" s="294" t="s">
        <v>126</v>
      </c>
      <c r="G2277" s="294" t="s">
        <v>371</v>
      </c>
      <c r="H2277" s="298">
        <v>1</v>
      </c>
      <c r="M2277" s="274"/>
    </row>
    <row r="2278" spans="2:13" ht="15" customHeight="1" x14ac:dyDescent="0.25">
      <c r="B2278" s="289">
        <v>3931</v>
      </c>
      <c r="C2278" s="261">
        <v>123</v>
      </c>
      <c r="D2278" s="244" t="s">
        <v>12</v>
      </c>
      <c r="E2278" s="263">
        <v>8</v>
      </c>
      <c r="F2278" s="294" t="s">
        <v>126</v>
      </c>
      <c r="G2278" s="294" t="s">
        <v>372</v>
      </c>
      <c r="H2278" s="298">
        <v>1</v>
      </c>
      <c r="M2278" s="274"/>
    </row>
    <row r="2279" spans="2:13" ht="15" customHeight="1" x14ac:dyDescent="0.25">
      <c r="B2279" s="289">
        <v>3934</v>
      </c>
      <c r="C2279" s="261">
        <v>123</v>
      </c>
      <c r="D2279" s="244" t="s">
        <v>12</v>
      </c>
      <c r="E2279" s="263">
        <v>87</v>
      </c>
      <c r="F2279" s="294" t="s">
        <v>126</v>
      </c>
      <c r="G2279" s="294" t="s">
        <v>373</v>
      </c>
      <c r="H2279" s="298">
        <v>1</v>
      </c>
      <c r="M2279" s="274"/>
    </row>
    <row r="2280" spans="2:13" ht="15" customHeight="1" x14ac:dyDescent="0.25">
      <c r="B2280" s="289">
        <v>3938</v>
      </c>
      <c r="C2280" s="261">
        <v>107</v>
      </c>
      <c r="D2280" s="244" t="s">
        <v>11</v>
      </c>
      <c r="E2280" s="263">
        <v>21</v>
      </c>
      <c r="F2280" s="294" t="s">
        <v>374</v>
      </c>
      <c r="G2280" s="294" t="s">
        <v>126</v>
      </c>
      <c r="H2280" s="298">
        <v>1</v>
      </c>
      <c r="M2280" s="274"/>
    </row>
    <row r="2281" spans="2:13" ht="15" customHeight="1" x14ac:dyDescent="0.25">
      <c r="B2281" s="289">
        <v>3939</v>
      </c>
      <c r="C2281" s="261">
        <v>123</v>
      </c>
      <c r="D2281" s="244" t="s">
        <v>12</v>
      </c>
      <c r="E2281" s="263">
        <v>96</v>
      </c>
      <c r="F2281" s="294" t="s">
        <v>126</v>
      </c>
      <c r="G2281" s="294" t="s">
        <v>375</v>
      </c>
      <c r="H2281" s="298">
        <v>1</v>
      </c>
      <c r="M2281" s="274"/>
    </row>
    <row r="2282" spans="2:13" ht="15" customHeight="1" x14ac:dyDescent="0.25">
      <c r="B2282" s="289">
        <v>3942</v>
      </c>
      <c r="C2282" s="261">
        <v>123</v>
      </c>
      <c r="D2282" s="244" t="s">
        <v>12</v>
      </c>
      <c r="E2282" s="263">
        <v>43</v>
      </c>
      <c r="F2282" s="294" t="s">
        <v>126</v>
      </c>
      <c r="G2282" s="294" t="s">
        <v>376</v>
      </c>
      <c r="H2282" s="298">
        <v>1</v>
      </c>
      <c r="M2282" s="274"/>
    </row>
    <row r="2283" spans="2:13" ht="15" customHeight="1" x14ac:dyDescent="0.25">
      <c r="B2283" s="289">
        <v>3945</v>
      </c>
      <c r="C2283" s="261">
        <v>123</v>
      </c>
      <c r="D2283" s="244" t="s">
        <v>12</v>
      </c>
      <c r="E2283" s="263">
        <v>100</v>
      </c>
      <c r="F2283" s="294" t="s">
        <v>126</v>
      </c>
      <c r="G2283" s="294" t="s">
        <v>377</v>
      </c>
      <c r="H2283" s="298">
        <v>1</v>
      </c>
      <c r="M2283" s="274"/>
    </row>
    <row r="2284" spans="2:13" ht="15" customHeight="1" x14ac:dyDescent="0.25">
      <c r="B2284" s="289">
        <v>3946</v>
      </c>
      <c r="C2284" s="261">
        <v>123</v>
      </c>
      <c r="D2284" s="244" t="s">
        <v>12</v>
      </c>
      <c r="E2284" s="263">
        <v>33</v>
      </c>
      <c r="F2284" s="294" t="s">
        <v>126</v>
      </c>
      <c r="G2284" s="294" t="s">
        <v>378</v>
      </c>
      <c r="H2284" s="298">
        <v>1</v>
      </c>
      <c r="M2284" s="274"/>
    </row>
    <row r="2285" spans="2:13" ht="15" customHeight="1" x14ac:dyDescent="0.25">
      <c r="B2285" s="289">
        <v>3949</v>
      </c>
      <c r="C2285" s="261">
        <v>123</v>
      </c>
      <c r="D2285" s="244" t="s">
        <v>12</v>
      </c>
      <c r="E2285" s="263">
        <v>58</v>
      </c>
      <c r="F2285" s="294" t="s">
        <v>126</v>
      </c>
      <c r="G2285" s="294" t="s">
        <v>379</v>
      </c>
      <c r="H2285" s="298">
        <v>1</v>
      </c>
      <c r="M2285" s="274"/>
    </row>
    <row r="2286" spans="2:13" ht="15" customHeight="1" x14ac:dyDescent="0.25">
      <c r="B2286" s="289">
        <v>3954</v>
      </c>
      <c r="C2286" s="261">
        <v>123</v>
      </c>
      <c r="D2286" s="244" t="s">
        <v>12</v>
      </c>
      <c r="E2286" s="263">
        <v>100</v>
      </c>
      <c r="F2286" s="294" t="s">
        <v>126</v>
      </c>
      <c r="G2286" s="294" t="s">
        <v>380</v>
      </c>
      <c r="H2286" s="298">
        <v>1</v>
      </c>
      <c r="M2286" s="274"/>
    </row>
    <row r="2287" spans="2:13" ht="15" customHeight="1" x14ac:dyDescent="0.25">
      <c r="B2287" s="289">
        <v>3955</v>
      </c>
      <c r="C2287" s="261">
        <v>123</v>
      </c>
      <c r="D2287" s="244" t="s">
        <v>12</v>
      </c>
      <c r="E2287" s="263">
        <v>51</v>
      </c>
      <c r="F2287" s="294" t="s">
        <v>126</v>
      </c>
      <c r="G2287" s="294" t="s">
        <v>381</v>
      </c>
      <c r="H2287" s="298">
        <v>1</v>
      </c>
      <c r="M2287" s="274"/>
    </row>
    <row r="2288" spans="2:13" ht="15" customHeight="1" x14ac:dyDescent="0.25">
      <c r="B2288" s="289">
        <v>3956</v>
      </c>
      <c r="C2288" s="261">
        <v>123</v>
      </c>
      <c r="D2288" s="244" t="s">
        <v>12</v>
      </c>
      <c r="E2288" s="263">
        <v>91</v>
      </c>
      <c r="F2288" s="294" t="s">
        <v>126</v>
      </c>
      <c r="G2288" s="294" t="s">
        <v>382</v>
      </c>
      <c r="H2288" s="298">
        <v>1</v>
      </c>
      <c r="M2288" s="274"/>
    </row>
    <row r="2289" spans="2:13" ht="15" customHeight="1" x14ac:dyDescent="0.25">
      <c r="B2289" s="289">
        <v>3962</v>
      </c>
      <c r="C2289" s="261">
        <v>123</v>
      </c>
      <c r="D2289" s="244" t="s">
        <v>12</v>
      </c>
      <c r="E2289" s="263">
        <v>82</v>
      </c>
      <c r="F2289" s="294" t="s">
        <v>126</v>
      </c>
      <c r="G2289" s="294" t="s">
        <v>383</v>
      </c>
      <c r="H2289" s="298">
        <v>1</v>
      </c>
      <c r="M2289" s="274"/>
    </row>
    <row r="2290" spans="2:13" ht="15" customHeight="1" x14ac:dyDescent="0.25">
      <c r="B2290" s="289">
        <v>3963</v>
      </c>
      <c r="C2290" s="261">
        <v>120</v>
      </c>
      <c r="D2290" s="244" t="s">
        <v>12</v>
      </c>
      <c r="E2290" s="263">
        <v>2</v>
      </c>
      <c r="F2290" s="294" t="s">
        <v>126</v>
      </c>
      <c r="G2290" s="294" t="s">
        <v>341</v>
      </c>
      <c r="H2290" s="298">
        <v>1</v>
      </c>
      <c r="M2290" s="274"/>
    </row>
    <row r="2291" spans="2:13" ht="15" customHeight="1" x14ac:dyDescent="0.25">
      <c r="B2291" s="289">
        <v>3963</v>
      </c>
      <c r="C2291" s="261">
        <v>123</v>
      </c>
      <c r="D2291" s="244" t="s">
        <v>12</v>
      </c>
      <c r="E2291" s="263">
        <v>86</v>
      </c>
      <c r="F2291" s="294" t="s">
        <v>126</v>
      </c>
      <c r="G2291" s="294" t="s">
        <v>384</v>
      </c>
      <c r="H2291" s="298">
        <v>1</v>
      </c>
      <c r="M2291" s="274"/>
    </row>
    <row r="2292" spans="2:13" ht="15" customHeight="1" x14ac:dyDescent="0.25">
      <c r="B2292" s="289">
        <v>3965</v>
      </c>
      <c r="C2292" s="261">
        <v>123</v>
      </c>
      <c r="D2292" s="244" t="s">
        <v>12</v>
      </c>
      <c r="E2292" s="263">
        <v>56</v>
      </c>
      <c r="F2292" s="294" t="s">
        <v>126</v>
      </c>
      <c r="G2292" s="294" t="s">
        <v>385</v>
      </c>
      <c r="H2292" s="298">
        <v>1</v>
      </c>
      <c r="M2292" s="274"/>
    </row>
    <row r="2293" spans="2:13" ht="15" customHeight="1" x14ac:dyDescent="0.25">
      <c r="B2293" s="289">
        <v>3968</v>
      </c>
      <c r="C2293" s="261">
        <v>123</v>
      </c>
      <c r="D2293" s="244" t="s">
        <v>12</v>
      </c>
      <c r="E2293" s="263">
        <v>101</v>
      </c>
      <c r="F2293" s="294" t="s">
        <v>126</v>
      </c>
      <c r="G2293" s="294" t="s">
        <v>386</v>
      </c>
      <c r="H2293" s="298">
        <v>1</v>
      </c>
      <c r="M2293" s="274"/>
    </row>
    <row r="2294" spans="2:13" ht="15" customHeight="1" x14ac:dyDescent="0.25">
      <c r="B2294" s="289">
        <v>3972</v>
      </c>
      <c r="C2294" s="261">
        <v>123</v>
      </c>
      <c r="D2294" s="244" t="s">
        <v>12</v>
      </c>
      <c r="E2294" s="263">
        <v>57</v>
      </c>
      <c r="F2294" s="294" t="s">
        <v>126</v>
      </c>
      <c r="G2294" s="294" t="s">
        <v>387</v>
      </c>
      <c r="H2294" s="298">
        <v>1</v>
      </c>
      <c r="M2294" s="274"/>
    </row>
    <row r="2295" spans="2:13" ht="15" customHeight="1" x14ac:dyDescent="0.25">
      <c r="B2295" s="289">
        <v>3974</v>
      </c>
      <c r="C2295" s="261">
        <v>123</v>
      </c>
      <c r="D2295" s="244" t="s">
        <v>12</v>
      </c>
      <c r="E2295" s="263">
        <v>99</v>
      </c>
      <c r="F2295" s="294" t="s">
        <v>126</v>
      </c>
      <c r="G2295" s="294" t="s">
        <v>388</v>
      </c>
      <c r="H2295" s="298">
        <v>1</v>
      </c>
      <c r="M2295" s="274"/>
    </row>
    <row r="2296" spans="2:13" ht="15" customHeight="1" x14ac:dyDescent="0.25">
      <c r="B2296" s="289">
        <v>3980</v>
      </c>
      <c r="C2296" s="261">
        <v>123</v>
      </c>
      <c r="D2296" s="244" t="s">
        <v>12</v>
      </c>
      <c r="E2296" s="263">
        <v>87</v>
      </c>
      <c r="F2296" s="294" t="s">
        <v>126</v>
      </c>
      <c r="G2296" s="294" t="s">
        <v>389</v>
      </c>
      <c r="H2296" s="298">
        <v>1</v>
      </c>
      <c r="M2296" s="274"/>
    </row>
    <row r="2297" spans="2:13" ht="15" customHeight="1" x14ac:dyDescent="0.25">
      <c r="B2297" s="289">
        <v>3981</v>
      </c>
      <c r="C2297" s="261">
        <v>123</v>
      </c>
      <c r="D2297" s="244" t="s">
        <v>12</v>
      </c>
      <c r="E2297" s="263">
        <v>50</v>
      </c>
      <c r="F2297" s="294" t="s">
        <v>126</v>
      </c>
      <c r="G2297" s="294" t="s">
        <v>390</v>
      </c>
      <c r="H2297" s="298">
        <v>1</v>
      </c>
      <c r="M2297" s="274"/>
    </row>
    <row r="2298" spans="2:13" ht="15" customHeight="1" x14ac:dyDescent="0.25">
      <c r="B2298" s="289">
        <v>3986</v>
      </c>
      <c r="C2298" s="261">
        <v>123</v>
      </c>
      <c r="D2298" s="244" t="s">
        <v>12</v>
      </c>
      <c r="E2298" s="263">
        <v>70</v>
      </c>
      <c r="F2298" s="294" t="s">
        <v>126</v>
      </c>
      <c r="G2298" s="294" t="s">
        <v>391</v>
      </c>
      <c r="H2298" s="298">
        <v>1</v>
      </c>
      <c r="M2298" s="274"/>
    </row>
    <row r="2299" spans="2:13" ht="15" customHeight="1" x14ac:dyDescent="0.25">
      <c r="B2299" s="289">
        <v>3993</v>
      </c>
      <c r="C2299" s="261">
        <v>123</v>
      </c>
      <c r="D2299" s="244" t="s">
        <v>12</v>
      </c>
      <c r="E2299" s="263">
        <v>46</v>
      </c>
      <c r="F2299" s="294" t="s">
        <v>126</v>
      </c>
      <c r="G2299" s="294" t="s">
        <v>392</v>
      </c>
      <c r="H2299" s="298">
        <v>1</v>
      </c>
      <c r="M2299" s="274"/>
    </row>
    <row r="2300" spans="2:13" ht="15" customHeight="1" x14ac:dyDescent="0.25">
      <c r="B2300" s="289">
        <v>3995</v>
      </c>
      <c r="C2300" s="261">
        <v>123</v>
      </c>
      <c r="D2300" s="244" t="s">
        <v>12</v>
      </c>
      <c r="E2300" s="263">
        <v>98</v>
      </c>
      <c r="F2300" s="294" t="s">
        <v>126</v>
      </c>
      <c r="G2300" s="294" t="s">
        <v>393</v>
      </c>
      <c r="H2300" s="298">
        <v>1</v>
      </c>
      <c r="M2300" s="274"/>
    </row>
    <row r="2301" spans="2:13" ht="15" customHeight="1" x14ac:dyDescent="0.25">
      <c r="B2301" s="289">
        <v>3999</v>
      </c>
      <c r="C2301" s="261">
        <v>123</v>
      </c>
      <c r="D2301" s="244" t="s">
        <v>12</v>
      </c>
      <c r="E2301" s="263">
        <v>86</v>
      </c>
      <c r="F2301" s="294" t="s">
        <v>126</v>
      </c>
      <c r="G2301" s="294" t="s">
        <v>394</v>
      </c>
      <c r="H2301" s="298">
        <v>1</v>
      </c>
      <c r="M2301" s="274"/>
    </row>
    <row r="2302" spans="2:13" ht="15" customHeight="1" x14ac:dyDescent="0.25">
      <c r="B2302" s="289">
        <v>4001</v>
      </c>
      <c r="C2302" s="261">
        <v>123</v>
      </c>
      <c r="D2302" s="244" t="s">
        <v>12</v>
      </c>
      <c r="E2302" s="263">
        <v>97</v>
      </c>
      <c r="F2302" s="294" t="s">
        <v>126</v>
      </c>
      <c r="G2302" s="294" t="s">
        <v>395</v>
      </c>
      <c r="H2302" s="298">
        <v>1</v>
      </c>
      <c r="M2302" s="274"/>
    </row>
    <row r="2303" spans="2:13" ht="15" customHeight="1" x14ac:dyDescent="0.25">
      <c r="B2303" s="289">
        <v>4003</v>
      </c>
      <c r="C2303" s="261">
        <v>123</v>
      </c>
      <c r="D2303" s="244" t="s">
        <v>12</v>
      </c>
      <c r="E2303" s="263">
        <v>87</v>
      </c>
      <c r="F2303" s="294" t="s">
        <v>126</v>
      </c>
      <c r="G2303" s="294" t="s">
        <v>396</v>
      </c>
      <c r="H2303" s="298">
        <v>1</v>
      </c>
      <c r="M2303" s="274"/>
    </row>
    <row r="2304" spans="2:13" ht="15" customHeight="1" x14ac:dyDescent="0.25">
      <c r="B2304" s="289">
        <v>4006</v>
      </c>
      <c r="C2304" s="261">
        <v>123</v>
      </c>
      <c r="D2304" s="244" t="s">
        <v>12</v>
      </c>
      <c r="E2304" s="263">
        <v>70</v>
      </c>
      <c r="F2304" s="294" t="s">
        <v>126</v>
      </c>
      <c r="G2304" s="294" t="s">
        <v>397</v>
      </c>
      <c r="H2304" s="298">
        <v>1</v>
      </c>
      <c r="M2304" s="274"/>
    </row>
    <row r="2305" spans="2:13" ht="15" customHeight="1" x14ac:dyDescent="0.25">
      <c r="B2305" s="289">
        <v>4007</v>
      </c>
      <c r="C2305" s="261">
        <v>124</v>
      </c>
      <c r="D2305" s="244" t="s">
        <v>11</v>
      </c>
      <c r="E2305" s="263">
        <v>5</v>
      </c>
      <c r="F2305" s="294" t="s">
        <v>398</v>
      </c>
      <c r="G2305" s="294" t="s">
        <v>126</v>
      </c>
      <c r="H2305" s="298">
        <v>1</v>
      </c>
      <c r="M2305" s="274"/>
    </row>
    <row r="2306" spans="2:13" ht="15" customHeight="1" x14ac:dyDescent="0.25">
      <c r="B2306" s="289">
        <v>4008</v>
      </c>
      <c r="C2306" s="261">
        <v>123</v>
      </c>
      <c r="D2306" s="244" t="s">
        <v>12</v>
      </c>
      <c r="E2306" s="263">
        <v>65</v>
      </c>
      <c r="F2306" s="294" t="s">
        <v>126</v>
      </c>
      <c r="G2306" s="294" t="s">
        <v>399</v>
      </c>
      <c r="H2306" s="298">
        <v>1</v>
      </c>
      <c r="M2306" s="274"/>
    </row>
    <row r="2307" spans="2:13" ht="15" customHeight="1" x14ac:dyDescent="0.25">
      <c r="B2307" s="289">
        <v>4010</v>
      </c>
      <c r="C2307" s="261">
        <v>123</v>
      </c>
      <c r="D2307" s="244" t="s">
        <v>12</v>
      </c>
      <c r="E2307" s="263">
        <v>87</v>
      </c>
      <c r="F2307" s="294" t="s">
        <v>126</v>
      </c>
      <c r="G2307" s="294" t="s">
        <v>400</v>
      </c>
      <c r="H2307" s="298">
        <v>1</v>
      </c>
      <c r="M2307" s="274"/>
    </row>
    <row r="2308" spans="2:13" ht="15" customHeight="1" x14ac:dyDescent="0.25">
      <c r="B2308" s="289">
        <v>4013</v>
      </c>
      <c r="C2308" s="261">
        <v>123</v>
      </c>
      <c r="D2308" s="244" t="s">
        <v>12</v>
      </c>
      <c r="E2308" s="263">
        <v>72</v>
      </c>
      <c r="F2308" s="294" t="s">
        <v>126</v>
      </c>
      <c r="G2308" s="294" t="s">
        <v>401</v>
      </c>
      <c r="H2308" s="298">
        <v>1</v>
      </c>
      <c r="M2308" s="274"/>
    </row>
    <row r="2309" spans="2:13" ht="15" customHeight="1" x14ac:dyDescent="0.25">
      <c r="B2309" s="289">
        <v>4015</v>
      </c>
      <c r="C2309" s="261">
        <v>123</v>
      </c>
      <c r="D2309" s="244" t="s">
        <v>12</v>
      </c>
      <c r="E2309" s="263">
        <v>44</v>
      </c>
      <c r="F2309" s="294" t="s">
        <v>126</v>
      </c>
      <c r="G2309" s="294" t="s">
        <v>402</v>
      </c>
      <c r="H2309" s="298">
        <v>1</v>
      </c>
      <c r="M2309" s="274"/>
    </row>
    <row r="2310" spans="2:13" ht="15" customHeight="1" x14ac:dyDescent="0.25">
      <c r="B2310" s="289">
        <v>4022</v>
      </c>
      <c r="C2310" s="261">
        <v>123</v>
      </c>
      <c r="D2310" s="244" t="s">
        <v>12</v>
      </c>
      <c r="E2310" s="263">
        <v>72</v>
      </c>
      <c r="F2310" s="294" t="s">
        <v>126</v>
      </c>
      <c r="G2310" s="294" t="s">
        <v>403</v>
      </c>
      <c r="H2310" s="298">
        <v>1</v>
      </c>
      <c r="M2310" s="274"/>
    </row>
    <row r="2311" spans="2:13" ht="15" customHeight="1" x14ac:dyDescent="0.25">
      <c r="B2311" s="289">
        <v>4023</v>
      </c>
      <c r="C2311" s="261">
        <v>123</v>
      </c>
      <c r="D2311" s="244" t="s">
        <v>12</v>
      </c>
      <c r="E2311" s="263">
        <v>90</v>
      </c>
      <c r="F2311" s="294" t="s">
        <v>126</v>
      </c>
      <c r="G2311" s="294" t="s">
        <v>404</v>
      </c>
      <c r="H2311" s="298">
        <v>1</v>
      </c>
      <c r="M2311" s="274"/>
    </row>
    <row r="2312" spans="2:13" ht="15" customHeight="1" x14ac:dyDescent="0.25">
      <c r="B2312" s="289">
        <v>4025</v>
      </c>
      <c r="C2312" s="261">
        <v>123</v>
      </c>
      <c r="D2312" s="244" t="s">
        <v>12</v>
      </c>
      <c r="E2312" s="263">
        <v>43</v>
      </c>
      <c r="F2312" s="294" t="s">
        <v>126</v>
      </c>
      <c r="G2312" s="294" t="s">
        <v>405</v>
      </c>
      <c r="H2312" s="298">
        <v>1</v>
      </c>
      <c r="M2312" s="274"/>
    </row>
    <row r="2313" spans="2:13" ht="15" customHeight="1" x14ac:dyDescent="0.25">
      <c r="B2313" s="289">
        <v>4029</v>
      </c>
      <c r="C2313" s="261">
        <v>123</v>
      </c>
      <c r="D2313" s="244" t="s">
        <v>12</v>
      </c>
      <c r="E2313" s="263">
        <v>98</v>
      </c>
      <c r="F2313" s="294" t="s">
        <v>126</v>
      </c>
      <c r="G2313" s="294" t="s">
        <v>406</v>
      </c>
      <c r="H2313" s="298">
        <v>1</v>
      </c>
      <c r="M2313" s="274"/>
    </row>
    <row r="2314" spans="2:13" ht="15" customHeight="1" x14ac:dyDescent="0.25">
      <c r="B2314" s="289">
        <v>4036</v>
      </c>
      <c r="C2314" s="261">
        <v>123</v>
      </c>
      <c r="D2314" s="244" t="s">
        <v>12</v>
      </c>
      <c r="E2314" s="263">
        <v>90</v>
      </c>
      <c r="F2314" s="294" t="s">
        <v>126</v>
      </c>
      <c r="G2314" s="294" t="s">
        <v>407</v>
      </c>
      <c r="H2314" s="298">
        <v>1</v>
      </c>
      <c r="M2314" s="274"/>
    </row>
    <row r="2315" spans="2:13" ht="15" customHeight="1" x14ac:dyDescent="0.25">
      <c r="B2315" s="289">
        <v>4038</v>
      </c>
      <c r="C2315" s="261">
        <v>123</v>
      </c>
      <c r="D2315" s="244" t="s">
        <v>12</v>
      </c>
      <c r="E2315" s="263">
        <v>5</v>
      </c>
      <c r="F2315" s="294" t="s">
        <v>126</v>
      </c>
      <c r="G2315" s="294" t="s">
        <v>408</v>
      </c>
      <c r="H2315" s="298">
        <v>1</v>
      </c>
      <c r="M2315" s="274"/>
    </row>
    <row r="2316" spans="2:13" ht="15" customHeight="1" x14ac:dyDescent="0.25">
      <c r="B2316" s="289">
        <v>4048</v>
      </c>
      <c r="C2316" s="261">
        <v>123</v>
      </c>
      <c r="D2316" s="244" t="s">
        <v>12</v>
      </c>
      <c r="E2316" s="263">
        <v>57</v>
      </c>
      <c r="F2316" s="294" t="s">
        <v>126</v>
      </c>
      <c r="G2316" s="294" t="s">
        <v>409</v>
      </c>
      <c r="H2316" s="298">
        <v>1</v>
      </c>
      <c r="M2316" s="274"/>
    </row>
    <row r="2317" spans="2:13" ht="15" customHeight="1" x14ac:dyDescent="0.25">
      <c r="B2317" s="289">
        <v>4049</v>
      </c>
      <c r="C2317" s="261">
        <v>123</v>
      </c>
      <c r="D2317" s="244" t="s">
        <v>12</v>
      </c>
      <c r="E2317" s="263">
        <v>5</v>
      </c>
      <c r="F2317" s="294" t="s">
        <v>126</v>
      </c>
      <c r="G2317" s="294" t="s">
        <v>410</v>
      </c>
      <c r="H2317" s="298">
        <v>1</v>
      </c>
      <c r="M2317" s="274"/>
    </row>
    <row r="2318" spans="2:13" ht="15" customHeight="1" x14ac:dyDescent="0.25">
      <c r="B2318" s="289">
        <v>4050</v>
      </c>
      <c r="C2318" s="261">
        <v>123</v>
      </c>
      <c r="D2318" s="244" t="s">
        <v>12</v>
      </c>
      <c r="E2318" s="263">
        <v>98</v>
      </c>
      <c r="F2318" s="294" t="s">
        <v>126</v>
      </c>
      <c r="G2318" s="294" t="s">
        <v>411</v>
      </c>
      <c r="H2318" s="298">
        <v>1</v>
      </c>
      <c r="M2318" s="274"/>
    </row>
    <row r="2319" spans="2:13" ht="15" customHeight="1" x14ac:dyDescent="0.25">
      <c r="B2319" s="289">
        <v>4051</v>
      </c>
      <c r="C2319" s="261">
        <v>123</v>
      </c>
      <c r="D2319" s="244" t="s">
        <v>12</v>
      </c>
      <c r="E2319" s="263">
        <v>89</v>
      </c>
      <c r="F2319" s="294" t="s">
        <v>126</v>
      </c>
      <c r="G2319" s="294" t="s">
        <v>412</v>
      </c>
      <c r="H2319" s="298">
        <v>1</v>
      </c>
      <c r="M2319" s="274"/>
    </row>
    <row r="2320" spans="2:13" ht="15" customHeight="1" x14ac:dyDescent="0.25">
      <c r="B2320" s="289">
        <v>4053</v>
      </c>
      <c r="C2320" s="261">
        <v>89</v>
      </c>
      <c r="D2320" s="244" t="s">
        <v>11</v>
      </c>
      <c r="E2320" s="263">
        <v>30</v>
      </c>
      <c r="F2320" s="294" t="s">
        <v>413</v>
      </c>
      <c r="G2320" s="294" t="s">
        <v>126</v>
      </c>
      <c r="H2320" s="298">
        <v>1</v>
      </c>
      <c r="M2320" s="274"/>
    </row>
    <row r="2321" spans="2:13" ht="15" customHeight="1" x14ac:dyDescent="0.25">
      <c r="B2321" s="289">
        <v>4053</v>
      </c>
      <c r="C2321" s="261">
        <v>130</v>
      </c>
      <c r="D2321" s="244" t="s">
        <v>11</v>
      </c>
      <c r="E2321" s="263">
        <v>11</v>
      </c>
      <c r="F2321" s="294" t="s">
        <v>414</v>
      </c>
      <c r="G2321" s="294" t="s">
        <v>126</v>
      </c>
      <c r="H2321" s="298">
        <v>1</v>
      </c>
      <c r="M2321" s="274"/>
    </row>
    <row r="2322" spans="2:13" ht="15" customHeight="1" x14ac:dyDescent="0.25">
      <c r="M2322" s="274"/>
    </row>
    <row r="2323" spans="2:13" ht="15" customHeight="1" x14ac:dyDescent="0.25">
      <c r="M2323" s="274"/>
    </row>
    <row r="2324" spans="2:13" ht="15" customHeight="1" x14ac:dyDescent="0.25">
      <c r="M2324" s="274"/>
    </row>
    <row r="2325" spans="2:13" ht="15" customHeight="1" x14ac:dyDescent="0.25">
      <c r="M2325" s="274"/>
    </row>
    <row r="2326" spans="2:13" ht="15" customHeight="1" x14ac:dyDescent="0.25">
      <c r="M2326" s="274"/>
    </row>
    <row r="2327" spans="2:13" ht="15" customHeight="1" x14ac:dyDescent="0.25">
      <c r="M2327" s="274"/>
    </row>
    <row r="2328" spans="2:13" ht="15" customHeight="1" x14ac:dyDescent="0.25">
      <c r="M2328" s="274"/>
    </row>
    <row r="2329" spans="2:13" ht="15" customHeight="1" x14ac:dyDescent="0.25">
      <c r="M2329" s="274"/>
    </row>
    <row r="2330" spans="2:13" ht="15" customHeight="1" x14ac:dyDescent="0.25">
      <c r="M2330" s="274"/>
    </row>
    <row r="2331" spans="2:13" ht="15" customHeight="1" x14ac:dyDescent="0.25">
      <c r="M2331" s="274"/>
    </row>
    <row r="2332" spans="2:13" ht="15" customHeight="1" x14ac:dyDescent="0.25">
      <c r="M2332" s="274"/>
    </row>
    <row r="2333" spans="2:13" ht="15" customHeight="1" x14ac:dyDescent="0.25">
      <c r="M2333" s="274"/>
    </row>
    <row r="2334" spans="2:13" ht="15" customHeight="1" x14ac:dyDescent="0.25">
      <c r="M2334" s="274"/>
    </row>
    <row r="2335" spans="2:13" ht="15" customHeight="1" x14ac:dyDescent="0.25">
      <c r="M2335" s="274"/>
    </row>
    <row r="2336" spans="2:13" ht="15" customHeight="1" x14ac:dyDescent="0.25">
      <c r="M2336" s="274"/>
    </row>
    <row r="2337" spans="13:13" ht="15" customHeight="1" x14ac:dyDescent="0.25">
      <c r="M2337" s="274"/>
    </row>
    <row r="2338" spans="13:13" ht="15" customHeight="1" x14ac:dyDescent="0.25">
      <c r="M2338" s="274"/>
    </row>
    <row r="2339" spans="13:13" ht="15" customHeight="1" x14ac:dyDescent="0.25">
      <c r="M2339" s="274"/>
    </row>
    <row r="2340" spans="13:13" ht="15" customHeight="1" x14ac:dyDescent="0.25">
      <c r="M2340" s="274"/>
    </row>
    <row r="2341" spans="13:13" ht="15" customHeight="1" x14ac:dyDescent="0.25">
      <c r="M2341" s="274"/>
    </row>
    <row r="2342" spans="13:13" ht="15" customHeight="1" x14ac:dyDescent="0.25">
      <c r="M2342" s="274"/>
    </row>
    <row r="2343" spans="13:13" ht="15" customHeight="1" x14ac:dyDescent="0.25">
      <c r="M2343" s="274"/>
    </row>
    <row r="2344" spans="13:13" ht="15" customHeight="1" x14ac:dyDescent="0.25">
      <c r="M2344" s="274"/>
    </row>
    <row r="2345" spans="13:13" ht="15" customHeight="1" x14ac:dyDescent="0.25">
      <c r="M2345" s="274"/>
    </row>
    <row r="2346" spans="13:13" ht="15" customHeight="1" x14ac:dyDescent="0.25">
      <c r="M2346" s="274"/>
    </row>
    <row r="2347" spans="13:13" ht="15" customHeight="1" x14ac:dyDescent="0.25">
      <c r="M2347" s="274"/>
    </row>
    <row r="2348" spans="13:13" ht="15" customHeight="1" x14ac:dyDescent="0.25">
      <c r="M2348" s="274"/>
    </row>
    <row r="2349" spans="13:13" ht="15" customHeight="1" x14ac:dyDescent="0.25">
      <c r="M2349" s="274"/>
    </row>
    <row r="2350" spans="13:13" ht="15" customHeight="1" x14ac:dyDescent="0.25">
      <c r="M2350" s="274"/>
    </row>
    <row r="2351" spans="13:13" ht="15" customHeight="1" x14ac:dyDescent="0.25">
      <c r="M2351" s="274"/>
    </row>
    <row r="2352" spans="13:13" ht="15" customHeight="1" x14ac:dyDescent="0.25">
      <c r="M2352" s="274"/>
    </row>
    <row r="2353" spans="13:13" ht="15" customHeight="1" x14ac:dyDescent="0.25">
      <c r="M2353" s="274"/>
    </row>
    <row r="2354" spans="13:13" ht="15" customHeight="1" x14ac:dyDescent="0.25">
      <c r="M2354" s="274"/>
    </row>
    <row r="2355" spans="13:13" ht="15" customHeight="1" x14ac:dyDescent="0.25">
      <c r="M2355" s="274"/>
    </row>
    <row r="2356" spans="13:13" ht="15" customHeight="1" x14ac:dyDescent="0.25">
      <c r="M2356" s="274"/>
    </row>
    <row r="2357" spans="13:13" ht="15" customHeight="1" x14ac:dyDescent="0.25">
      <c r="M2357" s="274"/>
    </row>
    <row r="2358" spans="13:13" ht="15" customHeight="1" x14ac:dyDescent="0.25">
      <c r="M2358" s="274"/>
    </row>
    <row r="2359" spans="13:13" ht="15" customHeight="1" x14ac:dyDescent="0.25">
      <c r="M2359" s="274"/>
    </row>
    <row r="2360" spans="13:13" ht="15" customHeight="1" x14ac:dyDescent="0.25">
      <c r="M2360" s="274"/>
    </row>
    <row r="2361" spans="13:13" ht="15" customHeight="1" x14ac:dyDescent="0.25">
      <c r="M2361" s="274"/>
    </row>
    <row r="2362" spans="13:13" ht="15" customHeight="1" x14ac:dyDescent="0.25">
      <c r="M2362" s="274"/>
    </row>
    <row r="2363" spans="13:13" ht="15" customHeight="1" x14ac:dyDescent="0.25">
      <c r="M2363" s="274"/>
    </row>
    <row r="2364" spans="13:13" ht="15" customHeight="1" x14ac:dyDescent="0.25">
      <c r="M2364" s="274"/>
    </row>
    <row r="2365" spans="13:13" ht="15" customHeight="1" x14ac:dyDescent="0.25">
      <c r="M2365" s="274"/>
    </row>
    <row r="2366" spans="13:13" ht="15" customHeight="1" x14ac:dyDescent="0.25">
      <c r="M2366" s="274"/>
    </row>
    <row r="2367" spans="13:13" ht="15" customHeight="1" x14ac:dyDescent="0.25">
      <c r="M2367" s="274"/>
    </row>
    <row r="2368" spans="13:13" ht="15" customHeight="1" x14ac:dyDescent="0.25">
      <c r="M2368" s="274"/>
    </row>
    <row r="2369" spans="13:13" ht="15" customHeight="1" x14ac:dyDescent="0.25">
      <c r="M2369" s="274"/>
    </row>
    <row r="2370" spans="13:13" ht="15" customHeight="1" x14ac:dyDescent="0.25">
      <c r="M2370" s="274"/>
    </row>
    <row r="2371" spans="13:13" ht="15" customHeight="1" x14ac:dyDescent="0.25">
      <c r="M2371" s="274"/>
    </row>
    <row r="2372" spans="13:13" ht="15" customHeight="1" x14ac:dyDescent="0.25">
      <c r="M2372" s="274"/>
    </row>
    <row r="2373" spans="13:13" ht="15" customHeight="1" x14ac:dyDescent="0.25">
      <c r="M2373" s="274"/>
    </row>
    <row r="2374" spans="13:13" ht="15" customHeight="1" x14ac:dyDescent="0.25">
      <c r="M2374" s="274"/>
    </row>
    <row r="2375" spans="13:13" ht="15" customHeight="1" x14ac:dyDescent="0.25">
      <c r="M2375" s="274"/>
    </row>
    <row r="2376" spans="13:13" ht="15" customHeight="1" x14ac:dyDescent="0.25">
      <c r="M2376" s="274"/>
    </row>
    <row r="2377" spans="13:13" ht="15" customHeight="1" x14ac:dyDescent="0.25">
      <c r="M2377" s="274"/>
    </row>
    <row r="2378" spans="13:13" ht="15" customHeight="1" x14ac:dyDescent="0.25">
      <c r="M2378" s="274"/>
    </row>
    <row r="2379" spans="13:13" ht="15" customHeight="1" x14ac:dyDescent="0.25">
      <c r="M2379" s="274"/>
    </row>
    <row r="2380" spans="13:13" ht="15" customHeight="1" x14ac:dyDescent="0.25">
      <c r="M2380" s="274"/>
    </row>
    <row r="2381" spans="13:13" ht="15" customHeight="1" x14ac:dyDescent="0.25">
      <c r="M2381" s="274"/>
    </row>
    <row r="2382" spans="13:13" ht="15" customHeight="1" x14ac:dyDescent="0.25">
      <c r="M2382" s="274"/>
    </row>
    <row r="2383" spans="13:13" ht="15" customHeight="1" x14ac:dyDescent="0.25">
      <c r="M2383" s="274"/>
    </row>
    <row r="2384" spans="13:13" ht="15" customHeight="1" x14ac:dyDescent="0.25">
      <c r="M2384" s="274"/>
    </row>
    <row r="2385" spans="13:13" ht="15" customHeight="1" x14ac:dyDescent="0.25">
      <c r="M2385" s="274"/>
    </row>
    <row r="2386" spans="13:13" ht="15" customHeight="1" x14ac:dyDescent="0.25">
      <c r="M2386" s="274"/>
    </row>
    <row r="2387" spans="13:13" ht="15" customHeight="1" x14ac:dyDescent="0.25">
      <c r="M2387" s="274"/>
    </row>
    <row r="2388" spans="13:13" ht="15" customHeight="1" x14ac:dyDescent="0.25">
      <c r="M2388" s="274"/>
    </row>
    <row r="2389" spans="13:13" ht="15" customHeight="1" x14ac:dyDescent="0.25">
      <c r="M2389" s="274"/>
    </row>
    <row r="2390" spans="13:13" ht="15" customHeight="1" x14ac:dyDescent="0.25">
      <c r="M2390" s="274"/>
    </row>
    <row r="2391" spans="13:13" ht="15" customHeight="1" x14ac:dyDescent="0.25">
      <c r="M2391" s="274"/>
    </row>
    <row r="2392" spans="13:13" ht="15" customHeight="1" x14ac:dyDescent="0.25">
      <c r="M2392" s="274"/>
    </row>
    <row r="2393" spans="13:13" ht="15" customHeight="1" x14ac:dyDescent="0.25">
      <c r="M2393" s="274"/>
    </row>
    <row r="2394" spans="13:13" ht="15" customHeight="1" x14ac:dyDescent="0.25">
      <c r="M2394" s="274"/>
    </row>
    <row r="2395" spans="13:13" ht="15" customHeight="1" x14ac:dyDescent="0.25">
      <c r="M2395" s="274"/>
    </row>
    <row r="2396" spans="13:13" ht="15" customHeight="1" x14ac:dyDescent="0.25">
      <c r="M2396" s="274"/>
    </row>
    <row r="2397" spans="13:13" ht="15" customHeight="1" x14ac:dyDescent="0.25">
      <c r="M2397" s="274"/>
    </row>
    <row r="2398" spans="13:13" ht="15" customHeight="1" x14ac:dyDescent="0.25">
      <c r="M2398" s="274"/>
    </row>
    <row r="2399" spans="13:13" ht="15" customHeight="1" x14ac:dyDescent="0.25">
      <c r="M2399" s="274"/>
    </row>
    <row r="2400" spans="13:13" ht="15" customHeight="1" x14ac:dyDescent="0.25">
      <c r="M2400" s="274"/>
    </row>
    <row r="2401" spans="13:13" ht="15" customHeight="1" x14ac:dyDescent="0.25">
      <c r="M2401" s="274"/>
    </row>
    <row r="2402" spans="13:13" ht="15" customHeight="1" x14ac:dyDescent="0.25">
      <c r="M2402" s="274"/>
    </row>
    <row r="2403" spans="13:13" ht="15" customHeight="1" x14ac:dyDescent="0.25">
      <c r="M2403" s="274"/>
    </row>
    <row r="2404" spans="13:13" ht="15" customHeight="1" x14ac:dyDescent="0.25">
      <c r="M2404" s="274"/>
    </row>
    <row r="2405" spans="13:13" ht="15" customHeight="1" x14ac:dyDescent="0.25">
      <c r="M2405" s="274"/>
    </row>
    <row r="2406" spans="13:13" ht="15" customHeight="1" x14ac:dyDescent="0.25">
      <c r="M2406" s="274"/>
    </row>
    <row r="2407" spans="13:13" ht="15" customHeight="1" x14ac:dyDescent="0.25">
      <c r="M2407" s="274"/>
    </row>
    <row r="2408" spans="13:13" ht="15" customHeight="1" x14ac:dyDescent="0.25">
      <c r="M2408" s="274"/>
    </row>
    <row r="2409" spans="13:13" ht="15" customHeight="1" x14ac:dyDescent="0.25">
      <c r="M2409" s="274"/>
    </row>
    <row r="2410" spans="13:13" ht="15" customHeight="1" x14ac:dyDescent="0.25">
      <c r="M2410" s="274"/>
    </row>
    <row r="2411" spans="13:13" ht="15" customHeight="1" x14ac:dyDescent="0.25">
      <c r="M2411" s="274"/>
    </row>
    <row r="2412" spans="13:13" ht="15" customHeight="1" x14ac:dyDescent="0.25">
      <c r="M2412" s="274"/>
    </row>
    <row r="2413" spans="13:13" ht="15" customHeight="1" x14ac:dyDescent="0.25">
      <c r="M2413" s="274"/>
    </row>
    <row r="2414" spans="13:13" ht="15" customHeight="1" x14ac:dyDescent="0.25">
      <c r="M2414" s="274"/>
    </row>
    <row r="2415" spans="13:13" ht="15" customHeight="1" x14ac:dyDescent="0.25">
      <c r="M2415" s="274"/>
    </row>
    <row r="2416" spans="13:13" ht="15" customHeight="1" x14ac:dyDescent="0.25">
      <c r="M2416" s="274"/>
    </row>
    <row r="2417" spans="13:13" ht="15" customHeight="1" x14ac:dyDescent="0.25">
      <c r="M2417" s="274"/>
    </row>
    <row r="2418" spans="13:13" ht="15" customHeight="1" x14ac:dyDescent="0.25">
      <c r="M2418" s="274"/>
    </row>
    <row r="2419" spans="13:13" ht="15" customHeight="1" x14ac:dyDescent="0.25">
      <c r="M2419" s="274"/>
    </row>
    <row r="2420" spans="13:13" ht="15" customHeight="1" x14ac:dyDescent="0.25">
      <c r="M2420" s="274"/>
    </row>
    <row r="2421" spans="13:13" ht="15" customHeight="1" x14ac:dyDescent="0.25">
      <c r="M2421" s="274"/>
    </row>
    <row r="2422" spans="13:13" ht="15" customHeight="1" x14ac:dyDescent="0.25">
      <c r="M2422" s="274"/>
    </row>
    <row r="2423" spans="13:13" ht="15" customHeight="1" x14ac:dyDescent="0.25">
      <c r="M2423" s="274"/>
    </row>
    <row r="2424" spans="13:13" ht="15" customHeight="1" x14ac:dyDescent="0.25">
      <c r="M2424" s="274"/>
    </row>
    <row r="2425" spans="13:13" ht="15" customHeight="1" x14ac:dyDescent="0.25">
      <c r="M2425" s="274"/>
    </row>
    <row r="2426" spans="13:13" ht="15" customHeight="1" x14ac:dyDescent="0.25">
      <c r="M2426" s="274"/>
    </row>
    <row r="2427" spans="13:13" ht="15" customHeight="1" x14ac:dyDescent="0.25">
      <c r="M2427" s="274"/>
    </row>
    <row r="2428" spans="13:13" ht="15" customHeight="1" x14ac:dyDescent="0.25">
      <c r="M2428" s="274"/>
    </row>
    <row r="2429" spans="13:13" ht="15" customHeight="1" x14ac:dyDescent="0.25">
      <c r="M2429" s="274"/>
    </row>
    <row r="2430" spans="13:13" ht="15" customHeight="1" x14ac:dyDescent="0.25">
      <c r="M2430" s="274"/>
    </row>
    <row r="2431" spans="13:13" ht="15" customHeight="1" x14ac:dyDescent="0.25">
      <c r="M2431" s="274"/>
    </row>
    <row r="2432" spans="13:13" ht="15" customHeight="1" x14ac:dyDescent="0.25">
      <c r="M2432" s="274"/>
    </row>
    <row r="2433" spans="13:13" ht="15" customHeight="1" x14ac:dyDescent="0.25">
      <c r="M2433" s="274"/>
    </row>
    <row r="2434" spans="13:13" ht="15" customHeight="1" x14ac:dyDescent="0.25">
      <c r="M2434" s="274"/>
    </row>
    <row r="2435" spans="13:13" ht="15" customHeight="1" x14ac:dyDescent="0.25">
      <c r="M2435" s="274"/>
    </row>
    <row r="2436" spans="13:13" ht="15" customHeight="1" x14ac:dyDescent="0.25">
      <c r="M2436" s="274"/>
    </row>
    <row r="2437" spans="13:13" ht="15" customHeight="1" x14ac:dyDescent="0.25">
      <c r="M2437" s="274"/>
    </row>
    <row r="2438" spans="13:13" ht="15" customHeight="1" x14ac:dyDescent="0.25">
      <c r="M2438" s="274"/>
    </row>
    <row r="2439" spans="13:13" ht="15" customHeight="1" x14ac:dyDescent="0.25">
      <c r="M2439" s="274"/>
    </row>
    <row r="2440" spans="13:13" ht="15" customHeight="1" x14ac:dyDescent="0.25">
      <c r="M2440" s="274"/>
    </row>
    <row r="2441" spans="13:13" ht="15" customHeight="1" x14ac:dyDescent="0.25">
      <c r="M2441" s="274"/>
    </row>
    <row r="2442" spans="13:13" ht="15" customHeight="1" x14ac:dyDescent="0.25">
      <c r="M2442" s="274"/>
    </row>
    <row r="2443" spans="13:13" ht="15" customHeight="1" x14ac:dyDescent="0.25">
      <c r="M2443" s="274"/>
    </row>
    <row r="2444" spans="13:13" ht="15" customHeight="1" x14ac:dyDescent="0.25">
      <c r="M2444" s="274"/>
    </row>
    <row r="2445" spans="13:13" ht="15" customHeight="1" x14ac:dyDescent="0.25">
      <c r="M2445" s="274"/>
    </row>
    <row r="2446" spans="13:13" ht="15" customHeight="1" x14ac:dyDescent="0.25">
      <c r="M2446" s="274"/>
    </row>
    <row r="2447" spans="13:13" ht="15" customHeight="1" x14ac:dyDescent="0.25">
      <c r="M2447" s="274"/>
    </row>
    <row r="2448" spans="13:13" ht="15" customHeight="1" x14ac:dyDescent="0.25">
      <c r="M2448" s="274"/>
    </row>
    <row r="2449" spans="13:13" ht="15" customHeight="1" x14ac:dyDescent="0.25">
      <c r="M2449" s="274"/>
    </row>
    <row r="2450" spans="13:13" ht="15" customHeight="1" x14ac:dyDescent="0.25">
      <c r="M2450" s="274"/>
    </row>
    <row r="2451" spans="13:13" ht="15" customHeight="1" x14ac:dyDescent="0.25">
      <c r="M2451" s="274"/>
    </row>
    <row r="2452" spans="13:13" ht="15" customHeight="1" x14ac:dyDescent="0.25">
      <c r="M2452" s="274"/>
    </row>
    <row r="2453" spans="13:13" ht="15" customHeight="1" x14ac:dyDescent="0.25">
      <c r="M2453" s="274"/>
    </row>
    <row r="2454" spans="13:13" ht="15" customHeight="1" x14ac:dyDescent="0.25">
      <c r="M2454" s="274"/>
    </row>
    <row r="2455" spans="13:13" ht="15" customHeight="1" x14ac:dyDescent="0.25">
      <c r="M2455" s="274"/>
    </row>
    <row r="2456" spans="13:13" ht="15" customHeight="1" x14ac:dyDescent="0.25">
      <c r="M2456" s="274"/>
    </row>
    <row r="2457" spans="13:13" ht="15" customHeight="1" x14ac:dyDescent="0.25">
      <c r="M2457" s="274"/>
    </row>
    <row r="2458" spans="13:13" ht="15" customHeight="1" x14ac:dyDescent="0.25">
      <c r="M2458" s="274"/>
    </row>
    <row r="2459" spans="13:13" ht="15" customHeight="1" x14ac:dyDescent="0.25">
      <c r="M2459" s="274"/>
    </row>
    <row r="2460" spans="13:13" ht="15" customHeight="1" x14ac:dyDescent="0.25">
      <c r="M2460" s="274"/>
    </row>
    <row r="2461" spans="13:13" ht="15" customHeight="1" x14ac:dyDescent="0.25">
      <c r="M2461" s="274"/>
    </row>
    <row r="2462" spans="13:13" ht="15" customHeight="1" x14ac:dyDescent="0.25">
      <c r="M2462" s="274"/>
    </row>
    <row r="2463" spans="13:13" ht="15" customHeight="1" x14ac:dyDescent="0.25">
      <c r="M2463" s="274"/>
    </row>
    <row r="2464" spans="13:13" ht="15" customHeight="1" x14ac:dyDescent="0.25">
      <c r="M2464" s="274"/>
    </row>
    <row r="2465" spans="13:13" ht="15" customHeight="1" x14ac:dyDescent="0.25">
      <c r="M2465" s="274"/>
    </row>
    <row r="2466" spans="13:13" ht="15" customHeight="1" x14ac:dyDescent="0.25">
      <c r="M2466" s="274"/>
    </row>
    <row r="2467" spans="13:13" ht="15" customHeight="1" x14ac:dyDescent="0.25">
      <c r="M2467" s="274"/>
    </row>
    <row r="2468" spans="13:13" ht="15" customHeight="1" x14ac:dyDescent="0.25">
      <c r="M2468" s="274"/>
    </row>
    <row r="2469" spans="13:13" ht="15" customHeight="1" x14ac:dyDescent="0.25">
      <c r="M2469" s="274"/>
    </row>
    <row r="2470" spans="13:13" ht="15" customHeight="1" x14ac:dyDescent="0.25">
      <c r="M2470" s="274"/>
    </row>
    <row r="2471" spans="13:13" ht="15" customHeight="1" x14ac:dyDescent="0.25">
      <c r="M2471" s="274"/>
    </row>
    <row r="2472" spans="13:13" ht="15" customHeight="1" x14ac:dyDescent="0.25">
      <c r="M2472" s="274"/>
    </row>
    <row r="2473" spans="13:13" ht="15" customHeight="1" x14ac:dyDescent="0.25">
      <c r="M2473" s="274"/>
    </row>
    <row r="2474" spans="13:13" ht="15" customHeight="1" x14ac:dyDescent="0.25">
      <c r="M2474" s="274"/>
    </row>
    <row r="2475" spans="13:13" ht="15" customHeight="1" x14ac:dyDescent="0.25">
      <c r="M2475" s="274"/>
    </row>
    <row r="2476" spans="13:13" ht="15" customHeight="1" x14ac:dyDescent="0.25">
      <c r="M2476" s="274"/>
    </row>
    <row r="2477" spans="13:13" ht="15" customHeight="1" x14ac:dyDescent="0.25">
      <c r="M2477" s="274"/>
    </row>
    <row r="2478" spans="13:13" ht="15" customHeight="1" x14ac:dyDescent="0.25">
      <c r="M2478" s="274"/>
    </row>
    <row r="2479" spans="13:13" ht="15" customHeight="1" x14ac:dyDescent="0.25">
      <c r="M2479" s="274"/>
    </row>
    <row r="2480" spans="13:13" ht="15" customHeight="1" x14ac:dyDescent="0.25">
      <c r="M2480" s="274"/>
    </row>
    <row r="2481" spans="13:13" ht="15" customHeight="1" x14ac:dyDescent="0.25">
      <c r="M2481" s="274"/>
    </row>
    <row r="2482" spans="13:13" ht="15" customHeight="1" x14ac:dyDescent="0.25">
      <c r="M2482" s="274"/>
    </row>
    <row r="2483" spans="13:13" ht="15" customHeight="1" x14ac:dyDescent="0.25">
      <c r="M2483" s="274"/>
    </row>
    <row r="2484" spans="13:13" ht="15" customHeight="1" x14ac:dyDescent="0.25">
      <c r="M2484" s="274"/>
    </row>
    <row r="2485" spans="13:13" ht="15" customHeight="1" x14ac:dyDescent="0.25">
      <c r="M2485" s="274"/>
    </row>
    <row r="2486" spans="13:13" ht="15" customHeight="1" x14ac:dyDescent="0.25">
      <c r="M2486" s="274"/>
    </row>
    <row r="2487" spans="13:13" ht="15" customHeight="1" x14ac:dyDescent="0.25">
      <c r="M2487" s="274"/>
    </row>
    <row r="2488" spans="13:13" ht="15" customHeight="1" x14ac:dyDescent="0.25">
      <c r="M2488" s="274"/>
    </row>
    <row r="2489" spans="13:13" ht="15" customHeight="1" x14ac:dyDescent="0.25">
      <c r="M2489" s="274"/>
    </row>
    <row r="2490" spans="13:13" ht="15" customHeight="1" x14ac:dyDescent="0.25">
      <c r="M2490" s="274"/>
    </row>
    <row r="2491" spans="13:13" ht="15" customHeight="1" x14ac:dyDescent="0.25">
      <c r="M2491" s="274"/>
    </row>
    <row r="2492" spans="13:13" ht="15" customHeight="1" x14ac:dyDescent="0.25">
      <c r="M2492" s="274"/>
    </row>
    <row r="2493" spans="13:13" ht="15" customHeight="1" x14ac:dyDescent="0.25">
      <c r="M2493" s="274"/>
    </row>
    <row r="2494" spans="13:13" ht="15" customHeight="1" x14ac:dyDescent="0.25">
      <c r="M2494" s="274"/>
    </row>
    <row r="2495" spans="13:13" ht="15" customHeight="1" x14ac:dyDescent="0.25">
      <c r="M2495" s="274"/>
    </row>
    <row r="2496" spans="13:13" ht="15" customHeight="1" x14ac:dyDescent="0.25">
      <c r="M2496" s="274"/>
    </row>
    <row r="2497" spans="13:13" ht="15" customHeight="1" x14ac:dyDescent="0.25">
      <c r="M2497" s="274"/>
    </row>
    <row r="2498" spans="13:13" ht="15" customHeight="1" x14ac:dyDescent="0.25">
      <c r="M2498" s="274"/>
    </row>
    <row r="2499" spans="13:13" ht="15" customHeight="1" x14ac:dyDescent="0.25">
      <c r="M2499" s="274"/>
    </row>
    <row r="2500" spans="13:13" ht="15" customHeight="1" x14ac:dyDescent="0.25">
      <c r="M2500" s="274"/>
    </row>
    <row r="2501" spans="13:13" ht="15" customHeight="1" x14ac:dyDescent="0.25">
      <c r="M2501" s="274"/>
    </row>
    <row r="2502" spans="13:13" ht="15" customHeight="1" x14ac:dyDescent="0.25">
      <c r="M2502" s="274"/>
    </row>
    <row r="2503" spans="13:13" ht="15" customHeight="1" x14ac:dyDescent="0.25">
      <c r="M2503" s="274"/>
    </row>
    <row r="2504" spans="13:13" ht="15" customHeight="1" x14ac:dyDescent="0.25">
      <c r="M2504" s="274"/>
    </row>
    <row r="2505" spans="13:13" ht="15" customHeight="1" x14ac:dyDescent="0.25">
      <c r="M2505" s="274"/>
    </row>
    <row r="2506" spans="13:13" ht="15" customHeight="1" x14ac:dyDescent="0.25">
      <c r="M2506" s="274"/>
    </row>
    <row r="2507" spans="13:13" ht="15" customHeight="1" x14ac:dyDescent="0.25">
      <c r="M2507" s="274"/>
    </row>
    <row r="2508" spans="13:13" ht="15" customHeight="1" x14ac:dyDescent="0.25">
      <c r="M2508" s="274"/>
    </row>
    <row r="2509" spans="13:13" ht="15" customHeight="1" x14ac:dyDescent="0.25">
      <c r="M2509" s="274"/>
    </row>
    <row r="2510" spans="13:13" ht="15" customHeight="1" x14ac:dyDescent="0.25">
      <c r="M2510" s="274"/>
    </row>
    <row r="2511" spans="13:13" ht="15" customHeight="1" x14ac:dyDescent="0.25">
      <c r="M2511" s="274"/>
    </row>
    <row r="2512" spans="13:13" ht="15" customHeight="1" x14ac:dyDescent="0.25">
      <c r="M2512" s="274"/>
    </row>
    <row r="2513" spans="13:13" ht="15" customHeight="1" x14ac:dyDescent="0.25">
      <c r="M2513" s="274"/>
    </row>
    <row r="2514" spans="13:13" ht="15" customHeight="1" x14ac:dyDescent="0.25">
      <c r="M2514" s="274"/>
    </row>
    <row r="2515" spans="13:13" ht="15" customHeight="1" x14ac:dyDescent="0.25">
      <c r="M2515" s="274"/>
    </row>
    <row r="2516" spans="13:13" ht="15" customHeight="1" x14ac:dyDescent="0.25">
      <c r="M2516" s="274"/>
    </row>
    <row r="2517" spans="13:13" ht="15" customHeight="1" x14ac:dyDescent="0.25">
      <c r="M2517" s="274"/>
    </row>
    <row r="2518" spans="13:13" ht="15" customHeight="1" x14ac:dyDescent="0.25">
      <c r="M2518" s="274"/>
    </row>
    <row r="2519" spans="13:13" ht="15" customHeight="1" x14ac:dyDescent="0.25">
      <c r="M2519" s="274"/>
    </row>
    <row r="2520" spans="13:13" ht="15" customHeight="1" x14ac:dyDescent="0.25">
      <c r="M2520" s="274"/>
    </row>
    <row r="2521" spans="13:13" ht="15" customHeight="1" x14ac:dyDescent="0.25">
      <c r="M2521" s="274"/>
    </row>
    <row r="2522" spans="13:13" ht="15" customHeight="1" x14ac:dyDescent="0.25">
      <c r="M2522" s="274"/>
    </row>
    <row r="2523" spans="13:13" ht="15" customHeight="1" x14ac:dyDescent="0.25">
      <c r="M2523" s="274"/>
    </row>
    <row r="2524" spans="13:13" ht="15" customHeight="1" x14ac:dyDescent="0.25">
      <c r="M2524" s="274"/>
    </row>
    <row r="2525" spans="13:13" ht="15" customHeight="1" x14ac:dyDescent="0.25">
      <c r="M2525" s="274"/>
    </row>
    <row r="2526" spans="13:13" ht="15" customHeight="1" x14ac:dyDescent="0.25">
      <c r="M2526" s="274"/>
    </row>
    <row r="2527" spans="13:13" ht="15" customHeight="1" x14ac:dyDescent="0.25">
      <c r="M2527" s="274"/>
    </row>
    <row r="2528" spans="13:13" ht="15" customHeight="1" x14ac:dyDescent="0.25">
      <c r="M2528" s="274"/>
    </row>
    <row r="2529" spans="13:13" ht="15" customHeight="1" x14ac:dyDescent="0.25">
      <c r="M2529" s="274"/>
    </row>
    <row r="2530" spans="13:13" ht="15" customHeight="1" x14ac:dyDescent="0.25">
      <c r="M2530" s="274"/>
    </row>
    <row r="2531" spans="13:13" ht="15" customHeight="1" x14ac:dyDescent="0.25">
      <c r="M2531" s="274"/>
    </row>
    <row r="2532" spans="13:13" ht="15" customHeight="1" x14ac:dyDescent="0.25">
      <c r="M2532" s="274"/>
    </row>
    <row r="2533" spans="13:13" ht="15" customHeight="1" x14ac:dyDescent="0.25">
      <c r="M2533" s="274"/>
    </row>
    <row r="2534" spans="13:13" ht="15" customHeight="1" x14ac:dyDescent="0.25">
      <c r="M2534" s="274"/>
    </row>
    <row r="2535" spans="13:13" ht="15" customHeight="1" x14ac:dyDescent="0.25">
      <c r="M2535" s="274"/>
    </row>
    <row r="2536" spans="13:13" ht="15" customHeight="1" x14ac:dyDescent="0.25">
      <c r="M2536" s="274"/>
    </row>
    <row r="2537" spans="13:13" ht="15" customHeight="1" x14ac:dyDescent="0.25">
      <c r="M2537" s="274"/>
    </row>
    <row r="2538" spans="13:13" ht="15" customHeight="1" x14ac:dyDescent="0.25">
      <c r="M2538" s="274"/>
    </row>
    <row r="2539" spans="13:13" ht="15" customHeight="1" x14ac:dyDescent="0.25">
      <c r="M2539" s="274"/>
    </row>
    <row r="2540" spans="13:13" ht="15" customHeight="1" x14ac:dyDescent="0.25">
      <c r="M2540" s="274"/>
    </row>
    <row r="2541" spans="13:13" ht="15" customHeight="1" x14ac:dyDescent="0.25">
      <c r="M2541" s="274"/>
    </row>
    <row r="2542" spans="13:13" ht="15" customHeight="1" x14ac:dyDescent="0.25">
      <c r="M2542" s="274"/>
    </row>
    <row r="2543" spans="13:13" ht="15" customHeight="1" x14ac:dyDescent="0.25">
      <c r="M2543" s="274"/>
    </row>
    <row r="2544" spans="13:13" ht="15" customHeight="1" x14ac:dyDescent="0.25">
      <c r="M2544" s="274"/>
    </row>
    <row r="2545" spans="13:13" ht="15" customHeight="1" x14ac:dyDescent="0.25">
      <c r="M2545" s="274"/>
    </row>
    <row r="2546" spans="13:13" ht="15" customHeight="1" x14ac:dyDescent="0.25">
      <c r="M2546" s="274"/>
    </row>
    <row r="2547" spans="13:13" ht="15" customHeight="1" x14ac:dyDescent="0.25">
      <c r="M2547" s="274"/>
    </row>
    <row r="2548" spans="13:13" ht="15" customHeight="1" x14ac:dyDescent="0.25">
      <c r="M2548" s="274"/>
    </row>
    <row r="2549" spans="13:13" ht="15" customHeight="1" x14ac:dyDescent="0.25">
      <c r="M2549" s="274"/>
    </row>
    <row r="2550" spans="13:13" ht="15" customHeight="1" x14ac:dyDescent="0.25">
      <c r="M2550" s="274"/>
    </row>
    <row r="2551" spans="13:13" ht="15" customHeight="1" x14ac:dyDescent="0.25">
      <c r="M2551" s="274"/>
    </row>
    <row r="2552" spans="13:13" ht="15" customHeight="1" x14ac:dyDescent="0.25">
      <c r="M2552" s="274"/>
    </row>
    <row r="2553" spans="13:13" ht="15" customHeight="1" x14ac:dyDescent="0.25">
      <c r="M2553" s="274"/>
    </row>
    <row r="2554" spans="13:13" ht="15" customHeight="1" x14ac:dyDescent="0.25">
      <c r="M2554" s="274"/>
    </row>
    <row r="2555" spans="13:13" ht="15" customHeight="1" x14ac:dyDescent="0.25">
      <c r="M2555" s="274"/>
    </row>
    <row r="2556" spans="13:13" ht="15" customHeight="1" x14ac:dyDescent="0.25">
      <c r="M2556" s="274"/>
    </row>
    <row r="2557" spans="13:13" ht="15" customHeight="1" x14ac:dyDescent="0.25">
      <c r="M2557" s="274"/>
    </row>
    <row r="2558" spans="13:13" ht="15" customHeight="1" x14ac:dyDescent="0.25">
      <c r="M2558" s="274"/>
    </row>
    <row r="2559" spans="13:13" ht="15" customHeight="1" x14ac:dyDescent="0.25">
      <c r="M2559" s="274"/>
    </row>
    <row r="2560" spans="13:13" ht="15" customHeight="1" x14ac:dyDescent="0.25">
      <c r="M2560" s="274"/>
    </row>
    <row r="2561" spans="13:13" ht="15" customHeight="1" x14ac:dyDescent="0.25">
      <c r="M2561" s="274"/>
    </row>
    <row r="2562" spans="13:13" ht="15" customHeight="1" x14ac:dyDescent="0.25">
      <c r="M2562" s="274"/>
    </row>
    <row r="2563" spans="13:13" ht="15" customHeight="1" x14ac:dyDescent="0.25">
      <c r="M2563" s="274"/>
    </row>
    <row r="2564" spans="13:13" ht="15" customHeight="1" x14ac:dyDescent="0.25">
      <c r="M2564" s="274"/>
    </row>
    <row r="2565" spans="13:13" ht="15" customHeight="1" x14ac:dyDescent="0.25">
      <c r="M2565" s="274"/>
    </row>
    <row r="2566" spans="13:13" ht="15" customHeight="1" x14ac:dyDescent="0.25">
      <c r="M2566" s="274"/>
    </row>
    <row r="2567" spans="13:13" ht="15" customHeight="1" x14ac:dyDescent="0.25">
      <c r="M2567" s="274"/>
    </row>
    <row r="2568" spans="13:13" ht="15" customHeight="1" x14ac:dyDescent="0.25">
      <c r="M2568" s="274"/>
    </row>
    <row r="2569" spans="13:13" ht="15" customHeight="1" x14ac:dyDescent="0.25">
      <c r="M2569" s="274"/>
    </row>
    <row r="2570" spans="13:13" ht="15" customHeight="1" x14ac:dyDescent="0.25">
      <c r="M2570" s="274"/>
    </row>
    <row r="2571" spans="13:13" ht="15" customHeight="1" x14ac:dyDescent="0.25">
      <c r="M2571" s="274"/>
    </row>
    <row r="2572" spans="13:13" ht="15" customHeight="1" x14ac:dyDescent="0.25">
      <c r="M2572" s="274"/>
    </row>
    <row r="2573" spans="13:13" ht="15" customHeight="1" x14ac:dyDescent="0.25">
      <c r="M2573" s="274"/>
    </row>
    <row r="2574" spans="13:13" ht="15" customHeight="1" x14ac:dyDescent="0.25">
      <c r="M2574" s="274"/>
    </row>
    <row r="2575" spans="13:13" ht="15" customHeight="1" x14ac:dyDescent="0.25">
      <c r="M2575" s="274"/>
    </row>
    <row r="2576" spans="13:13" ht="15" customHeight="1" x14ac:dyDescent="0.25">
      <c r="M2576" s="274"/>
    </row>
    <row r="2577" spans="13:13" ht="15" customHeight="1" x14ac:dyDescent="0.25">
      <c r="M2577" s="274"/>
    </row>
    <row r="2578" spans="13:13" ht="15" customHeight="1" x14ac:dyDescent="0.25">
      <c r="M2578" s="274"/>
    </row>
    <row r="2579" spans="13:13" ht="15" customHeight="1" x14ac:dyDescent="0.25">
      <c r="M2579" s="274"/>
    </row>
    <row r="2580" spans="13:13" ht="15" customHeight="1" x14ac:dyDescent="0.25">
      <c r="M2580" s="274"/>
    </row>
    <row r="2581" spans="13:13" ht="15" customHeight="1" x14ac:dyDescent="0.25">
      <c r="M2581" s="274"/>
    </row>
    <row r="2582" spans="13:13" ht="15" customHeight="1" x14ac:dyDescent="0.25">
      <c r="M2582" s="274"/>
    </row>
    <row r="2583" spans="13:13" ht="15" customHeight="1" x14ac:dyDescent="0.25">
      <c r="M2583" s="274"/>
    </row>
    <row r="2584" spans="13:13" ht="15" customHeight="1" x14ac:dyDescent="0.25">
      <c r="M2584" s="274"/>
    </row>
    <row r="2585" spans="13:13" ht="15" customHeight="1" x14ac:dyDescent="0.25">
      <c r="M2585" s="274"/>
    </row>
    <row r="2586" spans="13:13" ht="15" customHeight="1" x14ac:dyDescent="0.25">
      <c r="M2586" s="274"/>
    </row>
    <row r="2587" spans="13:13" ht="15" customHeight="1" x14ac:dyDescent="0.25">
      <c r="M2587" s="274"/>
    </row>
    <row r="2588" spans="13:13" ht="15" customHeight="1" x14ac:dyDescent="0.25">
      <c r="M2588" s="274"/>
    </row>
    <row r="2589" spans="13:13" ht="15" customHeight="1" x14ac:dyDescent="0.25">
      <c r="M2589" s="274"/>
    </row>
    <row r="2590" spans="13:13" ht="15" customHeight="1" x14ac:dyDescent="0.25">
      <c r="M2590" s="274"/>
    </row>
    <row r="2591" spans="13:13" ht="15" customHeight="1" x14ac:dyDescent="0.25">
      <c r="M2591" s="274"/>
    </row>
    <row r="2592" spans="13:13" ht="15" customHeight="1" x14ac:dyDescent="0.25">
      <c r="M2592" s="274"/>
    </row>
    <row r="2593" spans="13:13" ht="15" customHeight="1" x14ac:dyDescent="0.25">
      <c r="M2593" s="274"/>
    </row>
    <row r="2594" spans="13:13" ht="15" customHeight="1" x14ac:dyDescent="0.25">
      <c r="M2594" s="274"/>
    </row>
    <row r="2595" spans="13:13" ht="15" customHeight="1" x14ac:dyDescent="0.25">
      <c r="M2595" s="274"/>
    </row>
    <row r="2596" spans="13:13" ht="15" customHeight="1" x14ac:dyDescent="0.25">
      <c r="M2596" s="274"/>
    </row>
    <row r="2597" spans="13:13" ht="15" customHeight="1" x14ac:dyDescent="0.25">
      <c r="M2597" s="274"/>
    </row>
    <row r="2598" spans="13:13" ht="15" customHeight="1" x14ac:dyDescent="0.25">
      <c r="M2598" s="274"/>
    </row>
    <row r="2599" spans="13:13" ht="15" customHeight="1" x14ac:dyDescent="0.25">
      <c r="M2599" s="274"/>
    </row>
    <row r="2600" spans="13:13" ht="15" customHeight="1" x14ac:dyDescent="0.25">
      <c r="M2600" s="274"/>
    </row>
    <row r="2601" spans="13:13" ht="15" customHeight="1" x14ac:dyDescent="0.25">
      <c r="M2601" s="274"/>
    </row>
    <row r="2602" spans="13:13" ht="15" customHeight="1" x14ac:dyDescent="0.25">
      <c r="M2602" s="274"/>
    </row>
    <row r="2603" spans="13:13" ht="15" customHeight="1" x14ac:dyDescent="0.25">
      <c r="M2603" s="274"/>
    </row>
    <row r="2604" spans="13:13" ht="15" customHeight="1" x14ac:dyDescent="0.25">
      <c r="M2604" s="274"/>
    </row>
    <row r="2605" spans="13:13" ht="15" customHeight="1" x14ac:dyDescent="0.25">
      <c r="M2605" s="274"/>
    </row>
    <row r="2606" spans="13:13" ht="15" customHeight="1" x14ac:dyDescent="0.25">
      <c r="M2606" s="274"/>
    </row>
    <row r="2607" spans="13:13" ht="15" customHeight="1" x14ac:dyDescent="0.25">
      <c r="M2607" s="274"/>
    </row>
    <row r="2608" spans="13:13" ht="15" customHeight="1" x14ac:dyDescent="0.25">
      <c r="M2608" s="274"/>
    </row>
    <row r="2609" spans="13:13" ht="15" customHeight="1" x14ac:dyDescent="0.25">
      <c r="M2609" s="274"/>
    </row>
    <row r="2610" spans="13:13" ht="15" customHeight="1" x14ac:dyDescent="0.25">
      <c r="M2610" s="274"/>
    </row>
    <row r="2611" spans="13:13" ht="15" customHeight="1" x14ac:dyDescent="0.25">
      <c r="M2611" s="274"/>
    </row>
    <row r="2612" spans="13:13" ht="15" customHeight="1" x14ac:dyDescent="0.25">
      <c r="M2612" s="274"/>
    </row>
    <row r="2613" spans="13:13" ht="15" customHeight="1" x14ac:dyDescent="0.25">
      <c r="M2613" s="274"/>
    </row>
    <row r="2614" spans="13:13" ht="15" customHeight="1" x14ac:dyDescent="0.25">
      <c r="M2614" s="274"/>
    </row>
    <row r="2615" spans="13:13" ht="15" customHeight="1" x14ac:dyDescent="0.25">
      <c r="M2615" s="274"/>
    </row>
    <row r="2616" spans="13:13" ht="15" customHeight="1" x14ac:dyDescent="0.25">
      <c r="M2616" s="274"/>
    </row>
    <row r="2617" spans="13:13" ht="15" customHeight="1" x14ac:dyDescent="0.25">
      <c r="M2617" s="274"/>
    </row>
    <row r="2618" spans="13:13" ht="15" customHeight="1" x14ac:dyDescent="0.25">
      <c r="M2618" s="274"/>
    </row>
    <row r="2619" spans="13:13" ht="15" customHeight="1" x14ac:dyDescent="0.25">
      <c r="M2619" s="274"/>
    </row>
    <row r="2620" spans="13:13" ht="15" customHeight="1" x14ac:dyDescent="0.25">
      <c r="M2620" s="274"/>
    </row>
    <row r="2621" spans="13:13" ht="15" customHeight="1" x14ac:dyDescent="0.25">
      <c r="M2621" s="274"/>
    </row>
    <row r="2622" spans="13:13" ht="15" customHeight="1" x14ac:dyDescent="0.25">
      <c r="M2622" s="274"/>
    </row>
    <row r="2623" spans="13:13" ht="15" customHeight="1" x14ac:dyDescent="0.25">
      <c r="M2623" s="274"/>
    </row>
    <row r="2624" spans="13:13" ht="15" customHeight="1" x14ac:dyDescent="0.25">
      <c r="M2624" s="274"/>
    </row>
    <row r="2625" spans="13:13" ht="15" customHeight="1" x14ac:dyDescent="0.25">
      <c r="M2625" s="274"/>
    </row>
    <row r="2626" spans="13:13" ht="15" customHeight="1" x14ac:dyDescent="0.25">
      <c r="M2626" s="274"/>
    </row>
    <row r="2627" spans="13:13" ht="15" customHeight="1" x14ac:dyDescent="0.25">
      <c r="M2627" s="274"/>
    </row>
    <row r="2628" spans="13:13" ht="15" customHeight="1" x14ac:dyDescent="0.25">
      <c r="M2628" s="274"/>
    </row>
    <row r="2629" spans="13:13" ht="15" customHeight="1" x14ac:dyDescent="0.25">
      <c r="M2629" s="274"/>
    </row>
    <row r="2630" spans="13:13" ht="15" customHeight="1" x14ac:dyDescent="0.25">
      <c r="M2630" s="274"/>
    </row>
    <row r="2631" spans="13:13" ht="15" customHeight="1" x14ac:dyDescent="0.25">
      <c r="M2631" s="274"/>
    </row>
    <row r="2632" spans="13:13" ht="15" customHeight="1" x14ac:dyDescent="0.25">
      <c r="M2632" s="274"/>
    </row>
    <row r="2633" spans="13:13" ht="15" customHeight="1" x14ac:dyDescent="0.25">
      <c r="M2633" s="274"/>
    </row>
    <row r="2634" spans="13:13" ht="15" customHeight="1" x14ac:dyDescent="0.25">
      <c r="M2634" s="274"/>
    </row>
    <row r="2635" spans="13:13" ht="15" customHeight="1" x14ac:dyDescent="0.25">
      <c r="M2635" s="274"/>
    </row>
    <row r="2636" spans="13:13" ht="15" customHeight="1" x14ac:dyDescent="0.25">
      <c r="M2636" s="274"/>
    </row>
    <row r="2637" spans="13:13" ht="15" customHeight="1" x14ac:dyDescent="0.25">
      <c r="M2637" s="274"/>
    </row>
    <row r="2638" spans="13:13" ht="15" customHeight="1" x14ac:dyDescent="0.25">
      <c r="M2638" s="274"/>
    </row>
    <row r="2639" spans="13:13" ht="15" customHeight="1" x14ac:dyDescent="0.25">
      <c r="M2639" s="274"/>
    </row>
    <row r="2640" spans="13:13" ht="15" customHeight="1" x14ac:dyDescent="0.25">
      <c r="M2640" s="274"/>
    </row>
    <row r="2641" spans="13:13" ht="15" customHeight="1" x14ac:dyDescent="0.25">
      <c r="M2641" s="274"/>
    </row>
    <row r="2642" spans="13:13" ht="15" customHeight="1" x14ac:dyDescent="0.25">
      <c r="M2642" s="274"/>
    </row>
    <row r="2643" spans="13:13" ht="15" customHeight="1" x14ac:dyDescent="0.25">
      <c r="M2643" s="274"/>
    </row>
    <row r="2644" spans="13:13" ht="15" customHeight="1" x14ac:dyDescent="0.25">
      <c r="M2644" s="274"/>
    </row>
    <row r="2645" spans="13:13" ht="15" customHeight="1" x14ac:dyDescent="0.25">
      <c r="M2645" s="274"/>
    </row>
    <row r="2646" spans="13:13" ht="15" customHeight="1" x14ac:dyDescent="0.25">
      <c r="M2646" s="274"/>
    </row>
    <row r="2647" spans="13:13" ht="15" customHeight="1" x14ac:dyDescent="0.25">
      <c r="M2647" s="274"/>
    </row>
    <row r="2648" spans="13:13" ht="15" customHeight="1" x14ac:dyDescent="0.25">
      <c r="M2648" s="274"/>
    </row>
    <row r="2649" spans="13:13" ht="15" customHeight="1" x14ac:dyDescent="0.25">
      <c r="M2649" s="274"/>
    </row>
    <row r="2650" spans="13:13" ht="15" customHeight="1" x14ac:dyDescent="0.25">
      <c r="M2650" s="274"/>
    </row>
    <row r="2651" spans="13:13" ht="15" customHeight="1" x14ac:dyDescent="0.25">
      <c r="M2651" s="274"/>
    </row>
    <row r="2652" spans="13:13" ht="15" customHeight="1" x14ac:dyDescent="0.25">
      <c r="M2652" s="274"/>
    </row>
    <row r="2653" spans="13:13" ht="15" customHeight="1" x14ac:dyDescent="0.25">
      <c r="M2653" s="274"/>
    </row>
    <row r="2654" spans="13:13" ht="15" customHeight="1" x14ac:dyDescent="0.25">
      <c r="M2654" s="274"/>
    </row>
    <row r="2655" spans="13:13" ht="15" customHeight="1" x14ac:dyDescent="0.25">
      <c r="M2655" s="274"/>
    </row>
    <row r="2656" spans="13:13" ht="15" customHeight="1" x14ac:dyDescent="0.25">
      <c r="M2656" s="274"/>
    </row>
    <row r="2657" spans="13:13" ht="15" customHeight="1" x14ac:dyDescent="0.25">
      <c r="M2657" s="274"/>
    </row>
    <row r="2658" spans="13:13" ht="15" customHeight="1" x14ac:dyDescent="0.25">
      <c r="M2658" s="274"/>
    </row>
    <row r="2659" spans="13:13" ht="15" customHeight="1" x14ac:dyDescent="0.25">
      <c r="M2659" s="274"/>
    </row>
    <row r="2660" spans="13:13" ht="15" customHeight="1" x14ac:dyDescent="0.25">
      <c r="M2660" s="274"/>
    </row>
    <row r="2661" spans="13:13" ht="15" customHeight="1" x14ac:dyDescent="0.25">
      <c r="M2661" s="274"/>
    </row>
    <row r="2662" spans="13:13" ht="15" customHeight="1" x14ac:dyDescent="0.25">
      <c r="M2662" s="274"/>
    </row>
    <row r="2663" spans="13:13" ht="15" customHeight="1" x14ac:dyDescent="0.25">
      <c r="M2663" s="274"/>
    </row>
    <row r="2664" spans="13:13" ht="15" customHeight="1" x14ac:dyDescent="0.25">
      <c r="M2664" s="274"/>
    </row>
    <row r="2665" spans="13:13" ht="15" customHeight="1" x14ac:dyDescent="0.25">
      <c r="M2665" s="274"/>
    </row>
    <row r="2666" spans="13:13" ht="15" customHeight="1" x14ac:dyDescent="0.25">
      <c r="M2666" s="274"/>
    </row>
    <row r="2667" spans="13:13" ht="15" customHeight="1" x14ac:dyDescent="0.25">
      <c r="M2667" s="274"/>
    </row>
    <row r="2668" spans="13:13" ht="15" customHeight="1" x14ac:dyDescent="0.25">
      <c r="M2668" s="274"/>
    </row>
    <row r="2669" spans="13:13" ht="15" customHeight="1" x14ac:dyDescent="0.25">
      <c r="M2669" s="274"/>
    </row>
    <row r="2670" spans="13:13" ht="15" customHeight="1" x14ac:dyDescent="0.25">
      <c r="M2670" s="274"/>
    </row>
    <row r="2671" spans="13:13" ht="15" customHeight="1" x14ac:dyDescent="0.25">
      <c r="M2671" s="274"/>
    </row>
    <row r="2672" spans="13:13" ht="15" customHeight="1" x14ac:dyDescent="0.25">
      <c r="M2672" s="274"/>
    </row>
    <row r="2673" spans="13:13" ht="15" customHeight="1" x14ac:dyDescent="0.25">
      <c r="M2673" s="274"/>
    </row>
    <row r="2674" spans="13:13" ht="15" customHeight="1" x14ac:dyDescent="0.25">
      <c r="M2674" s="274"/>
    </row>
    <row r="2675" spans="13:13" ht="15" customHeight="1" x14ac:dyDescent="0.25">
      <c r="M2675" s="274"/>
    </row>
    <row r="2676" spans="13:13" ht="15" customHeight="1" x14ac:dyDescent="0.25">
      <c r="M2676" s="274"/>
    </row>
    <row r="2677" spans="13:13" ht="15" customHeight="1" x14ac:dyDescent="0.25">
      <c r="M2677" s="274"/>
    </row>
    <row r="2678" spans="13:13" ht="15" customHeight="1" x14ac:dyDescent="0.25">
      <c r="M2678" s="274"/>
    </row>
    <row r="2679" spans="13:13" ht="15" customHeight="1" x14ac:dyDescent="0.25">
      <c r="M2679" s="274"/>
    </row>
    <row r="2680" spans="13:13" ht="15" customHeight="1" x14ac:dyDescent="0.25">
      <c r="M2680" s="274"/>
    </row>
    <row r="2681" spans="13:13" ht="15" customHeight="1" x14ac:dyDescent="0.25">
      <c r="M2681" s="274"/>
    </row>
    <row r="2682" spans="13:13" ht="15" customHeight="1" x14ac:dyDescent="0.25">
      <c r="M2682" s="274"/>
    </row>
    <row r="2683" spans="13:13" ht="15" customHeight="1" x14ac:dyDescent="0.25">
      <c r="M2683" s="274"/>
    </row>
    <row r="2684" spans="13:13" ht="15" customHeight="1" x14ac:dyDescent="0.25">
      <c r="M2684" s="274"/>
    </row>
    <row r="2685" spans="13:13" ht="15" customHeight="1" x14ac:dyDescent="0.25">
      <c r="M2685" s="274"/>
    </row>
    <row r="2686" spans="13:13" ht="15" customHeight="1" x14ac:dyDescent="0.25">
      <c r="M2686" s="274"/>
    </row>
    <row r="2687" spans="13:13" ht="15" customHeight="1" x14ac:dyDescent="0.25">
      <c r="M2687" s="274"/>
    </row>
    <row r="2688" spans="13:13" ht="15" customHeight="1" x14ac:dyDescent="0.25">
      <c r="M2688" s="274"/>
    </row>
    <row r="2689" spans="13:13" ht="15" customHeight="1" x14ac:dyDescent="0.25">
      <c r="M2689" s="274"/>
    </row>
    <row r="2690" spans="13:13" ht="15" customHeight="1" x14ac:dyDescent="0.25">
      <c r="M2690" s="274"/>
    </row>
    <row r="2691" spans="13:13" ht="15" customHeight="1" x14ac:dyDescent="0.25">
      <c r="M2691" s="274"/>
    </row>
    <row r="2692" spans="13:13" ht="15" customHeight="1" x14ac:dyDescent="0.25">
      <c r="M2692" s="274"/>
    </row>
    <row r="2693" spans="13:13" ht="15" customHeight="1" x14ac:dyDescent="0.25">
      <c r="M2693" s="274"/>
    </row>
    <row r="2694" spans="13:13" ht="15" customHeight="1" x14ac:dyDescent="0.25">
      <c r="M2694" s="274"/>
    </row>
    <row r="2695" spans="13:13" ht="15" customHeight="1" x14ac:dyDescent="0.25">
      <c r="M2695" s="274"/>
    </row>
    <row r="2696" spans="13:13" ht="15" customHeight="1" x14ac:dyDescent="0.25">
      <c r="M2696" s="274"/>
    </row>
    <row r="2697" spans="13:13" ht="15" customHeight="1" x14ac:dyDescent="0.25">
      <c r="M2697" s="274"/>
    </row>
    <row r="2698" spans="13:13" ht="15" customHeight="1" x14ac:dyDescent="0.25">
      <c r="M2698" s="274"/>
    </row>
    <row r="2699" spans="13:13" ht="15" customHeight="1" x14ac:dyDescent="0.25">
      <c r="M2699" s="274"/>
    </row>
    <row r="2700" spans="13:13" ht="15" customHeight="1" x14ac:dyDescent="0.25">
      <c r="M2700" s="274"/>
    </row>
    <row r="2701" spans="13:13" ht="15" customHeight="1" x14ac:dyDescent="0.25">
      <c r="M2701" s="274"/>
    </row>
    <row r="2702" spans="13:13" ht="15" customHeight="1" x14ac:dyDescent="0.25">
      <c r="M2702" s="274"/>
    </row>
    <row r="2703" spans="13:13" ht="15" customHeight="1" x14ac:dyDescent="0.25">
      <c r="M2703" s="274"/>
    </row>
    <row r="2704" spans="13:13" ht="15" customHeight="1" x14ac:dyDescent="0.25">
      <c r="M2704" s="274"/>
    </row>
    <row r="2705" spans="13:13" ht="15" customHeight="1" x14ac:dyDescent="0.25">
      <c r="M2705" s="274"/>
    </row>
    <row r="2706" spans="13:13" ht="15" customHeight="1" x14ac:dyDescent="0.25">
      <c r="M2706" s="274"/>
    </row>
    <row r="2707" spans="13:13" ht="15" customHeight="1" x14ac:dyDescent="0.25">
      <c r="M2707" s="274"/>
    </row>
    <row r="2708" spans="13:13" ht="15" customHeight="1" x14ac:dyDescent="0.25">
      <c r="M2708" s="274"/>
    </row>
    <row r="2709" spans="13:13" ht="15" customHeight="1" x14ac:dyDescent="0.25">
      <c r="M2709" s="274"/>
    </row>
    <row r="2710" spans="13:13" ht="15" customHeight="1" x14ac:dyDescent="0.25">
      <c r="M2710" s="274"/>
    </row>
    <row r="2711" spans="13:13" ht="15" customHeight="1" x14ac:dyDescent="0.25">
      <c r="M2711" s="274"/>
    </row>
    <row r="2712" spans="13:13" ht="15" customHeight="1" x14ac:dyDescent="0.25">
      <c r="M2712" s="274"/>
    </row>
    <row r="2713" spans="13:13" ht="15" customHeight="1" x14ac:dyDescent="0.25">
      <c r="M2713" s="274"/>
    </row>
    <row r="2714" spans="13:13" ht="15" customHeight="1" x14ac:dyDescent="0.25">
      <c r="M2714" s="274"/>
    </row>
    <row r="2715" spans="13:13" ht="15" customHeight="1" x14ac:dyDescent="0.25">
      <c r="M2715" s="274"/>
    </row>
    <row r="2716" spans="13:13" ht="15" customHeight="1" x14ac:dyDescent="0.25">
      <c r="M2716" s="274"/>
    </row>
    <row r="2717" spans="13:13" ht="15" customHeight="1" x14ac:dyDescent="0.25">
      <c r="M2717" s="274"/>
    </row>
    <row r="2718" spans="13:13" ht="15" customHeight="1" x14ac:dyDescent="0.25">
      <c r="M2718" s="274"/>
    </row>
    <row r="2719" spans="13:13" ht="15" customHeight="1" x14ac:dyDescent="0.25">
      <c r="M2719" s="274"/>
    </row>
    <row r="2720" spans="13:13" ht="15" customHeight="1" x14ac:dyDescent="0.25">
      <c r="M2720" s="274"/>
    </row>
    <row r="2721" spans="13:13" ht="15" customHeight="1" x14ac:dyDescent="0.25">
      <c r="M2721" s="274"/>
    </row>
    <row r="2722" spans="13:13" ht="15" customHeight="1" x14ac:dyDescent="0.25">
      <c r="M2722" s="274"/>
    </row>
    <row r="2723" spans="13:13" ht="15" customHeight="1" x14ac:dyDescent="0.25">
      <c r="M2723" s="274"/>
    </row>
    <row r="2724" spans="13:13" ht="15" customHeight="1" x14ac:dyDescent="0.25">
      <c r="M2724" s="274"/>
    </row>
    <row r="2725" spans="13:13" ht="15" customHeight="1" x14ac:dyDescent="0.25">
      <c r="M2725" s="274"/>
    </row>
    <row r="2726" spans="13:13" ht="15" customHeight="1" x14ac:dyDescent="0.25">
      <c r="M2726" s="274"/>
    </row>
    <row r="2727" spans="13:13" ht="15" customHeight="1" x14ac:dyDescent="0.25">
      <c r="M2727" s="274"/>
    </row>
    <row r="2728" spans="13:13" ht="15" customHeight="1" x14ac:dyDescent="0.25">
      <c r="M2728" s="274"/>
    </row>
    <row r="2729" spans="13:13" ht="15" customHeight="1" x14ac:dyDescent="0.25">
      <c r="M2729" s="274"/>
    </row>
    <row r="2730" spans="13:13" ht="15" customHeight="1" x14ac:dyDescent="0.25">
      <c r="M2730" s="274"/>
    </row>
    <row r="2731" spans="13:13" ht="15" customHeight="1" x14ac:dyDescent="0.25">
      <c r="M2731" s="274"/>
    </row>
    <row r="2732" spans="13:13" ht="15" customHeight="1" x14ac:dyDescent="0.25">
      <c r="M2732" s="274"/>
    </row>
    <row r="2733" spans="13:13" ht="15" customHeight="1" x14ac:dyDescent="0.25">
      <c r="M2733" s="274"/>
    </row>
    <row r="2734" spans="13:13" ht="15" customHeight="1" x14ac:dyDescent="0.25">
      <c r="M2734" s="274"/>
    </row>
    <row r="2735" spans="13:13" ht="15" customHeight="1" x14ac:dyDescent="0.25">
      <c r="M2735" s="274"/>
    </row>
    <row r="2736" spans="13:13" ht="15" customHeight="1" x14ac:dyDescent="0.25">
      <c r="M2736" s="274"/>
    </row>
    <row r="2737" spans="13:13" ht="15" customHeight="1" x14ac:dyDescent="0.25">
      <c r="M2737" s="274"/>
    </row>
    <row r="2738" spans="13:13" ht="15" customHeight="1" x14ac:dyDescent="0.25">
      <c r="M2738" s="274"/>
    </row>
    <row r="2739" spans="13:13" ht="15" customHeight="1" x14ac:dyDescent="0.25">
      <c r="M2739" s="274"/>
    </row>
    <row r="2740" spans="13:13" ht="15" customHeight="1" x14ac:dyDescent="0.25">
      <c r="M2740" s="274"/>
    </row>
    <row r="2741" spans="13:13" ht="15" customHeight="1" x14ac:dyDescent="0.25">
      <c r="M2741" s="274"/>
    </row>
    <row r="2742" spans="13:13" ht="15" customHeight="1" x14ac:dyDescent="0.25">
      <c r="M2742" s="274"/>
    </row>
    <row r="2743" spans="13:13" ht="15" customHeight="1" x14ac:dyDescent="0.25">
      <c r="M2743" s="274"/>
    </row>
    <row r="2744" spans="13:13" ht="15" customHeight="1" x14ac:dyDescent="0.25">
      <c r="M2744" s="274"/>
    </row>
    <row r="2745" spans="13:13" ht="15" customHeight="1" x14ac:dyDescent="0.25">
      <c r="M2745" s="274"/>
    </row>
    <row r="2746" spans="13:13" ht="15" customHeight="1" x14ac:dyDescent="0.25">
      <c r="M2746" s="274"/>
    </row>
    <row r="2747" spans="13:13" ht="15" customHeight="1" x14ac:dyDescent="0.25">
      <c r="M2747" s="274"/>
    </row>
    <row r="2748" spans="13:13" ht="15" customHeight="1" x14ac:dyDescent="0.25">
      <c r="M2748" s="274"/>
    </row>
    <row r="2749" spans="13:13" ht="15" customHeight="1" x14ac:dyDescent="0.25">
      <c r="M2749" s="274"/>
    </row>
    <row r="2750" spans="13:13" ht="15" customHeight="1" x14ac:dyDescent="0.25">
      <c r="M2750" s="274"/>
    </row>
    <row r="2751" spans="13:13" ht="15" customHeight="1" x14ac:dyDescent="0.25">
      <c r="M2751" s="274"/>
    </row>
    <row r="2752" spans="13:13" ht="15" customHeight="1" x14ac:dyDescent="0.25">
      <c r="M2752" s="274"/>
    </row>
    <row r="2753" spans="13:13" ht="15" customHeight="1" x14ac:dyDescent="0.25">
      <c r="M2753" s="274"/>
    </row>
    <row r="2754" spans="13:13" ht="15" customHeight="1" x14ac:dyDescent="0.25">
      <c r="M2754" s="274"/>
    </row>
    <row r="2755" spans="13:13" ht="15" customHeight="1" x14ac:dyDescent="0.25">
      <c r="M2755" s="274"/>
    </row>
    <row r="2756" spans="13:13" ht="15" customHeight="1" x14ac:dyDescent="0.25">
      <c r="M2756" s="274"/>
    </row>
    <row r="2757" spans="13:13" ht="15" customHeight="1" x14ac:dyDescent="0.25">
      <c r="M2757" s="274"/>
    </row>
    <row r="2758" spans="13:13" ht="15" customHeight="1" x14ac:dyDescent="0.25">
      <c r="M2758" s="274"/>
    </row>
    <row r="2759" spans="13:13" ht="15" customHeight="1" x14ac:dyDescent="0.25">
      <c r="M2759" s="274"/>
    </row>
    <row r="2760" spans="13:13" ht="15" customHeight="1" x14ac:dyDescent="0.25">
      <c r="M2760" s="274"/>
    </row>
    <row r="2761" spans="13:13" ht="15" customHeight="1" x14ac:dyDescent="0.25">
      <c r="M2761" s="274"/>
    </row>
    <row r="2762" spans="13:13" ht="15" customHeight="1" x14ac:dyDescent="0.25">
      <c r="M2762" s="274"/>
    </row>
    <row r="2763" spans="13:13" ht="15" customHeight="1" x14ac:dyDescent="0.25">
      <c r="M2763" s="274"/>
    </row>
    <row r="2764" spans="13:13" ht="15" customHeight="1" x14ac:dyDescent="0.25">
      <c r="M2764" s="274"/>
    </row>
    <row r="2765" spans="13:13" ht="15" customHeight="1" x14ac:dyDescent="0.25">
      <c r="M2765" s="274"/>
    </row>
    <row r="2766" spans="13:13" ht="15" customHeight="1" x14ac:dyDescent="0.25">
      <c r="M2766" s="274"/>
    </row>
    <row r="2767" spans="13:13" ht="15" customHeight="1" x14ac:dyDescent="0.25">
      <c r="M2767" s="274"/>
    </row>
    <row r="2768" spans="13:13" ht="15" customHeight="1" x14ac:dyDescent="0.25">
      <c r="M2768" s="274"/>
    </row>
    <row r="2769" spans="13:13" ht="15" customHeight="1" x14ac:dyDescent="0.25">
      <c r="M2769" s="274"/>
    </row>
    <row r="2770" spans="13:13" ht="15" customHeight="1" x14ac:dyDescent="0.25">
      <c r="M2770" s="274"/>
    </row>
    <row r="2771" spans="13:13" ht="15" customHeight="1" x14ac:dyDescent="0.25">
      <c r="M2771" s="274"/>
    </row>
    <row r="2772" spans="13:13" ht="15" customHeight="1" x14ac:dyDescent="0.25">
      <c r="M2772" s="274"/>
    </row>
    <row r="2773" spans="13:13" ht="15" customHeight="1" x14ac:dyDescent="0.25">
      <c r="M2773" s="274"/>
    </row>
    <row r="2774" spans="13:13" ht="15" customHeight="1" x14ac:dyDescent="0.25">
      <c r="M2774" s="274"/>
    </row>
    <row r="2775" spans="13:13" ht="15" customHeight="1" x14ac:dyDescent="0.25">
      <c r="M2775" s="274"/>
    </row>
    <row r="2776" spans="13:13" ht="15" customHeight="1" x14ac:dyDescent="0.25">
      <c r="M2776" s="274"/>
    </row>
    <row r="2777" spans="13:13" ht="15" customHeight="1" x14ac:dyDescent="0.25">
      <c r="M2777" s="274"/>
    </row>
    <row r="2778" spans="13:13" ht="15" customHeight="1" x14ac:dyDescent="0.25">
      <c r="M2778" s="274"/>
    </row>
    <row r="2779" spans="13:13" ht="15" customHeight="1" x14ac:dyDescent="0.25">
      <c r="M2779" s="274"/>
    </row>
    <row r="2780" spans="13:13" ht="15" customHeight="1" x14ac:dyDescent="0.25">
      <c r="M2780" s="274"/>
    </row>
    <row r="2781" spans="13:13" ht="15" customHeight="1" x14ac:dyDescent="0.25">
      <c r="M2781" s="274"/>
    </row>
    <row r="2782" spans="13:13" ht="15" customHeight="1" x14ac:dyDescent="0.25">
      <c r="M2782" s="274"/>
    </row>
    <row r="2783" spans="13:13" ht="15" customHeight="1" x14ac:dyDescent="0.25">
      <c r="M2783" s="274"/>
    </row>
    <row r="2784" spans="13:13" ht="15" customHeight="1" x14ac:dyDescent="0.25">
      <c r="M2784" s="274"/>
    </row>
    <row r="2785" spans="13:13" ht="15" customHeight="1" x14ac:dyDescent="0.25">
      <c r="M2785" s="274"/>
    </row>
    <row r="2786" spans="13:13" ht="15" customHeight="1" x14ac:dyDescent="0.25">
      <c r="M2786" s="274"/>
    </row>
    <row r="2787" spans="13:13" ht="15" customHeight="1" x14ac:dyDescent="0.25">
      <c r="M2787" s="274"/>
    </row>
    <row r="2788" spans="13:13" ht="15" customHeight="1" x14ac:dyDescent="0.25">
      <c r="M2788" s="274"/>
    </row>
    <row r="2789" spans="13:13" ht="15" customHeight="1" x14ac:dyDescent="0.25">
      <c r="M2789" s="274"/>
    </row>
    <row r="2790" spans="13:13" ht="15" customHeight="1" x14ac:dyDescent="0.25">
      <c r="M2790" s="274"/>
    </row>
    <row r="2791" spans="13:13" ht="15" customHeight="1" x14ac:dyDescent="0.25">
      <c r="M2791" s="274"/>
    </row>
    <row r="2792" spans="13:13" ht="15" customHeight="1" x14ac:dyDescent="0.25">
      <c r="M2792" s="274"/>
    </row>
    <row r="2793" spans="13:13" ht="15" customHeight="1" x14ac:dyDescent="0.25">
      <c r="M2793" s="274"/>
    </row>
    <row r="2794" spans="13:13" ht="15" customHeight="1" x14ac:dyDescent="0.25">
      <c r="M2794" s="274"/>
    </row>
    <row r="2795" spans="13:13" ht="15" customHeight="1" x14ac:dyDescent="0.25">
      <c r="M2795" s="274"/>
    </row>
    <row r="2796" spans="13:13" ht="15" customHeight="1" x14ac:dyDescent="0.25">
      <c r="M2796" s="274"/>
    </row>
    <row r="2797" spans="13:13" ht="15" customHeight="1" x14ac:dyDescent="0.25">
      <c r="M2797" s="274"/>
    </row>
    <row r="2798" spans="13:13" ht="15" customHeight="1" x14ac:dyDescent="0.25">
      <c r="M2798" s="274"/>
    </row>
    <row r="2799" spans="13:13" ht="15" customHeight="1" x14ac:dyDescent="0.25">
      <c r="M2799" s="274"/>
    </row>
    <row r="2800" spans="13:13" ht="15" customHeight="1" x14ac:dyDescent="0.25">
      <c r="M2800" s="274"/>
    </row>
    <row r="2801" spans="13:13" ht="15" customHeight="1" x14ac:dyDescent="0.25">
      <c r="M2801" s="274"/>
    </row>
    <row r="2802" spans="13:13" ht="15" customHeight="1" x14ac:dyDescent="0.25">
      <c r="M2802" s="274"/>
    </row>
    <row r="2803" spans="13:13" ht="15" customHeight="1" x14ac:dyDescent="0.25">
      <c r="M2803" s="274"/>
    </row>
    <row r="2804" spans="13:13" ht="15" customHeight="1" x14ac:dyDescent="0.25">
      <c r="M2804" s="274"/>
    </row>
    <row r="2805" spans="13:13" ht="15" customHeight="1" x14ac:dyDescent="0.25">
      <c r="M2805" s="274"/>
    </row>
    <row r="2806" spans="13:13" ht="15" customHeight="1" x14ac:dyDescent="0.25">
      <c r="M2806" s="274"/>
    </row>
    <row r="2807" spans="13:13" ht="15" customHeight="1" x14ac:dyDescent="0.25">
      <c r="M2807" s="274"/>
    </row>
    <row r="2808" spans="13:13" ht="15" customHeight="1" x14ac:dyDescent="0.25">
      <c r="M2808" s="274"/>
    </row>
    <row r="2809" spans="13:13" ht="15" customHeight="1" x14ac:dyDescent="0.25">
      <c r="M2809" s="274"/>
    </row>
    <row r="2810" spans="13:13" ht="15" customHeight="1" x14ac:dyDescent="0.25">
      <c r="M2810" s="274"/>
    </row>
    <row r="2811" spans="13:13" ht="15" customHeight="1" x14ac:dyDescent="0.25">
      <c r="M2811" s="274"/>
    </row>
    <row r="2812" spans="13:13" ht="15" customHeight="1" x14ac:dyDescent="0.25">
      <c r="M2812" s="274"/>
    </row>
    <row r="2813" spans="13:13" ht="15" customHeight="1" x14ac:dyDescent="0.25">
      <c r="M2813" s="274"/>
    </row>
    <row r="2814" spans="13:13" ht="15" customHeight="1" x14ac:dyDescent="0.25">
      <c r="M2814" s="274"/>
    </row>
    <row r="2815" spans="13:13" ht="15" customHeight="1" x14ac:dyDescent="0.25">
      <c r="M2815" s="274"/>
    </row>
    <row r="2816" spans="13:13" ht="15" customHeight="1" x14ac:dyDescent="0.25">
      <c r="M2816" s="274"/>
    </row>
    <row r="2817" spans="13:13" ht="15" customHeight="1" x14ac:dyDescent="0.25">
      <c r="M2817" s="274"/>
    </row>
    <row r="2818" spans="13:13" ht="15" customHeight="1" x14ac:dyDescent="0.25">
      <c r="M2818" s="274"/>
    </row>
    <row r="2819" spans="13:13" ht="15" customHeight="1" x14ac:dyDescent="0.25">
      <c r="M2819" s="274"/>
    </row>
    <row r="2820" spans="13:13" ht="15" customHeight="1" x14ac:dyDescent="0.25">
      <c r="M2820" s="274"/>
    </row>
    <row r="2821" spans="13:13" ht="15" customHeight="1" x14ac:dyDescent="0.25">
      <c r="M2821" s="274"/>
    </row>
    <row r="2822" spans="13:13" ht="15" customHeight="1" x14ac:dyDescent="0.25">
      <c r="M2822" s="274"/>
    </row>
    <row r="2823" spans="13:13" ht="15" customHeight="1" x14ac:dyDescent="0.25">
      <c r="M2823" s="274"/>
    </row>
    <row r="2824" spans="13:13" ht="15" customHeight="1" x14ac:dyDescent="0.25">
      <c r="M2824" s="274"/>
    </row>
    <row r="2825" spans="13:13" ht="15" customHeight="1" x14ac:dyDescent="0.25">
      <c r="M2825" s="274"/>
    </row>
    <row r="2826" spans="13:13" ht="15" customHeight="1" x14ac:dyDescent="0.25">
      <c r="M2826" s="274"/>
    </row>
    <row r="2827" spans="13:13" ht="15" customHeight="1" x14ac:dyDescent="0.25">
      <c r="M2827" s="274"/>
    </row>
    <row r="2828" spans="13:13" ht="15" customHeight="1" x14ac:dyDescent="0.25">
      <c r="M2828" s="274"/>
    </row>
    <row r="2829" spans="13:13" ht="15" customHeight="1" x14ac:dyDescent="0.25">
      <c r="M2829" s="274"/>
    </row>
    <row r="2830" spans="13:13" ht="15" customHeight="1" x14ac:dyDescent="0.25">
      <c r="M2830" s="274"/>
    </row>
    <row r="2831" spans="13:13" ht="15" customHeight="1" x14ac:dyDescent="0.25">
      <c r="M2831" s="274"/>
    </row>
    <row r="2832" spans="13:13" ht="15" customHeight="1" x14ac:dyDescent="0.25">
      <c r="M2832" s="274"/>
    </row>
    <row r="2833" spans="13:13" ht="15" customHeight="1" x14ac:dyDescent="0.25">
      <c r="M2833" s="274"/>
    </row>
    <row r="2834" spans="13:13" ht="15" customHeight="1" x14ac:dyDescent="0.25">
      <c r="M2834" s="274"/>
    </row>
    <row r="2835" spans="13:13" ht="15" customHeight="1" x14ac:dyDescent="0.25">
      <c r="M2835" s="274"/>
    </row>
    <row r="2836" spans="13:13" ht="15" customHeight="1" x14ac:dyDescent="0.25">
      <c r="M2836" s="274"/>
    </row>
    <row r="2837" spans="13:13" ht="15" customHeight="1" x14ac:dyDescent="0.25">
      <c r="M2837" s="274"/>
    </row>
    <row r="2838" spans="13:13" ht="15" customHeight="1" x14ac:dyDescent="0.25">
      <c r="M2838" s="274"/>
    </row>
    <row r="2839" spans="13:13" ht="15" customHeight="1" x14ac:dyDescent="0.25">
      <c r="M2839" s="274"/>
    </row>
    <row r="2840" spans="13:13" ht="15" customHeight="1" x14ac:dyDescent="0.25">
      <c r="M2840" s="274"/>
    </row>
    <row r="2841" spans="13:13" ht="15" customHeight="1" x14ac:dyDescent="0.25">
      <c r="M2841" s="274"/>
    </row>
    <row r="2842" spans="13:13" ht="15" customHeight="1" x14ac:dyDescent="0.25">
      <c r="M2842" s="274"/>
    </row>
    <row r="2843" spans="13:13" ht="15" customHeight="1" x14ac:dyDescent="0.25">
      <c r="M2843" s="274"/>
    </row>
    <row r="2844" spans="13:13" ht="15" customHeight="1" x14ac:dyDescent="0.25">
      <c r="M2844" s="274"/>
    </row>
    <row r="2845" spans="13:13" ht="15" customHeight="1" x14ac:dyDescent="0.25">
      <c r="M2845" s="274"/>
    </row>
    <row r="2846" spans="13:13" ht="15" customHeight="1" x14ac:dyDescent="0.25">
      <c r="M2846" s="274"/>
    </row>
    <row r="2847" spans="13:13" ht="15" customHeight="1" x14ac:dyDescent="0.25">
      <c r="M2847" s="274"/>
    </row>
    <row r="2848" spans="13:13" ht="15" customHeight="1" x14ac:dyDescent="0.25">
      <c r="M2848" s="274"/>
    </row>
    <row r="2849" spans="13:13" ht="15" customHeight="1" x14ac:dyDescent="0.25">
      <c r="M2849" s="274"/>
    </row>
    <row r="2850" spans="13:13" ht="15" customHeight="1" x14ac:dyDescent="0.25">
      <c r="M2850" s="274"/>
    </row>
    <row r="2851" spans="13:13" ht="15" customHeight="1" x14ac:dyDescent="0.25">
      <c r="M2851" s="274"/>
    </row>
    <row r="2852" spans="13:13" ht="15" customHeight="1" x14ac:dyDescent="0.25">
      <c r="M2852" s="274"/>
    </row>
    <row r="2853" spans="13:13" ht="15" customHeight="1" x14ac:dyDescent="0.25">
      <c r="M2853" s="274"/>
    </row>
    <row r="2854" spans="13:13" ht="15" customHeight="1" x14ac:dyDescent="0.25">
      <c r="M2854" s="274"/>
    </row>
    <row r="2855" spans="13:13" ht="15" customHeight="1" x14ac:dyDescent="0.25">
      <c r="M2855" s="274"/>
    </row>
    <row r="2856" spans="13:13" ht="15" customHeight="1" x14ac:dyDescent="0.25">
      <c r="M2856" s="274"/>
    </row>
    <row r="2857" spans="13:13" ht="15" customHeight="1" x14ac:dyDescent="0.25">
      <c r="M2857" s="274"/>
    </row>
    <row r="2858" spans="13:13" ht="15" customHeight="1" x14ac:dyDescent="0.25">
      <c r="M2858" s="274"/>
    </row>
    <row r="2859" spans="13:13" ht="15" customHeight="1" x14ac:dyDescent="0.25">
      <c r="M2859" s="274"/>
    </row>
    <row r="2860" spans="13:13" ht="15" customHeight="1" x14ac:dyDescent="0.25">
      <c r="M2860" s="274"/>
    </row>
    <row r="2861" spans="13:13" ht="15" customHeight="1" x14ac:dyDescent="0.25">
      <c r="M2861" s="274"/>
    </row>
    <row r="2862" spans="13:13" ht="15" customHeight="1" x14ac:dyDescent="0.25">
      <c r="M2862" s="274"/>
    </row>
    <row r="2863" spans="13:13" ht="15" customHeight="1" x14ac:dyDescent="0.25">
      <c r="M2863" s="274"/>
    </row>
    <row r="2864" spans="13:13" ht="15" customHeight="1" x14ac:dyDescent="0.25">
      <c r="M2864" s="274"/>
    </row>
    <row r="2865" spans="13:13" ht="15" customHeight="1" x14ac:dyDescent="0.25">
      <c r="M2865" s="274"/>
    </row>
    <row r="2866" spans="13:13" ht="15" customHeight="1" x14ac:dyDescent="0.25">
      <c r="M2866" s="274"/>
    </row>
    <row r="2867" spans="13:13" ht="15" customHeight="1" x14ac:dyDescent="0.25">
      <c r="M2867" s="274"/>
    </row>
    <row r="2868" spans="13:13" ht="15" customHeight="1" x14ac:dyDescent="0.25">
      <c r="M2868" s="274"/>
    </row>
    <row r="2869" spans="13:13" ht="15" customHeight="1" x14ac:dyDescent="0.25">
      <c r="M2869" s="274"/>
    </row>
    <row r="2870" spans="13:13" ht="15" customHeight="1" x14ac:dyDescent="0.25">
      <c r="M2870" s="274"/>
    </row>
    <row r="2871" spans="13:13" ht="15" customHeight="1" x14ac:dyDescent="0.25">
      <c r="M2871" s="274"/>
    </row>
    <row r="2872" spans="13:13" ht="15" customHeight="1" x14ac:dyDescent="0.25">
      <c r="M2872" s="274"/>
    </row>
    <row r="2873" spans="13:13" ht="15" customHeight="1" x14ac:dyDescent="0.25">
      <c r="M2873" s="274"/>
    </row>
    <row r="2874" spans="13:13" ht="15" customHeight="1" x14ac:dyDescent="0.25">
      <c r="M2874" s="274"/>
    </row>
    <row r="2875" spans="13:13" ht="15" customHeight="1" x14ac:dyDescent="0.25">
      <c r="M2875" s="274"/>
    </row>
    <row r="2876" spans="13:13" ht="15" customHeight="1" x14ac:dyDescent="0.25">
      <c r="M2876" s="274"/>
    </row>
    <row r="2877" spans="13:13" ht="15" customHeight="1" x14ac:dyDescent="0.25">
      <c r="M2877" s="274"/>
    </row>
    <row r="2878" spans="13:13" ht="15" customHeight="1" x14ac:dyDescent="0.25">
      <c r="M2878" s="274"/>
    </row>
    <row r="2879" spans="13:13" ht="15" customHeight="1" x14ac:dyDescent="0.25">
      <c r="M2879" s="274"/>
    </row>
    <row r="2880" spans="13:13" ht="15" customHeight="1" x14ac:dyDescent="0.25">
      <c r="M2880" s="274"/>
    </row>
    <row r="2881" spans="13:13" ht="15" customHeight="1" x14ac:dyDescent="0.25">
      <c r="M2881" s="274"/>
    </row>
    <row r="2882" spans="13:13" ht="15" customHeight="1" x14ac:dyDescent="0.25">
      <c r="M2882" s="274"/>
    </row>
    <row r="2883" spans="13:13" ht="15" customHeight="1" x14ac:dyDescent="0.25">
      <c r="M2883" s="274"/>
    </row>
    <row r="2884" spans="13:13" ht="15" customHeight="1" x14ac:dyDescent="0.25">
      <c r="M2884" s="274"/>
    </row>
    <row r="2885" spans="13:13" ht="15" customHeight="1" x14ac:dyDescent="0.25">
      <c r="M2885" s="274"/>
    </row>
    <row r="2886" spans="13:13" ht="15" customHeight="1" x14ac:dyDescent="0.25">
      <c r="M2886" s="274"/>
    </row>
    <row r="2887" spans="13:13" ht="15" customHeight="1" x14ac:dyDescent="0.25">
      <c r="M2887" s="274"/>
    </row>
    <row r="2888" spans="13:13" ht="15" customHeight="1" x14ac:dyDescent="0.25">
      <c r="M2888" s="274"/>
    </row>
    <row r="2889" spans="13:13" ht="15" customHeight="1" x14ac:dyDescent="0.25">
      <c r="M2889" s="274"/>
    </row>
    <row r="2890" spans="13:13" ht="15" customHeight="1" x14ac:dyDescent="0.25">
      <c r="M2890" s="274"/>
    </row>
    <row r="2891" spans="13:13" ht="15" customHeight="1" x14ac:dyDescent="0.25">
      <c r="M2891" s="274"/>
    </row>
    <row r="2892" spans="13:13" ht="15" customHeight="1" x14ac:dyDescent="0.25">
      <c r="M2892" s="274"/>
    </row>
    <row r="2893" spans="13:13" ht="15" customHeight="1" x14ac:dyDescent="0.25">
      <c r="M2893" s="274"/>
    </row>
    <row r="2894" spans="13:13" ht="15" customHeight="1" x14ac:dyDescent="0.25">
      <c r="M2894" s="274"/>
    </row>
    <row r="2895" spans="13:13" ht="15" customHeight="1" x14ac:dyDescent="0.25">
      <c r="M2895" s="274"/>
    </row>
    <row r="2896" spans="13:13" ht="15" customHeight="1" x14ac:dyDescent="0.25">
      <c r="M2896" s="274"/>
    </row>
    <row r="2897" spans="13:13" ht="15" customHeight="1" x14ac:dyDescent="0.25">
      <c r="M2897" s="274"/>
    </row>
    <row r="2898" spans="13:13" ht="15" customHeight="1" x14ac:dyDescent="0.25">
      <c r="M2898" s="274"/>
    </row>
    <row r="2899" spans="13:13" ht="15" customHeight="1" x14ac:dyDescent="0.25">
      <c r="M2899" s="274"/>
    </row>
    <row r="2900" spans="13:13" ht="15" customHeight="1" x14ac:dyDescent="0.25">
      <c r="M2900" s="274"/>
    </row>
    <row r="2901" spans="13:13" ht="15" customHeight="1" x14ac:dyDescent="0.25">
      <c r="M2901" s="274"/>
    </row>
    <row r="2902" spans="13:13" ht="15" customHeight="1" x14ac:dyDescent="0.25">
      <c r="M2902" s="274"/>
    </row>
    <row r="2903" spans="13:13" ht="15" customHeight="1" x14ac:dyDescent="0.25">
      <c r="M2903" s="274"/>
    </row>
    <row r="2904" spans="13:13" ht="15" customHeight="1" x14ac:dyDescent="0.25">
      <c r="M2904" s="274"/>
    </row>
    <row r="2905" spans="13:13" ht="15" customHeight="1" x14ac:dyDescent="0.25">
      <c r="M2905" s="274"/>
    </row>
    <row r="2906" spans="13:13" ht="15" customHeight="1" x14ac:dyDescent="0.25">
      <c r="M2906" s="274"/>
    </row>
    <row r="2907" spans="13:13" ht="15" customHeight="1" x14ac:dyDescent="0.25">
      <c r="M2907" s="274"/>
    </row>
    <row r="2908" spans="13:13" ht="15" customHeight="1" x14ac:dyDescent="0.25">
      <c r="M2908" s="274"/>
    </row>
    <row r="2909" spans="13:13" ht="15" customHeight="1" x14ac:dyDescent="0.25">
      <c r="M2909" s="274"/>
    </row>
    <row r="2910" spans="13:13" ht="15" customHeight="1" x14ac:dyDescent="0.25">
      <c r="M2910" s="274"/>
    </row>
    <row r="2911" spans="13:13" ht="15" customHeight="1" x14ac:dyDescent="0.25">
      <c r="M2911" s="274"/>
    </row>
    <row r="2912" spans="13:13" ht="15" customHeight="1" x14ac:dyDescent="0.25">
      <c r="M2912" s="274"/>
    </row>
    <row r="2913" spans="13:13" ht="15" customHeight="1" x14ac:dyDescent="0.25">
      <c r="M2913" s="274"/>
    </row>
    <row r="2914" spans="13:13" ht="15" customHeight="1" x14ac:dyDescent="0.25">
      <c r="M2914" s="274"/>
    </row>
    <row r="2915" spans="13:13" ht="15" customHeight="1" x14ac:dyDescent="0.25">
      <c r="M2915" s="274"/>
    </row>
    <row r="2916" spans="13:13" ht="15" customHeight="1" x14ac:dyDescent="0.25">
      <c r="M2916" s="274"/>
    </row>
    <row r="2917" spans="13:13" ht="15" customHeight="1" x14ac:dyDescent="0.25">
      <c r="M2917" s="274"/>
    </row>
    <row r="2918" spans="13:13" ht="15" customHeight="1" x14ac:dyDescent="0.25">
      <c r="M2918" s="274"/>
    </row>
    <row r="2919" spans="13:13" ht="15" customHeight="1" x14ac:dyDescent="0.25">
      <c r="M2919" s="274"/>
    </row>
    <row r="2920" spans="13:13" ht="15" customHeight="1" x14ac:dyDescent="0.25">
      <c r="M2920" s="274"/>
    </row>
    <row r="2921" spans="13:13" ht="15" customHeight="1" x14ac:dyDescent="0.25">
      <c r="M2921" s="274"/>
    </row>
    <row r="2922" spans="13:13" ht="15" customHeight="1" x14ac:dyDescent="0.25">
      <c r="M2922" s="274"/>
    </row>
    <row r="2923" spans="13:13" ht="15" customHeight="1" x14ac:dyDescent="0.25">
      <c r="M2923" s="274"/>
    </row>
    <row r="2924" spans="13:13" ht="15" customHeight="1" x14ac:dyDescent="0.25">
      <c r="M2924" s="274"/>
    </row>
    <row r="2925" spans="13:13" ht="15" customHeight="1" x14ac:dyDescent="0.25">
      <c r="M2925" s="274"/>
    </row>
    <row r="2926" spans="13:13" ht="15" customHeight="1" x14ac:dyDescent="0.25">
      <c r="M2926" s="274"/>
    </row>
    <row r="2927" spans="13:13" ht="15" customHeight="1" x14ac:dyDescent="0.25">
      <c r="M2927" s="274"/>
    </row>
    <row r="2928" spans="13:13" ht="15" customHeight="1" x14ac:dyDescent="0.25">
      <c r="M2928" s="274"/>
    </row>
    <row r="2929" spans="13:13" ht="15" customHeight="1" x14ac:dyDescent="0.25">
      <c r="M2929" s="274"/>
    </row>
    <row r="2930" spans="13:13" ht="15" customHeight="1" x14ac:dyDescent="0.25">
      <c r="M2930" s="274"/>
    </row>
    <row r="2931" spans="13:13" ht="15" customHeight="1" x14ac:dyDescent="0.25">
      <c r="M2931" s="274"/>
    </row>
    <row r="2932" spans="13:13" ht="15" customHeight="1" x14ac:dyDescent="0.25">
      <c r="M2932" s="274"/>
    </row>
    <row r="2933" spans="13:13" ht="15" customHeight="1" x14ac:dyDescent="0.25">
      <c r="M2933" s="274"/>
    </row>
    <row r="2934" spans="13:13" ht="15" customHeight="1" x14ac:dyDescent="0.25">
      <c r="M2934" s="274"/>
    </row>
    <row r="2935" spans="13:13" ht="15" customHeight="1" x14ac:dyDescent="0.25">
      <c r="M2935" s="274"/>
    </row>
    <row r="2936" spans="13:13" ht="15" customHeight="1" x14ac:dyDescent="0.25">
      <c r="M2936" s="274"/>
    </row>
    <row r="2937" spans="13:13" ht="15" customHeight="1" x14ac:dyDescent="0.25">
      <c r="M2937" s="274"/>
    </row>
    <row r="2938" spans="13:13" ht="15" customHeight="1" x14ac:dyDescent="0.25">
      <c r="M2938" s="274"/>
    </row>
    <row r="2939" spans="13:13" ht="15" customHeight="1" x14ac:dyDescent="0.25">
      <c r="M2939" s="274"/>
    </row>
    <row r="2940" spans="13:13" ht="15" customHeight="1" x14ac:dyDescent="0.25">
      <c r="M2940" s="274"/>
    </row>
    <row r="2941" spans="13:13" ht="15" customHeight="1" x14ac:dyDescent="0.25">
      <c r="M2941" s="274"/>
    </row>
    <row r="2942" spans="13:13" ht="15" customHeight="1" x14ac:dyDescent="0.25">
      <c r="M2942" s="274"/>
    </row>
    <row r="2943" spans="13:13" ht="15" customHeight="1" x14ac:dyDescent="0.25">
      <c r="M2943" s="274"/>
    </row>
    <row r="2944" spans="13:13" ht="15" customHeight="1" x14ac:dyDescent="0.25">
      <c r="M2944" s="274"/>
    </row>
    <row r="2945" spans="13:13" ht="15" customHeight="1" x14ac:dyDescent="0.25">
      <c r="M2945" s="274"/>
    </row>
    <row r="2946" spans="13:13" ht="15" customHeight="1" x14ac:dyDescent="0.25">
      <c r="M2946" s="274"/>
    </row>
    <row r="2947" spans="13:13" ht="15" customHeight="1" x14ac:dyDescent="0.25">
      <c r="M2947" s="274"/>
    </row>
    <row r="2948" spans="13:13" ht="15" customHeight="1" x14ac:dyDescent="0.25">
      <c r="M2948" s="274"/>
    </row>
    <row r="2949" spans="13:13" ht="15" customHeight="1" x14ac:dyDescent="0.25">
      <c r="M2949" s="274"/>
    </row>
    <row r="2950" spans="13:13" ht="15" customHeight="1" x14ac:dyDescent="0.25">
      <c r="M2950" s="274"/>
    </row>
    <row r="2951" spans="13:13" ht="15" customHeight="1" x14ac:dyDescent="0.25">
      <c r="M2951" s="274"/>
    </row>
    <row r="2952" spans="13:13" ht="15" customHeight="1" x14ac:dyDescent="0.25">
      <c r="M2952" s="274"/>
    </row>
    <row r="2953" spans="13:13" ht="15" customHeight="1" x14ac:dyDescent="0.25">
      <c r="M2953" s="274"/>
    </row>
    <row r="2954" spans="13:13" ht="15" customHeight="1" x14ac:dyDescent="0.25">
      <c r="M2954" s="274"/>
    </row>
    <row r="2955" spans="13:13" ht="15" customHeight="1" x14ac:dyDescent="0.25">
      <c r="M2955" s="274"/>
    </row>
    <row r="2956" spans="13:13" ht="15" customHeight="1" x14ac:dyDescent="0.25">
      <c r="M2956" s="274"/>
    </row>
    <row r="2957" spans="13:13" ht="15" customHeight="1" x14ac:dyDescent="0.25">
      <c r="M2957" s="274"/>
    </row>
    <row r="2958" spans="13:13" ht="15" customHeight="1" x14ac:dyDescent="0.25">
      <c r="M2958" s="274"/>
    </row>
    <row r="2959" spans="13:13" ht="15" customHeight="1" x14ac:dyDescent="0.25">
      <c r="M2959" s="274"/>
    </row>
    <row r="2960" spans="13:13" ht="15" customHeight="1" x14ac:dyDescent="0.25">
      <c r="M2960" s="274"/>
    </row>
    <row r="2961" spans="13:13" ht="15" customHeight="1" x14ac:dyDescent="0.25">
      <c r="M2961" s="274"/>
    </row>
    <row r="2962" spans="13:13" ht="15" customHeight="1" x14ac:dyDescent="0.25">
      <c r="M2962" s="274"/>
    </row>
    <row r="2963" spans="13:13" ht="15" customHeight="1" x14ac:dyDescent="0.25">
      <c r="M2963" s="274"/>
    </row>
    <row r="2964" spans="13:13" ht="15" customHeight="1" x14ac:dyDescent="0.25">
      <c r="M2964" s="274"/>
    </row>
    <row r="2965" spans="13:13" ht="15" customHeight="1" x14ac:dyDescent="0.25">
      <c r="M2965" s="274"/>
    </row>
    <row r="2966" spans="13:13" ht="15" customHeight="1" x14ac:dyDescent="0.25">
      <c r="M2966" s="274"/>
    </row>
    <row r="2967" spans="13:13" ht="15" customHeight="1" x14ac:dyDescent="0.25">
      <c r="M2967" s="274"/>
    </row>
    <row r="2968" spans="13:13" ht="15" customHeight="1" x14ac:dyDescent="0.25">
      <c r="M2968" s="274"/>
    </row>
    <row r="2969" spans="13:13" ht="15" customHeight="1" x14ac:dyDescent="0.25">
      <c r="M2969" s="274"/>
    </row>
    <row r="2970" spans="13:13" ht="15" customHeight="1" x14ac:dyDescent="0.25">
      <c r="M2970" s="274"/>
    </row>
    <row r="2971" spans="13:13" ht="15" customHeight="1" x14ac:dyDescent="0.25">
      <c r="M2971" s="274"/>
    </row>
    <row r="2972" spans="13:13" ht="15" customHeight="1" x14ac:dyDescent="0.25">
      <c r="M2972" s="274"/>
    </row>
    <row r="2973" spans="13:13" ht="15" customHeight="1" x14ac:dyDescent="0.25">
      <c r="M2973" s="274"/>
    </row>
    <row r="2974" spans="13:13" ht="15" customHeight="1" x14ac:dyDescent="0.25">
      <c r="M2974" s="274"/>
    </row>
    <row r="2975" spans="13:13" ht="15" customHeight="1" x14ac:dyDescent="0.25">
      <c r="M2975" s="274"/>
    </row>
    <row r="2976" spans="13:13" ht="15" customHeight="1" x14ac:dyDescent="0.25">
      <c r="M2976" s="274"/>
    </row>
    <row r="2977" spans="13:13" ht="15" customHeight="1" x14ac:dyDescent="0.25">
      <c r="M2977" s="274"/>
    </row>
    <row r="2978" spans="13:13" ht="15" customHeight="1" x14ac:dyDescent="0.25">
      <c r="M2978" s="274"/>
    </row>
    <row r="2979" spans="13:13" ht="15" customHeight="1" x14ac:dyDescent="0.25">
      <c r="M2979" s="274"/>
    </row>
    <row r="2980" spans="13:13" ht="15" customHeight="1" x14ac:dyDescent="0.25">
      <c r="M2980" s="274"/>
    </row>
    <row r="2981" spans="13:13" ht="15" customHeight="1" x14ac:dyDescent="0.25">
      <c r="M2981" s="274"/>
    </row>
    <row r="2982" spans="13:13" ht="15" customHeight="1" x14ac:dyDescent="0.25">
      <c r="M2982" s="274"/>
    </row>
    <row r="2983" spans="13:13" ht="15" customHeight="1" x14ac:dyDescent="0.25">
      <c r="M2983" s="274"/>
    </row>
    <row r="2984" spans="13:13" ht="15" customHeight="1" x14ac:dyDescent="0.25">
      <c r="M2984" s="274"/>
    </row>
    <row r="2985" spans="13:13" ht="15" customHeight="1" x14ac:dyDescent="0.25">
      <c r="M2985" s="274"/>
    </row>
    <row r="2986" spans="13:13" ht="15" customHeight="1" x14ac:dyDescent="0.25">
      <c r="M2986" s="274"/>
    </row>
    <row r="2987" spans="13:13" ht="15" customHeight="1" x14ac:dyDescent="0.25">
      <c r="M2987" s="274"/>
    </row>
    <row r="2988" spans="13:13" ht="15" customHeight="1" x14ac:dyDescent="0.25">
      <c r="M2988" s="274"/>
    </row>
    <row r="2989" spans="13:13" ht="15" customHeight="1" x14ac:dyDescent="0.25">
      <c r="M2989" s="274"/>
    </row>
    <row r="2990" spans="13:13" ht="15" customHeight="1" x14ac:dyDescent="0.25">
      <c r="M2990" s="274"/>
    </row>
    <row r="2991" spans="13:13" ht="15" customHeight="1" x14ac:dyDescent="0.25">
      <c r="M2991" s="274"/>
    </row>
    <row r="2992" spans="13:13" ht="15" customHeight="1" x14ac:dyDescent="0.25">
      <c r="M2992" s="274"/>
    </row>
    <row r="2993" spans="13:13" ht="15" customHeight="1" x14ac:dyDescent="0.25">
      <c r="M2993" s="274"/>
    </row>
    <row r="2994" spans="13:13" ht="15" customHeight="1" x14ac:dyDescent="0.25">
      <c r="M2994" s="274"/>
    </row>
    <row r="2995" spans="13:13" ht="15" customHeight="1" x14ac:dyDescent="0.25">
      <c r="M2995" s="274"/>
    </row>
    <row r="2996" spans="13:13" ht="15" customHeight="1" x14ac:dyDescent="0.25">
      <c r="M2996" s="274"/>
    </row>
    <row r="2997" spans="13:13" ht="15" customHeight="1" x14ac:dyDescent="0.25">
      <c r="M2997" s="274"/>
    </row>
    <row r="2998" spans="13:13" ht="15" customHeight="1" x14ac:dyDescent="0.25">
      <c r="M2998" s="274"/>
    </row>
    <row r="2999" spans="13:13" ht="15" customHeight="1" x14ac:dyDescent="0.25">
      <c r="M2999" s="274"/>
    </row>
    <row r="3000" spans="13:13" ht="15" customHeight="1" x14ac:dyDescent="0.25">
      <c r="M3000" s="274"/>
    </row>
    <row r="3001" spans="13:13" ht="15" customHeight="1" x14ac:dyDescent="0.25">
      <c r="M3001" s="274"/>
    </row>
    <row r="3002" spans="13:13" ht="15" customHeight="1" x14ac:dyDescent="0.25">
      <c r="M3002" s="274"/>
    </row>
    <row r="3003" spans="13:13" ht="15" customHeight="1" x14ac:dyDescent="0.25">
      <c r="M3003" s="274"/>
    </row>
    <row r="3004" spans="13:13" ht="15" customHeight="1" x14ac:dyDescent="0.25">
      <c r="M3004" s="274"/>
    </row>
    <row r="3005" spans="13:13" ht="15" customHeight="1" x14ac:dyDescent="0.25">
      <c r="M3005" s="274"/>
    </row>
    <row r="3006" spans="13:13" ht="15" customHeight="1" x14ac:dyDescent="0.25">
      <c r="M3006" s="274"/>
    </row>
    <row r="3007" spans="13:13" ht="15" customHeight="1" x14ac:dyDescent="0.25">
      <c r="M3007" s="274"/>
    </row>
    <row r="3008" spans="13:13" ht="15" customHeight="1" x14ac:dyDescent="0.25">
      <c r="M3008" s="274"/>
    </row>
    <row r="3009" spans="13:13" ht="15" customHeight="1" x14ac:dyDescent="0.25">
      <c r="M3009" s="274"/>
    </row>
    <row r="3010" spans="13:13" ht="15" customHeight="1" x14ac:dyDescent="0.25">
      <c r="M3010" s="274"/>
    </row>
    <row r="3011" spans="13:13" ht="15" customHeight="1" x14ac:dyDescent="0.25">
      <c r="M3011" s="274"/>
    </row>
    <row r="3012" spans="13:13" ht="15" customHeight="1" x14ac:dyDescent="0.25">
      <c r="M3012" s="274"/>
    </row>
    <row r="3013" spans="13:13" ht="15" customHeight="1" x14ac:dyDescent="0.25">
      <c r="M3013" s="274"/>
    </row>
    <row r="3014" spans="13:13" ht="15" customHeight="1" x14ac:dyDescent="0.25">
      <c r="M3014" s="274"/>
    </row>
    <row r="3015" spans="13:13" ht="15" customHeight="1" x14ac:dyDescent="0.25">
      <c r="M3015" s="274"/>
    </row>
    <row r="3016" spans="13:13" ht="15" customHeight="1" x14ac:dyDescent="0.25">
      <c r="M3016" s="274"/>
    </row>
    <row r="3017" spans="13:13" ht="15" customHeight="1" x14ac:dyDescent="0.25">
      <c r="M3017" s="274"/>
    </row>
    <row r="3018" spans="13:13" ht="15" customHeight="1" x14ac:dyDescent="0.25">
      <c r="M3018" s="274"/>
    </row>
    <row r="3019" spans="13:13" ht="15" customHeight="1" x14ac:dyDescent="0.25">
      <c r="M3019" s="274"/>
    </row>
    <row r="3020" spans="13:13" ht="15" customHeight="1" x14ac:dyDescent="0.25">
      <c r="M3020" s="274"/>
    </row>
    <row r="3021" spans="13:13" ht="15" customHeight="1" x14ac:dyDescent="0.25">
      <c r="M3021" s="274"/>
    </row>
    <row r="3022" spans="13:13" ht="15" customHeight="1" x14ac:dyDescent="0.25">
      <c r="M3022" s="274"/>
    </row>
    <row r="3023" spans="13:13" ht="15" customHeight="1" x14ac:dyDescent="0.25">
      <c r="M3023" s="274"/>
    </row>
    <row r="3024" spans="13:13" ht="15" customHeight="1" x14ac:dyDescent="0.25">
      <c r="M3024" s="274"/>
    </row>
    <row r="3025" spans="13:13" ht="15" customHeight="1" x14ac:dyDescent="0.25">
      <c r="M3025" s="274"/>
    </row>
    <row r="3026" spans="13:13" ht="15" customHeight="1" x14ac:dyDescent="0.25">
      <c r="M3026" s="274"/>
    </row>
    <row r="3027" spans="13:13" ht="15" customHeight="1" x14ac:dyDescent="0.25">
      <c r="M3027" s="274"/>
    </row>
    <row r="3028" spans="13:13" ht="15" customHeight="1" x14ac:dyDescent="0.25">
      <c r="M3028" s="274"/>
    </row>
    <row r="3029" spans="13:13" ht="15" customHeight="1" x14ac:dyDescent="0.25">
      <c r="M3029" s="274"/>
    </row>
    <row r="3030" spans="13:13" ht="15" customHeight="1" x14ac:dyDescent="0.25">
      <c r="M3030" s="274"/>
    </row>
    <row r="3031" spans="13:13" ht="15" customHeight="1" x14ac:dyDescent="0.25">
      <c r="M3031" s="274"/>
    </row>
    <row r="3032" spans="13:13" ht="15" customHeight="1" x14ac:dyDescent="0.25">
      <c r="M3032" s="274"/>
    </row>
    <row r="3033" spans="13:13" ht="15" customHeight="1" x14ac:dyDescent="0.25">
      <c r="M3033" s="274"/>
    </row>
    <row r="3034" spans="13:13" ht="15" customHeight="1" x14ac:dyDescent="0.25">
      <c r="M3034" s="274"/>
    </row>
    <row r="3035" spans="13:13" ht="15" customHeight="1" x14ac:dyDescent="0.25">
      <c r="M3035" s="274"/>
    </row>
    <row r="3036" spans="13:13" ht="15" customHeight="1" x14ac:dyDescent="0.25">
      <c r="M3036" s="274"/>
    </row>
    <row r="3037" spans="13:13" ht="15" customHeight="1" x14ac:dyDescent="0.25">
      <c r="M3037" s="274"/>
    </row>
    <row r="3038" spans="13:13" ht="15" customHeight="1" x14ac:dyDescent="0.25">
      <c r="M3038" s="274"/>
    </row>
    <row r="3039" spans="13:13" ht="15" customHeight="1" x14ac:dyDescent="0.25">
      <c r="M3039" s="274"/>
    </row>
    <row r="3040" spans="13:13" ht="15" customHeight="1" x14ac:dyDescent="0.25">
      <c r="M3040" s="274"/>
    </row>
    <row r="3041" spans="13:13" ht="15" customHeight="1" x14ac:dyDescent="0.25">
      <c r="M3041" s="274"/>
    </row>
    <row r="3042" spans="13:13" ht="15" customHeight="1" x14ac:dyDescent="0.25">
      <c r="M3042" s="274"/>
    </row>
    <row r="3043" spans="13:13" ht="15" customHeight="1" x14ac:dyDescent="0.25">
      <c r="M3043" s="274"/>
    </row>
    <row r="3044" spans="13:13" ht="15" customHeight="1" x14ac:dyDescent="0.25">
      <c r="M3044" s="274"/>
    </row>
    <row r="3045" spans="13:13" ht="15" customHeight="1" x14ac:dyDescent="0.25">
      <c r="M3045" s="274"/>
    </row>
    <row r="3046" spans="13:13" ht="15" customHeight="1" x14ac:dyDescent="0.25">
      <c r="M3046" s="274"/>
    </row>
    <row r="3047" spans="13:13" ht="15" customHeight="1" x14ac:dyDescent="0.25">
      <c r="M3047" s="274"/>
    </row>
    <row r="3048" spans="13:13" ht="15" customHeight="1" x14ac:dyDescent="0.25">
      <c r="M3048" s="274"/>
    </row>
    <row r="3049" spans="13:13" ht="15" customHeight="1" x14ac:dyDescent="0.25">
      <c r="M3049" s="274"/>
    </row>
    <row r="3050" spans="13:13" ht="15" customHeight="1" x14ac:dyDescent="0.25">
      <c r="M3050" s="274"/>
    </row>
    <row r="3051" spans="13:13" ht="15" customHeight="1" x14ac:dyDescent="0.25">
      <c r="M3051" s="274"/>
    </row>
    <row r="3052" spans="13:13" ht="15" customHeight="1" x14ac:dyDescent="0.25">
      <c r="M3052" s="274"/>
    </row>
    <row r="3053" spans="13:13" ht="15" customHeight="1" x14ac:dyDescent="0.25">
      <c r="M3053" s="274"/>
    </row>
    <row r="3054" spans="13:13" ht="15" customHeight="1" x14ac:dyDescent="0.25">
      <c r="M3054" s="274"/>
    </row>
    <row r="3055" spans="13:13" ht="15" customHeight="1" x14ac:dyDescent="0.25">
      <c r="M3055" s="274"/>
    </row>
    <row r="3056" spans="13:13" ht="15" customHeight="1" x14ac:dyDescent="0.25">
      <c r="M3056" s="274"/>
    </row>
    <row r="3057" spans="13:13" ht="15" customHeight="1" x14ac:dyDescent="0.25">
      <c r="M3057" s="274"/>
    </row>
    <row r="3058" spans="13:13" ht="15" customHeight="1" x14ac:dyDescent="0.25">
      <c r="M3058" s="274"/>
    </row>
    <row r="3059" spans="13:13" ht="15" customHeight="1" x14ac:dyDescent="0.25">
      <c r="M3059" s="274"/>
    </row>
    <row r="3060" spans="13:13" ht="15" customHeight="1" x14ac:dyDescent="0.25">
      <c r="M3060" s="274"/>
    </row>
    <row r="3061" spans="13:13" ht="15" customHeight="1" x14ac:dyDescent="0.25">
      <c r="M3061" s="274"/>
    </row>
    <row r="3062" spans="13:13" ht="15" customHeight="1" x14ac:dyDescent="0.25">
      <c r="M3062" s="274"/>
    </row>
    <row r="3063" spans="13:13" ht="15" customHeight="1" x14ac:dyDescent="0.25">
      <c r="M3063" s="274"/>
    </row>
    <row r="3064" spans="13:13" ht="15" customHeight="1" x14ac:dyDescent="0.25">
      <c r="M3064" s="274"/>
    </row>
    <row r="3065" spans="13:13" ht="15" customHeight="1" x14ac:dyDescent="0.25">
      <c r="M3065" s="274"/>
    </row>
    <row r="3066" spans="13:13" ht="15" customHeight="1" x14ac:dyDescent="0.25">
      <c r="M3066" s="274"/>
    </row>
    <row r="3067" spans="13:13" ht="15" customHeight="1" x14ac:dyDescent="0.25">
      <c r="M3067" s="274"/>
    </row>
    <row r="3068" spans="13:13" ht="15" customHeight="1" x14ac:dyDescent="0.25">
      <c r="M3068" s="274"/>
    </row>
    <row r="3069" spans="13:13" ht="15" customHeight="1" x14ac:dyDescent="0.25">
      <c r="M3069" s="274"/>
    </row>
    <row r="3070" spans="13:13" ht="15" customHeight="1" x14ac:dyDescent="0.25">
      <c r="M3070" s="274"/>
    </row>
    <row r="3071" spans="13:13" ht="15" customHeight="1" x14ac:dyDescent="0.25">
      <c r="M3071" s="274"/>
    </row>
    <row r="3072" spans="13:13" ht="15" customHeight="1" x14ac:dyDescent="0.25">
      <c r="M3072" s="274"/>
    </row>
    <row r="3073" spans="13:13" ht="15" customHeight="1" x14ac:dyDescent="0.25">
      <c r="M3073" s="274"/>
    </row>
    <row r="3074" spans="13:13" ht="15" customHeight="1" x14ac:dyDescent="0.25">
      <c r="M3074" s="274"/>
    </row>
    <row r="3075" spans="13:13" ht="15" customHeight="1" x14ac:dyDescent="0.25">
      <c r="M3075" s="274"/>
    </row>
    <row r="3076" spans="13:13" ht="15" customHeight="1" x14ac:dyDescent="0.25">
      <c r="M3076" s="274"/>
    </row>
    <row r="3077" spans="13:13" ht="15" customHeight="1" x14ac:dyDescent="0.25">
      <c r="M3077" s="274"/>
    </row>
    <row r="3078" spans="13:13" ht="15" customHeight="1" x14ac:dyDescent="0.25">
      <c r="M3078" s="274"/>
    </row>
    <row r="3079" spans="13:13" ht="15" customHeight="1" x14ac:dyDescent="0.25">
      <c r="M3079" s="274"/>
    </row>
    <row r="3080" spans="13:13" ht="15" customHeight="1" x14ac:dyDescent="0.25">
      <c r="M3080" s="274"/>
    </row>
    <row r="3081" spans="13:13" ht="15" customHeight="1" x14ac:dyDescent="0.25">
      <c r="M3081" s="274"/>
    </row>
    <row r="3082" spans="13:13" ht="15" customHeight="1" x14ac:dyDescent="0.25">
      <c r="M3082" s="274"/>
    </row>
    <row r="3083" spans="13:13" ht="15" customHeight="1" x14ac:dyDescent="0.25">
      <c r="M3083" s="274"/>
    </row>
    <row r="3084" spans="13:13" ht="15" customHeight="1" x14ac:dyDescent="0.25">
      <c r="M3084" s="274"/>
    </row>
    <row r="3085" spans="13:13" ht="15" customHeight="1" x14ac:dyDescent="0.25">
      <c r="M3085" s="274"/>
    </row>
    <row r="3086" spans="13:13" ht="15" customHeight="1" x14ac:dyDescent="0.25">
      <c r="M3086" s="274"/>
    </row>
    <row r="3087" spans="13:13" ht="15" customHeight="1" x14ac:dyDescent="0.25">
      <c r="M3087" s="274"/>
    </row>
    <row r="3088" spans="13:13" ht="15" customHeight="1" x14ac:dyDescent="0.25">
      <c r="M3088" s="274"/>
    </row>
    <row r="3089" spans="13:13" ht="15" customHeight="1" x14ac:dyDescent="0.25">
      <c r="M3089" s="274"/>
    </row>
    <row r="3090" spans="13:13" ht="15" customHeight="1" x14ac:dyDescent="0.25">
      <c r="M3090" s="274"/>
    </row>
    <row r="3091" spans="13:13" ht="15" customHeight="1" x14ac:dyDescent="0.25">
      <c r="M3091" s="274"/>
    </row>
    <row r="3092" spans="13:13" ht="15" customHeight="1" x14ac:dyDescent="0.25">
      <c r="M3092" s="274"/>
    </row>
    <row r="3093" spans="13:13" ht="15" customHeight="1" x14ac:dyDescent="0.25">
      <c r="M3093" s="274"/>
    </row>
    <row r="3094" spans="13:13" ht="15" customHeight="1" x14ac:dyDescent="0.25">
      <c r="M3094" s="274"/>
    </row>
    <row r="3095" spans="13:13" ht="15" customHeight="1" x14ac:dyDescent="0.25">
      <c r="M3095" s="274"/>
    </row>
    <row r="3096" spans="13:13" ht="15" customHeight="1" x14ac:dyDescent="0.25">
      <c r="M3096" s="274"/>
    </row>
    <row r="3097" spans="13:13" ht="15" customHeight="1" x14ac:dyDescent="0.25">
      <c r="M3097" s="274"/>
    </row>
    <row r="3098" spans="13:13" ht="15" customHeight="1" x14ac:dyDescent="0.25">
      <c r="M3098" s="274"/>
    </row>
    <row r="3099" spans="13:13" ht="15" customHeight="1" x14ac:dyDescent="0.25">
      <c r="M3099" s="274"/>
    </row>
    <row r="3100" spans="13:13" ht="15" customHeight="1" x14ac:dyDescent="0.25">
      <c r="M3100" s="274"/>
    </row>
    <row r="3101" spans="13:13" ht="15" customHeight="1" x14ac:dyDescent="0.25">
      <c r="M3101" s="274"/>
    </row>
    <row r="3102" spans="13:13" ht="15" customHeight="1" x14ac:dyDescent="0.25">
      <c r="M3102" s="274"/>
    </row>
    <row r="3103" spans="13:13" ht="15" customHeight="1" x14ac:dyDescent="0.25">
      <c r="M3103" s="274"/>
    </row>
    <row r="3104" spans="13:13" ht="15" customHeight="1" x14ac:dyDescent="0.25">
      <c r="M3104" s="274"/>
    </row>
    <row r="3105" spans="13:13" ht="15" customHeight="1" x14ac:dyDescent="0.25">
      <c r="M3105" s="274"/>
    </row>
    <row r="3106" spans="13:13" ht="15" customHeight="1" x14ac:dyDescent="0.25">
      <c r="M3106" s="274"/>
    </row>
    <row r="3107" spans="13:13" ht="15" customHeight="1" x14ac:dyDescent="0.25">
      <c r="M3107" s="274"/>
    </row>
    <row r="3108" spans="13:13" ht="15" customHeight="1" x14ac:dyDescent="0.25">
      <c r="M3108" s="274"/>
    </row>
    <row r="3109" spans="13:13" ht="15" customHeight="1" x14ac:dyDescent="0.25">
      <c r="M3109" s="274"/>
    </row>
    <row r="3110" spans="13:13" ht="15" customHeight="1" x14ac:dyDescent="0.25">
      <c r="M3110" s="274"/>
    </row>
    <row r="3111" spans="13:13" ht="15" customHeight="1" x14ac:dyDescent="0.25">
      <c r="M3111" s="274"/>
    </row>
    <row r="3112" spans="13:13" ht="15" customHeight="1" x14ac:dyDescent="0.25">
      <c r="M3112" s="274"/>
    </row>
    <row r="3113" spans="13:13" ht="15" customHeight="1" x14ac:dyDescent="0.25">
      <c r="M3113" s="274"/>
    </row>
    <row r="3114" spans="13:13" ht="15" customHeight="1" x14ac:dyDescent="0.25">
      <c r="M3114" s="274"/>
    </row>
    <row r="3115" spans="13:13" ht="15" customHeight="1" x14ac:dyDescent="0.25">
      <c r="M3115" s="274"/>
    </row>
    <row r="3116" spans="13:13" ht="15" customHeight="1" x14ac:dyDescent="0.25">
      <c r="M3116" s="274"/>
    </row>
    <row r="3117" spans="13:13" ht="15" customHeight="1" x14ac:dyDescent="0.25">
      <c r="M3117" s="274"/>
    </row>
    <row r="3118" spans="13:13" ht="15" customHeight="1" x14ac:dyDescent="0.25">
      <c r="M3118" s="274"/>
    </row>
    <row r="3119" spans="13:13" ht="15" customHeight="1" x14ac:dyDescent="0.25">
      <c r="M3119" s="274"/>
    </row>
    <row r="3120" spans="13:13" ht="15" customHeight="1" x14ac:dyDescent="0.25">
      <c r="M3120" s="274"/>
    </row>
    <row r="3121" spans="13:13" ht="15" customHeight="1" x14ac:dyDescent="0.25">
      <c r="M3121" s="274"/>
    </row>
    <row r="3122" spans="13:13" ht="15" customHeight="1" x14ac:dyDescent="0.25">
      <c r="M3122" s="274"/>
    </row>
    <row r="3123" spans="13:13" ht="15" customHeight="1" x14ac:dyDescent="0.25">
      <c r="M3123" s="274"/>
    </row>
    <row r="3124" spans="13:13" ht="15" customHeight="1" x14ac:dyDescent="0.25">
      <c r="M3124" s="274"/>
    </row>
    <row r="3125" spans="13:13" ht="15" customHeight="1" x14ac:dyDescent="0.25">
      <c r="M3125" s="274"/>
    </row>
    <row r="3126" spans="13:13" ht="15" customHeight="1" x14ac:dyDescent="0.25">
      <c r="M3126" s="274"/>
    </row>
    <row r="3127" spans="13:13" ht="15" customHeight="1" x14ac:dyDescent="0.25">
      <c r="M3127" s="274"/>
    </row>
    <row r="3128" spans="13:13" ht="15" customHeight="1" x14ac:dyDescent="0.25">
      <c r="M3128" s="274"/>
    </row>
    <row r="3129" spans="13:13" ht="15" customHeight="1" x14ac:dyDescent="0.25">
      <c r="M3129" s="274"/>
    </row>
    <row r="3130" spans="13:13" ht="15" customHeight="1" x14ac:dyDescent="0.25">
      <c r="M3130" s="274"/>
    </row>
    <row r="3131" spans="13:13" ht="15" customHeight="1" x14ac:dyDescent="0.25">
      <c r="M3131" s="274"/>
    </row>
    <row r="3132" spans="13:13" ht="15" customHeight="1" x14ac:dyDescent="0.25">
      <c r="M3132" s="274"/>
    </row>
    <row r="3133" spans="13:13" ht="15" customHeight="1" x14ac:dyDescent="0.25">
      <c r="M3133" s="274"/>
    </row>
    <row r="3134" spans="13:13" ht="15" customHeight="1" x14ac:dyDescent="0.25">
      <c r="M3134" s="274"/>
    </row>
    <row r="3135" spans="13:13" ht="15" customHeight="1" x14ac:dyDescent="0.25">
      <c r="M3135" s="274"/>
    </row>
    <row r="3136" spans="13:13" ht="15" customHeight="1" x14ac:dyDescent="0.25">
      <c r="M3136" s="274"/>
    </row>
    <row r="3137" spans="13:13" ht="15" customHeight="1" x14ac:dyDescent="0.25">
      <c r="M3137" s="274"/>
    </row>
    <row r="3138" spans="13:13" ht="15" customHeight="1" x14ac:dyDescent="0.25">
      <c r="M3138" s="274"/>
    </row>
    <row r="3139" spans="13:13" ht="15" customHeight="1" x14ac:dyDescent="0.25">
      <c r="M3139" s="274"/>
    </row>
    <row r="3140" spans="13:13" ht="15" customHeight="1" x14ac:dyDescent="0.25">
      <c r="M3140" s="274"/>
    </row>
    <row r="3141" spans="13:13" ht="15" customHeight="1" x14ac:dyDescent="0.25">
      <c r="M3141" s="274"/>
    </row>
    <row r="3142" spans="13:13" ht="15" customHeight="1" x14ac:dyDescent="0.25">
      <c r="M3142" s="274"/>
    </row>
    <row r="3143" spans="13:13" ht="15" customHeight="1" x14ac:dyDescent="0.25">
      <c r="M3143" s="274"/>
    </row>
    <row r="3144" spans="13:13" ht="15" customHeight="1" x14ac:dyDescent="0.25">
      <c r="M3144" s="274"/>
    </row>
    <row r="3145" spans="13:13" ht="15" customHeight="1" x14ac:dyDescent="0.25">
      <c r="M3145" s="274"/>
    </row>
    <row r="3146" spans="13:13" ht="15" customHeight="1" x14ac:dyDescent="0.25">
      <c r="M3146" s="274"/>
    </row>
    <row r="3147" spans="13:13" ht="15" customHeight="1" x14ac:dyDescent="0.25">
      <c r="M3147" s="274"/>
    </row>
    <row r="3148" spans="13:13" ht="15" customHeight="1" x14ac:dyDescent="0.25">
      <c r="M3148" s="274"/>
    </row>
    <row r="3149" spans="13:13" ht="15" customHeight="1" x14ac:dyDescent="0.25">
      <c r="M3149" s="274"/>
    </row>
    <row r="3150" spans="13:13" ht="15" customHeight="1" x14ac:dyDescent="0.25">
      <c r="M3150" s="274"/>
    </row>
    <row r="3151" spans="13:13" ht="15" customHeight="1" x14ac:dyDescent="0.25">
      <c r="M3151" s="274"/>
    </row>
    <row r="3152" spans="13:13" ht="15" customHeight="1" x14ac:dyDescent="0.25">
      <c r="M3152" s="274"/>
    </row>
    <row r="3153" spans="13:13" ht="15" customHeight="1" x14ac:dyDescent="0.25">
      <c r="M3153" s="274"/>
    </row>
    <row r="3154" spans="13:13" ht="15" customHeight="1" x14ac:dyDescent="0.25">
      <c r="M3154" s="274"/>
    </row>
    <row r="3155" spans="13:13" ht="15" customHeight="1" x14ac:dyDescent="0.25">
      <c r="M3155" s="274"/>
    </row>
    <row r="3156" spans="13:13" ht="15" customHeight="1" x14ac:dyDescent="0.25">
      <c r="M3156" s="274"/>
    </row>
    <row r="3157" spans="13:13" ht="15" customHeight="1" x14ac:dyDescent="0.25">
      <c r="M3157" s="274"/>
    </row>
    <row r="3158" spans="13:13" ht="15" customHeight="1" x14ac:dyDescent="0.25">
      <c r="M3158" s="274"/>
    </row>
    <row r="3159" spans="13:13" ht="15" customHeight="1" x14ac:dyDescent="0.25">
      <c r="M3159" s="274"/>
    </row>
    <row r="3160" spans="13:13" ht="15" customHeight="1" x14ac:dyDescent="0.25">
      <c r="M3160" s="274"/>
    </row>
    <row r="3161" spans="13:13" ht="15" customHeight="1" x14ac:dyDescent="0.25">
      <c r="M3161" s="274"/>
    </row>
    <row r="3162" spans="13:13" ht="15" customHeight="1" x14ac:dyDescent="0.25">
      <c r="M3162" s="274"/>
    </row>
    <row r="3163" spans="13:13" ht="15" customHeight="1" x14ac:dyDescent="0.25">
      <c r="M3163" s="274"/>
    </row>
    <row r="3164" spans="13:13" ht="15" customHeight="1" x14ac:dyDescent="0.25">
      <c r="M3164" s="274"/>
    </row>
    <row r="3165" spans="13:13" ht="15" customHeight="1" x14ac:dyDescent="0.25">
      <c r="M3165" s="274"/>
    </row>
    <row r="3166" spans="13:13" ht="15" customHeight="1" x14ac:dyDescent="0.25">
      <c r="M3166" s="274"/>
    </row>
    <row r="3167" spans="13:13" ht="15" customHeight="1" x14ac:dyDescent="0.25">
      <c r="M3167" s="274"/>
    </row>
    <row r="3168" spans="13:13" ht="15" customHeight="1" x14ac:dyDescent="0.25">
      <c r="M3168" s="274"/>
    </row>
    <row r="3169" spans="13:13" ht="15" customHeight="1" x14ac:dyDescent="0.25">
      <c r="M3169" s="274"/>
    </row>
    <row r="3170" spans="13:13" ht="15" customHeight="1" x14ac:dyDescent="0.25">
      <c r="M3170" s="274"/>
    </row>
    <row r="3171" spans="13:13" ht="15" customHeight="1" x14ac:dyDescent="0.25">
      <c r="M3171" s="274"/>
    </row>
    <row r="3172" spans="13:13" ht="15" customHeight="1" x14ac:dyDescent="0.25">
      <c r="M3172" s="274"/>
    </row>
    <row r="3173" spans="13:13" ht="15" customHeight="1" x14ac:dyDescent="0.25">
      <c r="M3173" s="274"/>
    </row>
    <row r="3174" spans="13:13" ht="15" customHeight="1" x14ac:dyDescent="0.25">
      <c r="M3174" s="274"/>
    </row>
    <row r="3175" spans="13:13" ht="15" customHeight="1" x14ac:dyDescent="0.25">
      <c r="M3175" s="274"/>
    </row>
    <row r="3176" spans="13:13" ht="15" customHeight="1" x14ac:dyDescent="0.25">
      <c r="M3176" s="274"/>
    </row>
    <row r="3177" spans="13:13" ht="15" customHeight="1" x14ac:dyDescent="0.25">
      <c r="M3177" s="274"/>
    </row>
    <row r="3178" spans="13:13" ht="15" customHeight="1" x14ac:dyDescent="0.25">
      <c r="M3178" s="274"/>
    </row>
    <row r="3179" spans="13:13" ht="15" customHeight="1" x14ac:dyDescent="0.25">
      <c r="M3179" s="274"/>
    </row>
    <row r="3180" spans="13:13" ht="15" customHeight="1" x14ac:dyDescent="0.25">
      <c r="M3180" s="274"/>
    </row>
    <row r="3181" spans="13:13" ht="15" customHeight="1" x14ac:dyDescent="0.25">
      <c r="M3181" s="274"/>
    </row>
    <row r="3182" spans="13:13" ht="15" customHeight="1" x14ac:dyDescent="0.25">
      <c r="M3182" s="274"/>
    </row>
    <row r="3183" spans="13:13" ht="15" customHeight="1" x14ac:dyDescent="0.25">
      <c r="M3183" s="274"/>
    </row>
    <row r="3184" spans="13:13" ht="15" customHeight="1" x14ac:dyDescent="0.25">
      <c r="M3184" s="274"/>
    </row>
    <row r="3185" spans="13:13" ht="15" customHeight="1" x14ac:dyDescent="0.25">
      <c r="M3185" s="274"/>
    </row>
    <row r="3186" spans="13:13" ht="15" customHeight="1" x14ac:dyDescent="0.25">
      <c r="M3186" s="274"/>
    </row>
    <row r="3187" spans="13:13" ht="15" customHeight="1" x14ac:dyDescent="0.25">
      <c r="M3187" s="274"/>
    </row>
    <row r="3188" spans="13:13" ht="15" customHeight="1" x14ac:dyDescent="0.25">
      <c r="M3188" s="274"/>
    </row>
    <row r="3189" spans="13:13" ht="15" customHeight="1" x14ac:dyDescent="0.25">
      <c r="M3189" s="274"/>
    </row>
    <row r="3190" spans="13:13" ht="15" customHeight="1" x14ac:dyDescent="0.25">
      <c r="M3190" s="274"/>
    </row>
    <row r="3191" spans="13:13" ht="15" customHeight="1" x14ac:dyDescent="0.25">
      <c r="M3191" s="274"/>
    </row>
    <row r="3192" spans="13:13" ht="15" customHeight="1" x14ac:dyDescent="0.25">
      <c r="M3192" s="274"/>
    </row>
    <row r="3193" spans="13:13" ht="15" customHeight="1" x14ac:dyDescent="0.25">
      <c r="M3193" s="274"/>
    </row>
    <row r="3194" spans="13:13" ht="15" customHeight="1" x14ac:dyDescent="0.25">
      <c r="M3194" s="274"/>
    </row>
    <row r="3195" spans="13:13" ht="15" customHeight="1" x14ac:dyDescent="0.25">
      <c r="M3195" s="274"/>
    </row>
    <row r="3196" spans="13:13" ht="15" customHeight="1" x14ac:dyDescent="0.25">
      <c r="M3196" s="274"/>
    </row>
    <row r="3197" spans="13:13" ht="15" customHeight="1" x14ac:dyDescent="0.25">
      <c r="M3197" s="274"/>
    </row>
    <row r="3198" spans="13:13" ht="15" customHeight="1" x14ac:dyDescent="0.25">
      <c r="M3198" s="274"/>
    </row>
    <row r="3199" spans="13:13" ht="15" customHeight="1" x14ac:dyDescent="0.25">
      <c r="M3199" s="274"/>
    </row>
    <row r="3200" spans="13:13" ht="15" customHeight="1" x14ac:dyDescent="0.25">
      <c r="M3200" s="274"/>
    </row>
    <row r="3201" spans="13:13" ht="15" customHeight="1" x14ac:dyDescent="0.25">
      <c r="M3201" s="274"/>
    </row>
    <row r="3202" spans="13:13" ht="15" customHeight="1" x14ac:dyDescent="0.25">
      <c r="M3202" s="274"/>
    </row>
    <row r="3203" spans="13:13" ht="15" customHeight="1" x14ac:dyDescent="0.25">
      <c r="M3203" s="274"/>
    </row>
    <row r="3204" spans="13:13" ht="15" customHeight="1" x14ac:dyDescent="0.25">
      <c r="M3204" s="274"/>
    </row>
    <row r="3205" spans="13:13" ht="15" customHeight="1" x14ac:dyDescent="0.25">
      <c r="M3205" s="274"/>
    </row>
    <row r="3206" spans="13:13" ht="15" customHeight="1" x14ac:dyDescent="0.25">
      <c r="M3206" s="274"/>
    </row>
    <row r="3207" spans="13:13" ht="15" customHeight="1" x14ac:dyDescent="0.25">
      <c r="M3207" s="274"/>
    </row>
    <row r="3208" spans="13:13" ht="15" customHeight="1" x14ac:dyDescent="0.25">
      <c r="M3208" s="274"/>
    </row>
    <row r="3209" spans="13:13" ht="15" customHeight="1" x14ac:dyDescent="0.25">
      <c r="M3209" s="274"/>
    </row>
    <row r="3210" spans="13:13" ht="15" customHeight="1" x14ac:dyDescent="0.25">
      <c r="M3210" s="274"/>
    </row>
    <row r="3211" spans="13:13" ht="15" customHeight="1" x14ac:dyDescent="0.25">
      <c r="M3211" s="274"/>
    </row>
    <row r="3212" spans="13:13" ht="15" customHeight="1" x14ac:dyDescent="0.25">
      <c r="M3212" s="274"/>
    </row>
    <row r="3213" spans="13:13" ht="15" customHeight="1" x14ac:dyDescent="0.25">
      <c r="M3213" s="274"/>
    </row>
    <row r="3214" spans="13:13" ht="15" customHeight="1" x14ac:dyDescent="0.25">
      <c r="M3214" s="274"/>
    </row>
    <row r="3215" spans="13:13" ht="15" customHeight="1" x14ac:dyDescent="0.25">
      <c r="M3215" s="274"/>
    </row>
    <row r="3216" spans="13:13" ht="15" customHeight="1" x14ac:dyDescent="0.25">
      <c r="M3216" s="274"/>
    </row>
    <row r="3217" spans="13:13" ht="15" customHeight="1" x14ac:dyDescent="0.25">
      <c r="M3217" s="274"/>
    </row>
    <row r="3218" spans="13:13" ht="15" customHeight="1" x14ac:dyDescent="0.25">
      <c r="M3218" s="274"/>
    </row>
    <row r="3219" spans="13:13" ht="15" customHeight="1" x14ac:dyDescent="0.25">
      <c r="M3219" s="274"/>
    </row>
    <row r="3220" spans="13:13" ht="15" customHeight="1" x14ac:dyDescent="0.25">
      <c r="M3220" s="274"/>
    </row>
    <row r="3221" spans="13:13" ht="15" customHeight="1" x14ac:dyDescent="0.25">
      <c r="M3221" s="274"/>
    </row>
    <row r="3222" spans="13:13" ht="15" customHeight="1" x14ac:dyDescent="0.25">
      <c r="M3222" s="274"/>
    </row>
    <row r="3223" spans="13:13" ht="15" customHeight="1" x14ac:dyDescent="0.25">
      <c r="M3223" s="274"/>
    </row>
    <row r="3224" spans="13:13" ht="15" customHeight="1" x14ac:dyDescent="0.25">
      <c r="M3224" s="274"/>
    </row>
    <row r="3225" spans="13:13" ht="15" customHeight="1" x14ac:dyDescent="0.25">
      <c r="M3225" s="274"/>
    </row>
    <row r="3226" spans="13:13" ht="15" customHeight="1" x14ac:dyDescent="0.25">
      <c r="M3226" s="274"/>
    </row>
    <row r="3227" spans="13:13" ht="15" customHeight="1" x14ac:dyDescent="0.25">
      <c r="M3227" s="274"/>
    </row>
    <row r="3228" spans="13:13" ht="15" customHeight="1" x14ac:dyDescent="0.25">
      <c r="M3228" s="274"/>
    </row>
    <row r="3229" spans="13:13" ht="15" customHeight="1" x14ac:dyDescent="0.25">
      <c r="M3229" s="274"/>
    </row>
    <row r="3230" spans="13:13" ht="15" customHeight="1" x14ac:dyDescent="0.25">
      <c r="M3230" s="274"/>
    </row>
    <row r="3231" spans="13:13" ht="15" customHeight="1" x14ac:dyDescent="0.25">
      <c r="M3231" s="274"/>
    </row>
    <row r="3232" spans="13:13" ht="15" customHeight="1" x14ac:dyDescent="0.25">
      <c r="M3232" s="274"/>
    </row>
    <row r="3233" spans="13:13" ht="15" customHeight="1" x14ac:dyDescent="0.25">
      <c r="M3233" s="274"/>
    </row>
    <row r="3234" spans="13:13" ht="15" customHeight="1" x14ac:dyDescent="0.25">
      <c r="M3234" s="274"/>
    </row>
    <row r="3235" spans="13:13" ht="15" customHeight="1" x14ac:dyDescent="0.25">
      <c r="M3235" s="274"/>
    </row>
    <row r="3236" spans="13:13" ht="15" customHeight="1" x14ac:dyDescent="0.25">
      <c r="M3236" s="274"/>
    </row>
    <row r="3237" spans="13:13" ht="15" customHeight="1" x14ac:dyDescent="0.25">
      <c r="M3237" s="274"/>
    </row>
    <row r="3238" spans="13:13" ht="15" customHeight="1" x14ac:dyDescent="0.25">
      <c r="M3238" s="274"/>
    </row>
    <row r="3239" spans="13:13" ht="15" customHeight="1" x14ac:dyDescent="0.25">
      <c r="M3239" s="274"/>
    </row>
    <row r="3240" spans="13:13" ht="15" customHeight="1" x14ac:dyDescent="0.25">
      <c r="M3240" s="274"/>
    </row>
    <row r="3241" spans="13:13" ht="15" customHeight="1" x14ac:dyDescent="0.25">
      <c r="M3241" s="274"/>
    </row>
    <row r="3242" spans="13:13" ht="15" customHeight="1" x14ac:dyDescent="0.25">
      <c r="M3242" s="274"/>
    </row>
    <row r="3243" spans="13:13" ht="15" customHeight="1" x14ac:dyDescent="0.25">
      <c r="M3243" s="274"/>
    </row>
    <row r="3244" spans="13:13" ht="15" customHeight="1" x14ac:dyDescent="0.25">
      <c r="M3244" s="274"/>
    </row>
    <row r="3245" spans="13:13" ht="15" customHeight="1" x14ac:dyDescent="0.25">
      <c r="M3245" s="274"/>
    </row>
    <row r="3246" spans="13:13" ht="15" customHeight="1" x14ac:dyDescent="0.25">
      <c r="M3246" s="274"/>
    </row>
    <row r="3247" spans="13:13" ht="15" customHeight="1" x14ac:dyDescent="0.25">
      <c r="M3247" s="274"/>
    </row>
    <row r="3248" spans="13:13" ht="15" customHeight="1" x14ac:dyDescent="0.25">
      <c r="M3248" s="274"/>
    </row>
    <row r="3249" spans="13:13" ht="15" customHeight="1" x14ac:dyDescent="0.25">
      <c r="M3249" s="274"/>
    </row>
    <row r="3250" spans="13:13" ht="15" customHeight="1" x14ac:dyDescent="0.25">
      <c r="M3250" s="274"/>
    </row>
    <row r="3251" spans="13:13" ht="15" customHeight="1" x14ac:dyDescent="0.25">
      <c r="M3251" s="274"/>
    </row>
    <row r="3252" spans="13:13" ht="15" customHeight="1" x14ac:dyDescent="0.25">
      <c r="M3252" s="274"/>
    </row>
    <row r="3253" spans="13:13" ht="15" customHeight="1" x14ac:dyDescent="0.25">
      <c r="M3253" s="274"/>
    </row>
    <row r="3254" spans="13:13" ht="15" customHeight="1" x14ac:dyDescent="0.25">
      <c r="M3254" s="274"/>
    </row>
    <row r="3255" spans="13:13" ht="15" customHeight="1" x14ac:dyDescent="0.25">
      <c r="M3255" s="274"/>
    </row>
    <row r="3256" spans="13:13" ht="15" customHeight="1" x14ac:dyDescent="0.25">
      <c r="M3256" s="274"/>
    </row>
    <row r="3257" spans="13:13" ht="15" customHeight="1" x14ac:dyDescent="0.25">
      <c r="M3257" s="274"/>
    </row>
    <row r="3258" spans="13:13" ht="15" customHeight="1" x14ac:dyDescent="0.25">
      <c r="M3258" s="274"/>
    </row>
    <row r="3259" spans="13:13" ht="15" customHeight="1" x14ac:dyDescent="0.25">
      <c r="M3259" s="274"/>
    </row>
    <row r="3260" spans="13:13" ht="15" customHeight="1" x14ac:dyDescent="0.25">
      <c r="M3260" s="274"/>
    </row>
    <row r="3261" spans="13:13" ht="15" customHeight="1" x14ac:dyDescent="0.25">
      <c r="M3261" s="274"/>
    </row>
    <row r="3262" spans="13:13" ht="15" customHeight="1" x14ac:dyDescent="0.25">
      <c r="M3262" s="274"/>
    </row>
    <row r="3263" spans="13:13" ht="15" customHeight="1" x14ac:dyDescent="0.25">
      <c r="M3263" s="274"/>
    </row>
    <row r="3264" spans="13:13" ht="15" customHeight="1" x14ac:dyDescent="0.25">
      <c r="M3264" s="274"/>
    </row>
    <row r="3265" spans="13:13" ht="15" customHeight="1" x14ac:dyDescent="0.25">
      <c r="M3265" s="274"/>
    </row>
    <row r="3266" spans="13:13" ht="15" customHeight="1" x14ac:dyDescent="0.25">
      <c r="M3266" s="274"/>
    </row>
    <row r="3267" spans="13:13" ht="15" customHeight="1" x14ac:dyDescent="0.25">
      <c r="M3267" s="274"/>
    </row>
    <row r="3268" spans="13:13" ht="15" customHeight="1" x14ac:dyDescent="0.25">
      <c r="M3268" s="274"/>
    </row>
    <row r="3269" spans="13:13" ht="15" customHeight="1" x14ac:dyDescent="0.25">
      <c r="M3269" s="274"/>
    </row>
    <row r="3270" spans="13:13" ht="15" customHeight="1" x14ac:dyDescent="0.25">
      <c r="M3270" s="274"/>
    </row>
    <row r="3271" spans="13:13" ht="15" customHeight="1" x14ac:dyDescent="0.25">
      <c r="M3271" s="274"/>
    </row>
    <row r="3272" spans="13:13" ht="15" customHeight="1" x14ac:dyDescent="0.25">
      <c r="M3272" s="274"/>
    </row>
    <row r="3273" spans="13:13" ht="15" customHeight="1" x14ac:dyDescent="0.25">
      <c r="M3273" s="274"/>
    </row>
    <row r="3274" spans="13:13" ht="15" customHeight="1" x14ac:dyDescent="0.25">
      <c r="M3274" s="274"/>
    </row>
    <row r="3275" spans="13:13" ht="15" customHeight="1" x14ac:dyDescent="0.25">
      <c r="M3275" s="274"/>
    </row>
    <row r="3276" spans="13:13" ht="15" customHeight="1" x14ac:dyDescent="0.25">
      <c r="M3276" s="274"/>
    </row>
    <row r="3277" spans="13:13" ht="15" customHeight="1" x14ac:dyDescent="0.25">
      <c r="M3277" s="274"/>
    </row>
    <row r="3278" spans="13:13" ht="15" customHeight="1" x14ac:dyDescent="0.25">
      <c r="M3278" s="274"/>
    </row>
    <row r="3279" spans="13:13" ht="15" customHeight="1" x14ac:dyDescent="0.25">
      <c r="M3279" s="274"/>
    </row>
    <row r="3280" spans="13:13" ht="15" customHeight="1" x14ac:dyDescent="0.25">
      <c r="M3280" s="274"/>
    </row>
    <row r="3281" spans="13:13" ht="15" customHeight="1" x14ac:dyDescent="0.25">
      <c r="M3281" s="274"/>
    </row>
    <row r="3282" spans="13:13" ht="15" customHeight="1" x14ac:dyDescent="0.25">
      <c r="M3282" s="274"/>
    </row>
    <row r="3283" spans="13:13" ht="15" customHeight="1" x14ac:dyDescent="0.25">
      <c r="M3283" s="274"/>
    </row>
    <row r="3284" spans="13:13" ht="15" customHeight="1" x14ac:dyDescent="0.25">
      <c r="M3284" s="274"/>
    </row>
    <row r="3285" spans="13:13" ht="15" customHeight="1" x14ac:dyDescent="0.25">
      <c r="M3285" s="274"/>
    </row>
    <row r="3286" spans="13:13" ht="15" customHeight="1" x14ac:dyDescent="0.25">
      <c r="M3286" s="274"/>
    </row>
    <row r="3287" spans="13:13" ht="15" customHeight="1" x14ac:dyDescent="0.25">
      <c r="M3287" s="274"/>
    </row>
    <row r="3288" spans="13:13" ht="15" customHeight="1" x14ac:dyDescent="0.25">
      <c r="M3288" s="274"/>
    </row>
    <row r="3289" spans="13:13" ht="15" customHeight="1" x14ac:dyDescent="0.25">
      <c r="M3289" s="274"/>
    </row>
    <row r="3290" spans="13:13" ht="15" customHeight="1" x14ac:dyDescent="0.25">
      <c r="M3290" s="274"/>
    </row>
    <row r="3291" spans="13:13" ht="15" customHeight="1" x14ac:dyDescent="0.25">
      <c r="M3291" s="274"/>
    </row>
    <row r="3292" spans="13:13" ht="15" customHeight="1" x14ac:dyDescent="0.25">
      <c r="M3292" s="274"/>
    </row>
    <row r="3293" spans="13:13" ht="15" customHeight="1" x14ac:dyDescent="0.25">
      <c r="M3293" s="274"/>
    </row>
    <row r="3294" spans="13:13" ht="15" customHeight="1" x14ac:dyDescent="0.25">
      <c r="M3294" s="274"/>
    </row>
    <row r="3295" spans="13:13" ht="15" customHeight="1" x14ac:dyDescent="0.25">
      <c r="M3295" s="274"/>
    </row>
    <row r="3296" spans="13:13" ht="15" customHeight="1" x14ac:dyDescent="0.25">
      <c r="M3296" s="274"/>
    </row>
    <row r="3297" spans="13:13" ht="15" customHeight="1" x14ac:dyDescent="0.25">
      <c r="M3297" s="274"/>
    </row>
    <row r="3298" spans="13:13" ht="15" customHeight="1" x14ac:dyDescent="0.25">
      <c r="M3298" s="274"/>
    </row>
    <row r="3299" spans="13:13" ht="15" customHeight="1" x14ac:dyDescent="0.25">
      <c r="M3299" s="274"/>
    </row>
    <row r="3300" spans="13:13" ht="15" customHeight="1" x14ac:dyDescent="0.25">
      <c r="M3300" s="274"/>
    </row>
    <row r="3301" spans="13:13" ht="15" customHeight="1" x14ac:dyDescent="0.25">
      <c r="M3301" s="274"/>
    </row>
    <row r="3302" spans="13:13" ht="15" customHeight="1" x14ac:dyDescent="0.25">
      <c r="M3302" s="274"/>
    </row>
    <row r="3303" spans="13:13" ht="15" customHeight="1" x14ac:dyDescent="0.25">
      <c r="M3303" s="274"/>
    </row>
    <row r="3304" spans="13:13" ht="15" customHeight="1" x14ac:dyDescent="0.25">
      <c r="M3304" s="274"/>
    </row>
    <row r="3305" spans="13:13" ht="15" customHeight="1" x14ac:dyDescent="0.25">
      <c r="M3305" s="274"/>
    </row>
    <row r="3306" spans="13:13" ht="15" customHeight="1" x14ac:dyDescent="0.25">
      <c r="M3306" s="274"/>
    </row>
    <row r="3307" spans="13:13" ht="15" customHeight="1" x14ac:dyDescent="0.25">
      <c r="M3307" s="274"/>
    </row>
    <row r="3308" spans="13:13" ht="15" customHeight="1" x14ac:dyDescent="0.25">
      <c r="M3308" s="274"/>
    </row>
    <row r="3309" spans="13:13" ht="15" customHeight="1" x14ac:dyDescent="0.25">
      <c r="M3309" s="274"/>
    </row>
    <row r="3310" spans="13:13" ht="15" customHeight="1" x14ac:dyDescent="0.25">
      <c r="M3310" s="274"/>
    </row>
    <row r="3311" spans="13:13" ht="15" customHeight="1" x14ac:dyDescent="0.25">
      <c r="M3311" s="274"/>
    </row>
    <row r="3312" spans="13:13" ht="15" customHeight="1" x14ac:dyDescent="0.25">
      <c r="M3312" s="274"/>
    </row>
    <row r="3313" spans="13:13" ht="15" customHeight="1" x14ac:dyDescent="0.25">
      <c r="M3313" s="274"/>
    </row>
    <row r="3314" spans="13:13" ht="15" customHeight="1" x14ac:dyDescent="0.25">
      <c r="M3314" s="274"/>
    </row>
    <row r="3315" spans="13:13" ht="15" customHeight="1" x14ac:dyDescent="0.25">
      <c r="M3315" s="274"/>
    </row>
    <row r="3316" spans="13:13" ht="15" customHeight="1" x14ac:dyDescent="0.25">
      <c r="M3316" s="274"/>
    </row>
    <row r="3317" spans="13:13" ht="15" customHeight="1" x14ac:dyDescent="0.25">
      <c r="M3317" s="274"/>
    </row>
    <row r="3318" spans="13:13" ht="15" customHeight="1" x14ac:dyDescent="0.25">
      <c r="M3318" s="274"/>
    </row>
    <row r="3319" spans="13:13" ht="15" customHeight="1" x14ac:dyDescent="0.25">
      <c r="M3319" s="274"/>
    </row>
    <row r="3320" spans="13:13" ht="15" customHeight="1" x14ac:dyDescent="0.25">
      <c r="M3320" s="274"/>
    </row>
    <row r="3321" spans="13:13" ht="15" customHeight="1" x14ac:dyDescent="0.25">
      <c r="M3321" s="274"/>
    </row>
    <row r="3322" spans="13:13" ht="15" customHeight="1" x14ac:dyDescent="0.25">
      <c r="M3322" s="274"/>
    </row>
    <row r="3323" spans="13:13" ht="15" customHeight="1" x14ac:dyDescent="0.25">
      <c r="M3323" s="274"/>
    </row>
    <row r="3324" spans="13:13" ht="15" customHeight="1" x14ac:dyDescent="0.25">
      <c r="M3324" s="274"/>
    </row>
    <row r="3325" spans="13:13" ht="15" customHeight="1" x14ac:dyDescent="0.25">
      <c r="M3325" s="274"/>
    </row>
    <row r="3326" spans="13:13" ht="15" customHeight="1" x14ac:dyDescent="0.25">
      <c r="M3326" s="274"/>
    </row>
    <row r="3327" spans="13:13" ht="15" customHeight="1" x14ac:dyDescent="0.25">
      <c r="M3327" s="274"/>
    </row>
    <row r="3328" spans="13:13" ht="15" customHeight="1" x14ac:dyDescent="0.25">
      <c r="M3328" s="274"/>
    </row>
    <row r="3329" spans="13:13" ht="15" customHeight="1" x14ac:dyDescent="0.25">
      <c r="M3329" s="274"/>
    </row>
    <row r="3330" spans="13:13" ht="15" customHeight="1" x14ac:dyDescent="0.25">
      <c r="M3330" s="274"/>
    </row>
    <row r="3331" spans="13:13" ht="15" customHeight="1" x14ac:dyDescent="0.25">
      <c r="M3331" s="274"/>
    </row>
    <row r="3332" spans="13:13" ht="15" customHeight="1" x14ac:dyDescent="0.25">
      <c r="M3332" s="274"/>
    </row>
    <row r="3333" spans="13:13" ht="15" customHeight="1" x14ac:dyDescent="0.25">
      <c r="M3333" s="274"/>
    </row>
    <row r="3334" spans="13:13" ht="15" customHeight="1" x14ac:dyDescent="0.25">
      <c r="M3334" s="274"/>
    </row>
    <row r="3335" spans="13:13" ht="15" customHeight="1" x14ac:dyDescent="0.25">
      <c r="M3335" s="274"/>
    </row>
    <row r="3336" spans="13:13" ht="15" customHeight="1" x14ac:dyDescent="0.25">
      <c r="M3336" s="274"/>
    </row>
    <row r="3337" spans="13:13" ht="15" customHeight="1" x14ac:dyDescent="0.25">
      <c r="M3337" s="274"/>
    </row>
    <row r="3338" spans="13:13" ht="15" customHeight="1" x14ac:dyDescent="0.25">
      <c r="M3338" s="274"/>
    </row>
    <row r="3339" spans="13:13" ht="15" customHeight="1" x14ac:dyDescent="0.25">
      <c r="M3339" s="274"/>
    </row>
    <row r="3340" spans="13:13" ht="15" customHeight="1" x14ac:dyDescent="0.25">
      <c r="M3340" s="274"/>
    </row>
    <row r="3341" spans="13:13" ht="15" customHeight="1" x14ac:dyDescent="0.25">
      <c r="M3341" s="274"/>
    </row>
    <row r="3342" spans="13:13" ht="15" customHeight="1" x14ac:dyDescent="0.25">
      <c r="M3342" s="274"/>
    </row>
    <row r="3343" spans="13:13" ht="15" customHeight="1" x14ac:dyDescent="0.25">
      <c r="M3343" s="274"/>
    </row>
    <row r="3344" spans="13:13" ht="15" customHeight="1" x14ac:dyDescent="0.25">
      <c r="M3344" s="274"/>
    </row>
    <row r="3345" spans="13:13" ht="15" customHeight="1" x14ac:dyDescent="0.25">
      <c r="M3345" s="274"/>
    </row>
    <row r="3346" spans="13:13" ht="15" customHeight="1" x14ac:dyDescent="0.25">
      <c r="M3346" s="274"/>
    </row>
    <row r="3347" spans="13:13" ht="15" customHeight="1" x14ac:dyDescent="0.25">
      <c r="M3347" s="274"/>
    </row>
    <row r="3348" spans="13:13" ht="15" customHeight="1" x14ac:dyDescent="0.25">
      <c r="M3348" s="274"/>
    </row>
    <row r="3349" spans="13:13" ht="15" customHeight="1" x14ac:dyDescent="0.25">
      <c r="M3349" s="274"/>
    </row>
    <row r="3350" spans="13:13" ht="15" customHeight="1" x14ac:dyDescent="0.25">
      <c r="M3350" s="274"/>
    </row>
    <row r="3351" spans="13:13" ht="15" customHeight="1" x14ac:dyDescent="0.25">
      <c r="M3351" s="274"/>
    </row>
    <row r="3352" spans="13:13" ht="15" customHeight="1" x14ac:dyDescent="0.25">
      <c r="M3352" s="274"/>
    </row>
    <row r="3353" spans="13:13" ht="15" customHeight="1" x14ac:dyDescent="0.25">
      <c r="M3353" s="274"/>
    </row>
    <row r="3354" spans="13:13" ht="15" customHeight="1" x14ac:dyDescent="0.25">
      <c r="M3354" s="274"/>
    </row>
    <row r="3355" spans="13:13" ht="15" customHeight="1" x14ac:dyDescent="0.25">
      <c r="M3355" s="274"/>
    </row>
    <row r="3356" spans="13:13" ht="15" customHeight="1" x14ac:dyDescent="0.25">
      <c r="M3356" s="274"/>
    </row>
    <row r="3357" spans="13:13" ht="15" customHeight="1" x14ac:dyDescent="0.25">
      <c r="M3357" s="274"/>
    </row>
    <row r="3358" spans="13:13" ht="15" customHeight="1" x14ac:dyDescent="0.25">
      <c r="M3358" s="274"/>
    </row>
    <row r="3359" spans="13:13" ht="15" customHeight="1" x14ac:dyDescent="0.25">
      <c r="M3359" s="274"/>
    </row>
    <row r="3360" spans="13:13" ht="15" customHeight="1" x14ac:dyDescent="0.25">
      <c r="M3360" s="274"/>
    </row>
    <row r="3361" spans="13:13" ht="15" customHeight="1" x14ac:dyDescent="0.25">
      <c r="M3361" s="274"/>
    </row>
    <row r="3362" spans="13:13" ht="15" customHeight="1" x14ac:dyDescent="0.25">
      <c r="M3362" s="274"/>
    </row>
    <row r="3363" spans="13:13" ht="15" customHeight="1" x14ac:dyDescent="0.25">
      <c r="M3363" s="274"/>
    </row>
    <row r="3364" spans="13:13" ht="15" customHeight="1" x14ac:dyDescent="0.25">
      <c r="M3364" s="274"/>
    </row>
    <row r="3365" spans="13:13" ht="15" customHeight="1" x14ac:dyDescent="0.25">
      <c r="M3365" s="274"/>
    </row>
    <row r="3366" spans="13:13" ht="15" customHeight="1" x14ac:dyDescent="0.25">
      <c r="M3366" s="274"/>
    </row>
    <row r="3367" spans="13:13" ht="15" customHeight="1" x14ac:dyDescent="0.25">
      <c r="M3367" s="274"/>
    </row>
    <row r="3368" spans="13:13" ht="15" customHeight="1" x14ac:dyDescent="0.25">
      <c r="M3368" s="274"/>
    </row>
    <row r="3369" spans="13:13" ht="15" customHeight="1" x14ac:dyDescent="0.25">
      <c r="M3369" s="274"/>
    </row>
    <row r="3370" spans="13:13" ht="15" customHeight="1" x14ac:dyDescent="0.25">
      <c r="M3370" s="274"/>
    </row>
    <row r="3371" spans="13:13" ht="15" customHeight="1" x14ac:dyDescent="0.25">
      <c r="M3371" s="274"/>
    </row>
    <row r="3372" spans="13:13" ht="15" customHeight="1" x14ac:dyDescent="0.25">
      <c r="M3372" s="274"/>
    </row>
    <row r="3373" spans="13:13" ht="15" customHeight="1" x14ac:dyDescent="0.25">
      <c r="M3373" s="274"/>
    </row>
    <row r="3374" spans="13:13" ht="15" customHeight="1" x14ac:dyDescent="0.25">
      <c r="M3374" s="274"/>
    </row>
    <row r="3375" spans="13:13" ht="15" customHeight="1" x14ac:dyDescent="0.25">
      <c r="M3375" s="274"/>
    </row>
    <row r="3376" spans="13:13" ht="15" customHeight="1" x14ac:dyDescent="0.25">
      <c r="M3376" s="274"/>
    </row>
    <row r="3377" spans="13:13" ht="15" customHeight="1" x14ac:dyDescent="0.25">
      <c r="M3377" s="274"/>
    </row>
    <row r="3378" spans="13:13" ht="15" customHeight="1" x14ac:dyDescent="0.25">
      <c r="M3378" s="274"/>
    </row>
    <row r="3379" spans="13:13" ht="15" customHeight="1" x14ac:dyDescent="0.25">
      <c r="M3379" s="274"/>
    </row>
    <row r="3380" spans="13:13" ht="15" customHeight="1" x14ac:dyDescent="0.25">
      <c r="M3380" s="274"/>
    </row>
    <row r="3381" spans="13:13" ht="15" customHeight="1" x14ac:dyDescent="0.25">
      <c r="M3381" s="274"/>
    </row>
    <row r="3382" spans="13:13" ht="15" customHeight="1" x14ac:dyDescent="0.25">
      <c r="M3382" s="274"/>
    </row>
    <row r="3383" spans="13:13" ht="15" customHeight="1" x14ac:dyDescent="0.25">
      <c r="M3383" s="274"/>
    </row>
    <row r="3384" spans="13:13" ht="15" customHeight="1" x14ac:dyDescent="0.25">
      <c r="M3384" s="274"/>
    </row>
    <row r="3385" spans="13:13" ht="15" customHeight="1" x14ac:dyDescent="0.25">
      <c r="M3385" s="274"/>
    </row>
    <row r="3386" spans="13:13" ht="15" customHeight="1" x14ac:dyDescent="0.25">
      <c r="M3386" s="274"/>
    </row>
    <row r="3387" spans="13:13" ht="15" customHeight="1" x14ac:dyDescent="0.25">
      <c r="M3387" s="274"/>
    </row>
    <row r="3388" spans="13:13" ht="15" customHeight="1" x14ac:dyDescent="0.25">
      <c r="M3388" s="274"/>
    </row>
    <row r="3389" spans="13:13" ht="15" customHeight="1" x14ac:dyDescent="0.25">
      <c r="M3389" s="274"/>
    </row>
    <row r="3390" spans="13:13" ht="15" customHeight="1" x14ac:dyDescent="0.25">
      <c r="M3390" s="274"/>
    </row>
    <row r="3391" spans="13:13" ht="15" customHeight="1" x14ac:dyDescent="0.25">
      <c r="M3391" s="274"/>
    </row>
    <row r="3392" spans="13:13" ht="15" customHeight="1" x14ac:dyDescent="0.25">
      <c r="M3392" s="274"/>
    </row>
    <row r="3393" spans="13:13" ht="15" customHeight="1" x14ac:dyDescent="0.25">
      <c r="M3393" s="274"/>
    </row>
    <row r="3394" spans="13:13" ht="15" customHeight="1" x14ac:dyDescent="0.25">
      <c r="M3394" s="274"/>
    </row>
    <row r="3395" spans="13:13" ht="15" customHeight="1" x14ac:dyDescent="0.25">
      <c r="M3395" s="274"/>
    </row>
    <row r="3396" spans="13:13" ht="15" customHeight="1" x14ac:dyDescent="0.25">
      <c r="M3396" s="274"/>
    </row>
    <row r="3397" spans="13:13" ht="15" customHeight="1" x14ac:dyDescent="0.25">
      <c r="M3397" s="274"/>
    </row>
    <row r="3398" spans="13:13" ht="15" customHeight="1" x14ac:dyDescent="0.25">
      <c r="M3398" s="274"/>
    </row>
    <row r="3399" spans="13:13" ht="15" customHeight="1" x14ac:dyDescent="0.25">
      <c r="M3399" s="274"/>
    </row>
    <row r="3400" spans="13:13" ht="15" customHeight="1" x14ac:dyDescent="0.25">
      <c r="M3400" s="274"/>
    </row>
    <row r="3401" spans="13:13" ht="15" customHeight="1" x14ac:dyDescent="0.25">
      <c r="M3401" s="274"/>
    </row>
    <row r="3402" spans="13:13" ht="15" customHeight="1" x14ac:dyDescent="0.25">
      <c r="M3402" s="274"/>
    </row>
    <row r="3403" spans="13:13" ht="15" customHeight="1" x14ac:dyDescent="0.25">
      <c r="M3403" s="274"/>
    </row>
    <row r="3404" spans="13:13" ht="15" customHeight="1" x14ac:dyDescent="0.25">
      <c r="M3404" s="274"/>
    </row>
    <row r="3405" spans="13:13" ht="15" customHeight="1" x14ac:dyDescent="0.25">
      <c r="M3405" s="274"/>
    </row>
    <row r="3406" spans="13:13" ht="15" customHeight="1" x14ac:dyDescent="0.25">
      <c r="M3406" s="274"/>
    </row>
    <row r="3407" spans="13:13" ht="15" customHeight="1" x14ac:dyDescent="0.25">
      <c r="M3407" s="274"/>
    </row>
    <row r="3408" spans="13:13" ht="15" customHeight="1" x14ac:dyDescent="0.25">
      <c r="M3408" s="274"/>
    </row>
    <row r="3409" spans="13:13" ht="15" customHeight="1" x14ac:dyDescent="0.25">
      <c r="M3409" s="274"/>
    </row>
    <row r="3410" spans="13:13" ht="15" customHeight="1" x14ac:dyDescent="0.25">
      <c r="M3410" s="274"/>
    </row>
    <row r="3411" spans="13:13" ht="15" customHeight="1" x14ac:dyDescent="0.25">
      <c r="M3411" s="274"/>
    </row>
    <row r="3412" spans="13:13" ht="15" customHeight="1" x14ac:dyDescent="0.25">
      <c r="M3412" s="274"/>
    </row>
    <row r="3413" spans="13:13" ht="15" customHeight="1" x14ac:dyDescent="0.25">
      <c r="M3413" s="274"/>
    </row>
    <row r="3414" spans="13:13" ht="15" customHeight="1" x14ac:dyDescent="0.25">
      <c r="M3414" s="274"/>
    </row>
    <row r="3415" spans="13:13" ht="15" customHeight="1" x14ac:dyDescent="0.25">
      <c r="M3415" s="274"/>
    </row>
    <row r="3416" spans="13:13" ht="15" customHeight="1" x14ac:dyDescent="0.25">
      <c r="M3416" s="274"/>
    </row>
    <row r="3417" spans="13:13" ht="15" customHeight="1" x14ac:dyDescent="0.25">
      <c r="M3417" s="274"/>
    </row>
    <row r="3418" spans="13:13" ht="15" customHeight="1" x14ac:dyDescent="0.25">
      <c r="M3418" s="274"/>
    </row>
    <row r="3419" spans="13:13" ht="15" customHeight="1" x14ac:dyDescent="0.25">
      <c r="M3419" s="274"/>
    </row>
    <row r="3420" spans="13:13" ht="15" customHeight="1" x14ac:dyDescent="0.25">
      <c r="M3420" s="274"/>
    </row>
    <row r="3421" spans="13:13" ht="15" customHeight="1" x14ac:dyDescent="0.25">
      <c r="M3421" s="274"/>
    </row>
    <row r="3422" spans="13:13" ht="15" customHeight="1" x14ac:dyDescent="0.25">
      <c r="M3422" s="274"/>
    </row>
    <row r="3423" spans="13:13" ht="15" customHeight="1" x14ac:dyDescent="0.25">
      <c r="M3423" s="274"/>
    </row>
    <row r="3424" spans="13:13" ht="15" customHeight="1" x14ac:dyDescent="0.25">
      <c r="M3424" s="274"/>
    </row>
    <row r="3425" spans="13:13" ht="15" customHeight="1" x14ac:dyDescent="0.25">
      <c r="M3425" s="274"/>
    </row>
    <row r="3426" spans="13:13" ht="15" customHeight="1" x14ac:dyDescent="0.25">
      <c r="M3426" s="274"/>
    </row>
    <row r="3427" spans="13:13" ht="15" customHeight="1" x14ac:dyDescent="0.25">
      <c r="M3427" s="274"/>
    </row>
    <row r="3428" spans="13:13" ht="15" customHeight="1" x14ac:dyDescent="0.25">
      <c r="M3428" s="274"/>
    </row>
    <row r="3429" spans="13:13" ht="15" customHeight="1" x14ac:dyDescent="0.25">
      <c r="M3429" s="274"/>
    </row>
    <row r="3430" spans="13:13" ht="15" customHeight="1" x14ac:dyDescent="0.25">
      <c r="M3430" s="274"/>
    </row>
    <row r="3431" spans="13:13" ht="15" customHeight="1" x14ac:dyDescent="0.25">
      <c r="M3431" s="274"/>
    </row>
    <row r="3432" spans="13:13" ht="15" customHeight="1" x14ac:dyDescent="0.25">
      <c r="M3432" s="274"/>
    </row>
    <row r="3433" spans="13:13" ht="15" customHeight="1" x14ac:dyDescent="0.25">
      <c r="M3433" s="274"/>
    </row>
    <row r="3434" spans="13:13" ht="15" customHeight="1" x14ac:dyDescent="0.25">
      <c r="M3434" s="274"/>
    </row>
    <row r="3435" spans="13:13" ht="15" customHeight="1" x14ac:dyDescent="0.25">
      <c r="M3435" s="274"/>
    </row>
    <row r="3436" spans="13:13" ht="15" customHeight="1" x14ac:dyDescent="0.25">
      <c r="M3436" s="274"/>
    </row>
    <row r="3437" spans="13:13" ht="15" customHeight="1" x14ac:dyDescent="0.25">
      <c r="M3437" s="274"/>
    </row>
    <row r="3438" spans="13:13" ht="15" customHeight="1" x14ac:dyDescent="0.25">
      <c r="M3438" s="274"/>
    </row>
    <row r="3439" spans="13:13" ht="15" customHeight="1" x14ac:dyDescent="0.25">
      <c r="M3439" s="274"/>
    </row>
    <row r="3440" spans="13:13" ht="15" customHeight="1" x14ac:dyDescent="0.25">
      <c r="M3440" s="274"/>
    </row>
    <row r="3441" spans="2:13" ht="15" customHeight="1" x14ac:dyDescent="0.25">
      <c r="M3441" s="274"/>
    </row>
    <row r="3442" spans="2:13" ht="15" customHeight="1" x14ac:dyDescent="0.25">
      <c r="M3442" s="274"/>
    </row>
    <row r="3443" spans="2:13" ht="15" customHeight="1" x14ac:dyDescent="0.25">
      <c r="M3443" s="274"/>
    </row>
    <row r="3444" spans="2:13" ht="15" customHeight="1" x14ac:dyDescent="0.25">
      <c r="M3444" s="274"/>
    </row>
    <row r="3445" spans="2:13" ht="15" customHeight="1" x14ac:dyDescent="0.25">
      <c r="M3445" s="274"/>
    </row>
    <row r="3446" spans="2:13" ht="15" customHeight="1" x14ac:dyDescent="0.25">
      <c r="M3446" s="274"/>
    </row>
    <row r="3447" spans="2:13" ht="15" customHeight="1" x14ac:dyDescent="0.25">
      <c r="M3447" s="274"/>
    </row>
    <row r="3448" spans="2:13" ht="15" customHeight="1" x14ac:dyDescent="0.25">
      <c r="M3448" s="274"/>
    </row>
    <row r="3449" spans="2:13" ht="15" customHeight="1" x14ac:dyDescent="0.25">
      <c r="M3449" s="274"/>
    </row>
    <row r="3450" spans="2:13" ht="15" customHeight="1" x14ac:dyDescent="0.25">
      <c r="M3450" s="274"/>
    </row>
    <row r="3451" spans="2:13" ht="15" customHeight="1" x14ac:dyDescent="0.25">
      <c r="M3451" s="274"/>
    </row>
    <row r="3452" spans="2:13" ht="15" customHeight="1" x14ac:dyDescent="0.25">
      <c r="M3452" s="274"/>
    </row>
    <row r="3453" spans="2:13" ht="15" customHeight="1" x14ac:dyDescent="0.25">
      <c r="M3453" s="274"/>
    </row>
    <row r="3454" spans="2:13" ht="15" customHeight="1" x14ac:dyDescent="0.25">
      <c r="M3454" s="274"/>
    </row>
    <row r="3455" spans="2:13" ht="15" customHeight="1" x14ac:dyDescent="0.25">
      <c r="M3455" s="274"/>
    </row>
    <row r="3456" spans="2:13" ht="15" customHeight="1" x14ac:dyDescent="0.25">
      <c r="B3456" s="289">
        <v>3648</v>
      </c>
      <c r="C3456" s="261">
        <v>123</v>
      </c>
      <c r="D3456" s="244" t="s">
        <v>12</v>
      </c>
      <c r="E3456" s="263">
        <v>94</v>
      </c>
      <c r="F3456" s="294" t="s">
        <v>126</v>
      </c>
      <c r="G3456" s="294" t="s">
        <v>288</v>
      </c>
      <c r="H3456" s="298">
        <v>1</v>
      </c>
      <c r="M3456" s="274"/>
    </row>
    <row r="3457" spans="2:13" ht="15" customHeight="1" x14ac:dyDescent="0.25">
      <c r="B3457" s="289">
        <v>3650</v>
      </c>
      <c r="C3457" s="261">
        <v>123</v>
      </c>
      <c r="D3457" s="244" t="s">
        <v>12</v>
      </c>
      <c r="E3457" s="263">
        <v>11</v>
      </c>
      <c r="F3457" s="294" t="s">
        <v>126</v>
      </c>
      <c r="G3457" s="294" t="s">
        <v>415</v>
      </c>
      <c r="H3457" s="298">
        <v>1</v>
      </c>
      <c r="M3457" s="274"/>
    </row>
    <row r="3458" spans="2:13" ht="15" customHeight="1" x14ac:dyDescent="0.25">
      <c r="B3458" s="289">
        <v>3651</v>
      </c>
      <c r="C3458" s="261">
        <v>123</v>
      </c>
      <c r="D3458" s="244" t="s">
        <v>12</v>
      </c>
      <c r="E3458" s="263">
        <v>49</v>
      </c>
      <c r="F3458" s="294" t="s">
        <v>126</v>
      </c>
      <c r="G3458" s="294" t="s">
        <v>289</v>
      </c>
      <c r="H3458" s="298">
        <v>1</v>
      </c>
      <c r="M3458" s="274"/>
    </row>
    <row r="3459" spans="2:13" ht="15" customHeight="1" x14ac:dyDescent="0.25">
      <c r="B3459" s="289">
        <v>3652</v>
      </c>
      <c r="C3459" s="261">
        <v>123</v>
      </c>
      <c r="D3459" s="244" t="s">
        <v>12</v>
      </c>
      <c r="E3459" s="263">
        <v>63</v>
      </c>
      <c r="F3459" s="294" t="s">
        <v>126</v>
      </c>
      <c r="G3459" s="294" t="s">
        <v>416</v>
      </c>
      <c r="H3459" s="298">
        <v>1</v>
      </c>
      <c r="M3459" s="274"/>
    </row>
    <row r="3460" spans="2:13" ht="15" customHeight="1" x14ac:dyDescent="0.25">
      <c r="B3460" s="289">
        <v>3653</v>
      </c>
      <c r="C3460" s="261">
        <v>123</v>
      </c>
      <c r="D3460" s="244" t="s">
        <v>12</v>
      </c>
      <c r="E3460" s="263">
        <v>73</v>
      </c>
      <c r="F3460" s="294" t="s">
        <v>126</v>
      </c>
      <c r="G3460" s="294" t="s">
        <v>290</v>
      </c>
      <c r="H3460" s="298">
        <v>1</v>
      </c>
      <c r="M3460" s="274"/>
    </row>
    <row r="3461" spans="2:13" ht="15" customHeight="1" x14ac:dyDescent="0.25">
      <c r="B3461" s="289">
        <v>3654</v>
      </c>
      <c r="C3461" s="261">
        <v>123</v>
      </c>
      <c r="D3461" s="244" t="s">
        <v>12</v>
      </c>
      <c r="E3461" s="263">
        <v>88</v>
      </c>
      <c r="F3461" s="294" t="s">
        <v>126</v>
      </c>
      <c r="G3461" s="294" t="s">
        <v>291</v>
      </c>
      <c r="H3461" s="298">
        <v>1</v>
      </c>
      <c r="M3461" s="274"/>
    </row>
    <row r="3462" spans="2:13" ht="15" customHeight="1" x14ac:dyDescent="0.25">
      <c r="B3462" s="289">
        <v>3655</v>
      </c>
      <c r="C3462" s="261">
        <v>123</v>
      </c>
      <c r="D3462" s="244" t="s">
        <v>12</v>
      </c>
      <c r="E3462" s="263">
        <v>4</v>
      </c>
      <c r="F3462" s="294" t="s">
        <v>126</v>
      </c>
      <c r="G3462" s="294" t="s">
        <v>292</v>
      </c>
      <c r="H3462" s="298">
        <v>1</v>
      </c>
      <c r="M3462" s="274"/>
    </row>
    <row r="3463" spans="2:13" ht="15" customHeight="1" x14ac:dyDescent="0.25">
      <c r="B3463" s="289">
        <v>3657</v>
      </c>
      <c r="C3463" s="261">
        <v>123</v>
      </c>
      <c r="D3463" s="244" t="s">
        <v>12</v>
      </c>
      <c r="E3463" s="263">
        <v>2</v>
      </c>
      <c r="F3463" s="294" t="s">
        <v>126</v>
      </c>
      <c r="G3463" s="294" t="s">
        <v>417</v>
      </c>
      <c r="H3463" s="298">
        <v>1</v>
      </c>
      <c r="M3463" s="274"/>
    </row>
    <row r="3464" spans="2:13" ht="15" customHeight="1" x14ac:dyDescent="0.25">
      <c r="B3464" s="289">
        <v>3659</v>
      </c>
      <c r="C3464" s="261">
        <v>123</v>
      </c>
      <c r="D3464" s="244" t="s">
        <v>12</v>
      </c>
      <c r="E3464" s="263">
        <v>27</v>
      </c>
      <c r="F3464" s="294" t="s">
        <v>126</v>
      </c>
      <c r="G3464" s="294" t="s">
        <v>418</v>
      </c>
      <c r="H3464" s="298">
        <v>1</v>
      </c>
      <c r="M3464" s="274"/>
    </row>
    <row r="3465" spans="2:13" ht="15" customHeight="1" x14ac:dyDescent="0.25">
      <c r="B3465" s="289">
        <v>3660</v>
      </c>
      <c r="C3465" s="261">
        <v>123</v>
      </c>
      <c r="D3465" s="244" t="s">
        <v>12</v>
      </c>
      <c r="E3465" s="263">
        <v>21</v>
      </c>
      <c r="F3465" s="294" t="s">
        <v>126</v>
      </c>
      <c r="G3465" s="294" t="s">
        <v>419</v>
      </c>
      <c r="H3465" s="298">
        <v>1</v>
      </c>
      <c r="M3465" s="274"/>
    </row>
    <row r="3466" spans="2:13" ht="15" customHeight="1" x14ac:dyDescent="0.25">
      <c r="B3466" s="289">
        <v>3663</v>
      </c>
      <c r="C3466" s="261">
        <v>123</v>
      </c>
      <c r="D3466" s="244" t="s">
        <v>12</v>
      </c>
      <c r="E3466" s="263">
        <v>50</v>
      </c>
      <c r="F3466" s="294" t="s">
        <v>126</v>
      </c>
      <c r="G3466" s="294" t="s">
        <v>293</v>
      </c>
      <c r="H3466" s="298">
        <v>1</v>
      </c>
      <c r="M3466" s="274"/>
    </row>
    <row r="3467" spans="2:13" ht="15" customHeight="1" x14ac:dyDescent="0.25">
      <c r="B3467" s="289">
        <v>3665</v>
      </c>
      <c r="C3467" s="261">
        <v>123</v>
      </c>
      <c r="D3467" s="244" t="s">
        <v>12</v>
      </c>
      <c r="E3467" s="263">
        <v>2</v>
      </c>
      <c r="F3467" s="294" t="s">
        <v>126</v>
      </c>
      <c r="G3467" s="294" t="s">
        <v>420</v>
      </c>
      <c r="H3467" s="298">
        <v>1</v>
      </c>
      <c r="M3467" s="274"/>
    </row>
    <row r="3468" spans="2:13" ht="15" customHeight="1" x14ac:dyDescent="0.25">
      <c r="B3468" s="289">
        <v>3667</v>
      </c>
      <c r="C3468" s="261">
        <v>123</v>
      </c>
      <c r="D3468" s="244" t="s">
        <v>12</v>
      </c>
      <c r="E3468" s="263">
        <v>79</v>
      </c>
      <c r="F3468" s="294" t="s">
        <v>126</v>
      </c>
      <c r="G3468" s="294" t="s">
        <v>294</v>
      </c>
      <c r="H3468" s="298">
        <v>1</v>
      </c>
      <c r="M3468" s="274"/>
    </row>
    <row r="3469" spans="2:13" ht="15" customHeight="1" x14ac:dyDescent="0.25">
      <c r="B3469" s="289">
        <v>3668</v>
      </c>
      <c r="C3469" s="261">
        <v>139</v>
      </c>
      <c r="D3469" s="244" t="s">
        <v>12</v>
      </c>
      <c r="E3469" s="263">
        <v>24</v>
      </c>
      <c r="F3469" s="294" t="s">
        <v>126</v>
      </c>
      <c r="G3469" s="294" t="s">
        <v>421</v>
      </c>
      <c r="H3469" s="298">
        <v>1</v>
      </c>
      <c r="M3469" s="274"/>
    </row>
    <row r="3470" spans="2:13" ht="15" customHeight="1" x14ac:dyDescent="0.25">
      <c r="B3470" s="289">
        <v>3671</v>
      </c>
      <c r="C3470" s="261">
        <v>138</v>
      </c>
      <c r="D3470" s="244" t="s">
        <v>11</v>
      </c>
      <c r="E3470" s="263">
        <v>6</v>
      </c>
      <c r="F3470" s="294" t="s">
        <v>422</v>
      </c>
      <c r="G3470" s="294" t="s">
        <v>126</v>
      </c>
      <c r="H3470" s="298">
        <v>1</v>
      </c>
      <c r="M3470" s="274"/>
    </row>
    <row r="3471" spans="2:13" ht="15" customHeight="1" x14ac:dyDescent="0.25">
      <c r="B3471" s="289">
        <v>3673</v>
      </c>
      <c r="C3471" s="261">
        <v>140</v>
      </c>
      <c r="D3471" s="244" t="s">
        <v>11</v>
      </c>
      <c r="E3471" s="263">
        <v>3</v>
      </c>
      <c r="F3471" s="294" t="s">
        <v>423</v>
      </c>
      <c r="G3471" s="294" t="s">
        <v>126</v>
      </c>
      <c r="H3471" s="298">
        <v>1</v>
      </c>
      <c r="M3471" s="274"/>
    </row>
    <row r="3472" spans="2:13" ht="15" customHeight="1" x14ac:dyDescent="0.25">
      <c r="B3472" s="289">
        <v>3674</v>
      </c>
      <c r="C3472" s="261">
        <v>123</v>
      </c>
      <c r="D3472" s="244" t="s">
        <v>12</v>
      </c>
      <c r="E3472" s="263">
        <v>100</v>
      </c>
      <c r="F3472" s="294" t="s">
        <v>126</v>
      </c>
      <c r="G3472" s="294" t="s">
        <v>295</v>
      </c>
      <c r="H3472" s="298">
        <v>1</v>
      </c>
      <c r="M3472" s="274"/>
    </row>
    <row r="3473" spans="2:13" ht="15" customHeight="1" x14ac:dyDescent="0.25">
      <c r="B3473" s="289">
        <v>3675</v>
      </c>
      <c r="C3473" s="261">
        <v>139</v>
      </c>
      <c r="D3473" s="244" t="s">
        <v>12</v>
      </c>
      <c r="E3473" s="263">
        <v>10</v>
      </c>
      <c r="F3473" s="294" t="s">
        <v>126</v>
      </c>
      <c r="G3473" s="294" t="s">
        <v>424</v>
      </c>
      <c r="H3473" s="298">
        <v>1</v>
      </c>
      <c r="M3473" s="274"/>
    </row>
    <row r="3474" spans="2:13" ht="15" customHeight="1" x14ac:dyDescent="0.25">
      <c r="B3474" s="289">
        <v>3676</v>
      </c>
      <c r="C3474" s="261">
        <v>127</v>
      </c>
      <c r="D3474" s="244" t="s">
        <v>12</v>
      </c>
      <c r="E3474" s="263">
        <v>3</v>
      </c>
      <c r="F3474" s="294" t="s">
        <v>126</v>
      </c>
      <c r="G3474" s="294" t="s">
        <v>296</v>
      </c>
      <c r="H3474" s="298">
        <v>1</v>
      </c>
      <c r="M3474" s="274"/>
    </row>
    <row r="3475" spans="2:13" ht="15" customHeight="1" x14ac:dyDescent="0.25">
      <c r="B3475" s="289">
        <v>3679</v>
      </c>
      <c r="C3475" s="261">
        <v>123</v>
      </c>
      <c r="D3475" s="244" t="s">
        <v>12</v>
      </c>
      <c r="E3475" s="263">
        <v>1</v>
      </c>
      <c r="F3475" s="294" t="s">
        <v>126</v>
      </c>
      <c r="G3475" s="294" t="s">
        <v>139</v>
      </c>
      <c r="H3475" s="298">
        <v>1</v>
      </c>
      <c r="M3475" s="274"/>
    </row>
    <row r="3476" spans="2:13" ht="15" customHeight="1" x14ac:dyDescent="0.25">
      <c r="B3476" s="289">
        <v>3682</v>
      </c>
      <c r="C3476" s="261">
        <v>122</v>
      </c>
      <c r="D3476" s="244" t="s">
        <v>11</v>
      </c>
      <c r="E3476" s="263">
        <v>14</v>
      </c>
      <c r="F3476" s="294" t="s">
        <v>297</v>
      </c>
      <c r="G3476" s="294" t="s">
        <v>126</v>
      </c>
      <c r="H3476" s="298">
        <v>1</v>
      </c>
      <c r="M3476" s="274"/>
    </row>
    <row r="3477" spans="2:13" ht="15" customHeight="1" x14ac:dyDescent="0.25">
      <c r="B3477" s="289">
        <v>3683</v>
      </c>
      <c r="C3477" s="261">
        <v>123</v>
      </c>
      <c r="D3477" s="244" t="s">
        <v>12</v>
      </c>
      <c r="E3477" s="263">
        <v>48</v>
      </c>
      <c r="F3477" s="294" t="s">
        <v>126</v>
      </c>
      <c r="G3477" s="294" t="s">
        <v>425</v>
      </c>
      <c r="H3477" s="298">
        <v>1</v>
      </c>
      <c r="M3477" s="274"/>
    </row>
    <row r="3478" spans="2:13" ht="15" customHeight="1" x14ac:dyDescent="0.25">
      <c r="B3478" s="289">
        <v>3684</v>
      </c>
      <c r="C3478" s="261">
        <v>123</v>
      </c>
      <c r="D3478" s="244" t="s">
        <v>12</v>
      </c>
      <c r="E3478" s="263">
        <v>62</v>
      </c>
      <c r="F3478" s="294" t="s">
        <v>126</v>
      </c>
      <c r="G3478" s="294" t="s">
        <v>298</v>
      </c>
      <c r="H3478" s="298">
        <v>1</v>
      </c>
      <c r="M3478" s="274"/>
    </row>
    <row r="3479" spans="2:13" ht="15" customHeight="1" x14ac:dyDescent="0.25">
      <c r="B3479" s="289">
        <v>3685</v>
      </c>
      <c r="C3479" s="261">
        <v>121</v>
      </c>
      <c r="D3479" s="244" t="s">
        <v>12</v>
      </c>
      <c r="E3479" s="263">
        <v>9</v>
      </c>
      <c r="F3479" s="294" t="s">
        <v>126</v>
      </c>
      <c r="G3479" s="294" t="s">
        <v>299</v>
      </c>
      <c r="H3479" s="298">
        <v>1</v>
      </c>
      <c r="M3479" s="274"/>
    </row>
    <row r="3480" spans="2:13" ht="15" customHeight="1" x14ac:dyDescent="0.25">
      <c r="B3480" s="289">
        <v>3686</v>
      </c>
      <c r="C3480" s="261">
        <v>123</v>
      </c>
      <c r="D3480" s="244" t="s">
        <v>12</v>
      </c>
      <c r="E3480" s="263">
        <v>47</v>
      </c>
      <c r="F3480" s="294" t="s">
        <v>126</v>
      </c>
      <c r="G3480" s="294" t="s">
        <v>300</v>
      </c>
      <c r="H3480" s="298">
        <v>1</v>
      </c>
      <c r="M3480" s="274"/>
    </row>
    <row r="3481" spans="2:13" ht="15" customHeight="1" x14ac:dyDescent="0.25">
      <c r="B3481" s="289">
        <v>3687</v>
      </c>
      <c r="C3481" s="261">
        <v>131</v>
      </c>
      <c r="D3481" s="244" t="s">
        <v>12</v>
      </c>
      <c r="E3481" s="263">
        <v>5</v>
      </c>
      <c r="F3481" s="294" t="s">
        <v>126</v>
      </c>
      <c r="G3481" s="294" t="s">
        <v>301</v>
      </c>
      <c r="H3481" s="298">
        <v>1</v>
      </c>
      <c r="M3481" s="274"/>
    </row>
    <row r="3482" spans="2:13" ht="15" customHeight="1" x14ac:dyDescent="0.25">
      <c r="B3482" s="289">
        <v>3688</v>
      </c>
      <c r="C3482" s="261">
        <v>123</v>
      </c>
      <c r="D3482" s="244" t="s">
        <v>12</v>
      </c>
      <c r="E3482" s="263">
        <v>80</v>
      </c>
      <c r="F3482" s="294" t="s">
        <v>126</v>
      </c>
      <c r="G3482" s="294" t="s">
        <v>302</v>
      </c>
      <c r="H3482" s="298">
        <v>1</v>
      </c>
      <c r="M3482" s="274"/>
    </row>
    <row r="3483" spans="2:13" ht="15" customHeight="1" x14ac:dyDescent="0.25">
      <c r="B3483" s="289">
        <v>3688</v>
      </c>
      <c r="C3483" s="261">
        <v>126</v>
      </c>
      <c r="D3483" s="244" t="s">
        <v>11</v>
      </c>
      <c r="E3483" s="263">
        <v>1</v>
      </c>
      <c r="F3483" s="294" t="s">
        <v>235</v>
      </c>
      <c r="G3483" s="294" t="s">
        <v>126</v>
      </c>
      <c r="H3483" s="298">
        <v>1</v>
      </c>
      <c r="M3483" s="274"/>
    </row>
    <row r="3484" spans="2:13" ht="15" customHeight="1" x14ac:dyDescent="0.25">
      <c r="B3484" s="289">
        <v>3689</v>
      </c>
      <c r="C3484" s="261">
        <v>123</v>
      </c>
      <c r="D3484" s="244" t="s">
        <v>12</v>
      </c>
      <c r="E3484" s="263">
        <v>80</v>
      </c>
      <c r="F3484" s="294" t="s">
        <v>126</v>
      </c>
      <c r="G3484" s="294" t="s">
        <v>303</v>
      </c>
      <c r="H3484" s="298">
        <v>1</v>
      </c>
      <c r="M3484" s="274"/>
    </row>
    <row r="3485" spans="2:13" ht="15" customHeight="1" x14ac:dyDescent="0.25">
      <c r="B3485" s="289">
        <v>3689</v>
      </c>
      <c r="C3485" s="261">
        <v>126</v>
      </c>
      <c r="D3485" s="244" t="s">
        <v>11</v>
      </c>
      <c r="E3485" s="263">
        <v>1</v>
      </c>
      <c r="F3485" s="294" t="s">
        <v>235</v>
      </c>
      <c r="G3485" s="294" t="s">
        <v>126</v>
      </c>
      <c r="H3485" s="298">
        <v>1</v>
      </c>
      <c r="M3485" s="274"/>
    </row>
    <row r="3486" spans="2:13" ht="15" customHeight="1" x14ac:dyDescent="0.25">
      <c r="B3486" s="289">
        <v>3690</v>
      </c>
      <c r="C3486" s="261">
        <v>123</v>
      </c>
      <c r="D3486" s="244" t="s">
        <v>12</v>
      </c>
      <c r="E3486" s="263">
        <v>85</v>
      </c>
      <c r="F3486" s="294" t="s">
        <v>126</v>
      </c>
      <c r="G3486" s="294" t="s">
        <v>304</v>
      </c>
      <c r="H3486" s="298">
        <v>1</v>
      </c>
      <c r="M3486" s="274"/>
    </row>
    <row r="3487" spans="2:13" ht="15" customHeight="1" x14ac:dyDescent="0.25">
      <c r="B3487" s="289">
        <v>3691</v>
      </c>
      <c r="C3487" s="261">
        <v>123</v>
      </c>
      <c r="D3487" s="244" t="s">
        <v>12</v>
      </c>
      <c r="E3487" s="263">
        <v>1</v>
      </c>
      <c r="F3487" s="294" t="s">
        <v>126</v>
      </c>
      <c r="G3487" s="294" t="s">
        <v>426</v>
      </c>
      <c r="H3487" s="298">
        <v>1</v>
      </c>
      <c r="M3487" s="274"/>
    </row>
    <row r="3488" spans="2:13" ht="15" customHeight="1" x14ac:dyDescent="0.25">
      <c r="B3488" s="289">
        <v>3695</v>
      </c>
      <c r="C3488" s="261">
        <v>123</v>
      </c>
      <c r="D3488" s="244" t="s">
        <v>12</v>
      </c>
      <c r="E3488" s="263">
        <v>2</v>
      </c>
      <c r="F3488" s="294" t="s">
        <v>126</v>
      </c>
      <c r="G3488" s="294" t="s">
        <v>227</v>
      </c>
      <c r="H3488" s="298">
        <v>1</v>
      </c>
      <c r="M3488" s="274"/>
    </row>
    <row r="3489" spans="2:13" ht="15" customHeight="1" x14ac:dyDescent="0.25">
      <c r="B3489" s="289">
        <v>3696</v>
      </c>
      <c r="C3489" s="261">
        <v>123</v>
      </c>
      <c r="D3489" s="244" t="s">
        <v>12</v>
      </c>
      <c r="E3489" s="263">
        <v>1</v>
      </c>
      <c r="F3489" s="294" t="s">
        <v>126</v>
      </c>
      <c r="G3489" s="294" t="s">
        <v>139</v>
      </c>
      <c r="H3489" s="298">
        <v>1</v>
      </c>
      <c r="M3489" s="274"/>
    </row>
    <row r="3490" spans="2:13" ht="15" customHeight="1" x14ac:dyDescent="0.25">
      <c r="B3490" s="289">
        <v>3697</v>
      </c>
      <c r="C3490" s="261">
        <v>123</v>
      </c>
      <c r="D3490" s="244" t="s">
        <v>12</v>
      </c>
      <c r="E3490" s="263">
        <v>100</v>
      </c>
      <c r="F3490" s="294" t="s">
        <v>126</v>
      </c>
      <c r="G3490" s="294" t="s">
        <v>305</v>
      </c>
      <c r="H3490" s="298">
        <v>1</v>
      </c>
      <c r="M3490" s="274"/>
    </row>
    <row r="3491" spans="2:13" ht="15" customHeight="1" x14ac:dyDescent="0.25">
      <c r="B3491" s="289">
        <v>3698</v>
      </c>
      <c r="C3491" s="261">
        <v>123</v>
      </c>
      <c r="D3491" s="244" t="s">
        <v>12</v>
      </c>
      <c r="E3491" s="263">
        <v>42</v>
      </c>
      <c r="F3491" s="294" t="s">
        <v>126</v>
      </c>
      <c r="G3491" s="294" t="s">
        <v>427</v>
      </c>
      <c r="H3491" s="298">
        <v>1</v>
      </c>
      <c r="M3491" s="274"/>
    </row>
    <row r="3492" spans="2:13" ht="15" customHeight="1" x14ac:dyDescent="0.25">
      <c r="B3492" s="289">
        <v>3698</v>
      </c>
      <c r="C3492" s="261">
        <v>139</v>
      </c>
      <c r="D3492" s="244" t="s">
        <v>12</v>
      </c>
      <c r="E3492" s="263">
        <v>10</v>
      </c>
      <c r="F3492" s="294" t="s">
        <v>126</v>
      </c>
      <c r="G3492" s="294" t="s">
        <v>428</v>
      </c>
      <c r="H3492" s="298">
        <v>1</v>
      </c>
      <c r="M3492" s="274"/>
    </row>
    <row r="3493" spans="2:13" ht="15" customHeight="1" x14ac:dyDescent="0.25">
      <c r="B3493" s="289">
        <v>3699</v>
      </c>
      <c r="C3493" s="261">
        <v>123</v>
      </c>
      <c r="D3493" s="244" t="s">
        <v>12</v>
      </c>
      <c r="E3493" s="263">
        <v>42</v>
      </c>
      <c r="F3493" s="294" t="s">
        <v>126</v>
      </c>
      <c r="G3493" s="294" t="s">
        <v>306</v>
      </c>
      <c r="H3493" s="298">
        <v>1</v>
      </c>
      <c r="M3493" s="274"/>
    </row>
    <row r="3494" spans="2:13" ht="15" customHeight="1" x14ac:dyDescent="0.25">
      <c r="B3494" s="289">
        <v>3700</v>
      </c>
      <c r="C3494" s="261">
        <v>123</v>
      </c>
      <c r="D3494" s="244" t="s">
        <v>12</v>
      </c>
      <c r="E3494" s="263">
        <v>101</v>
      </c>
      <c r="F3494" s="294" t="s">
        <v>126</v>
      </c>
      <c r="G3494" s="294" t="s">
        <v>307</v>
      </c>
      <c r="H3494" s="298">
        <v>1</v>
      </c>
      <c r="M3494" s="274"/>
    </row>
    <row r="3495" spans="2:13" ht="15" customHeight="1" x14ac:dyDescent="0.25">
      <c r="B3495" s="289">
        <v>3701</v>
      </c>
      <c r="C3495" s="261">
        <v>123</v>
      </c>
      <c r="D3495" s="244" t="s">
        <v>12</v>
      </c>
      <c r="E3495" s="263">
        <v>101</v>
      </c>
      <c r="F3495" s="294" t="s">
        <v>126</v>
      </c>
      <c r="G3495" s="294" t="s">
        <v>308</v>
      </c>
      <c r="H3495" s="298">
        <v>1</v>
      </c>
      <c r="M3495" s="274"/>
    </row>
    <row r="3496" spans="2:13" ht="15" customHeight="1" x14ac:dyDescent="0.25">
      <c r="B3496" s="289">
        <v>3702</v>
      </c>
      <c r="C3496" s="261">
        <v>123</v>
      </c>
      <c r="D3496" s="244" t="s">
        <v>12</v>
      </c>
      <c r="E3496" s="263">
        <v>42</v>
      </c>
      <c r="F3496" s="294" t="s">
        <v>126</v>
      </c>
      <c r="G3496" s="294" t="s">
        <v>309</v>
      </c>
      <c r="H3496" s="298">
        <v>1</v>
      </c>
      <c r="M3496" s="274"/>
    </row>
    <row r="3497" spans="2:13" ht="15" customHeight="1" x14ac:dyDescent="0.25">
      <c r="B3497" s="289">
        <v>3703</v>
      </c>
      <c r="C3497" s="261">
        <v>123</v>
      </c>
      <c r="D3497" s="244" t="s">
        <v>12</v>
      </c>
      <c r="E3497" s="263">
        <v>53</v>
      </c>
      <c r="F3497" s="294" t="s">
        <v>126</v>
      </c>
      <c r="G3497" s="294" t="s">
        <v>310</v>
      </c>
      <c r="H3497" s="298">
        <v>1</v>
      </c>
      <c r="M3497" s="274"/>
    </row>
    <row r="3498" spans="2:13" ht="15" customHeight="1" x14ac:dyDescent="0.25">
      <c r="B3498" s="289">
        <v>3704</v>
      </c>
      <c r="C3498" s="261">
        <v>123</v>
      </c>
      <c r="D3498" s="244" t="s">
        <v>12</v>
      </c>
      <c r="E3498" s="263">
        <v>53</v>
      </c>
      <c r="F3498" s="294" t="s">
        <v>126</v>
      </c>
      <c r="G3498" s="294" t="s">
        <v>429</v>
      </c>
      <c r="H3498" s="298">
        <v>1</v>
      </c>
      <c r="M3498" s="274"/>
    </row>
    <row r="3499" spans="2:13" ht="15" customHeight="1" x14ac:dyDescent="0.25">
      <c r="B3499" s="289">
        <v>3705</v>
      </c>
      <c r="C3499" s="261">
        <v>123</v>
      </c>
      <c r="D3499" s="244" t="s">
        <v>12</v>
      </c>
      <c r="E3499" s="263">
        <v>51</v>
      </c>
      <c r="F3499" s="294" t="s">
        <v>126</v>
      </c>
      <c r="G3499" s="294" t="s">
        <v>430</v>
      </c>
      <c r="H3499" s="298">
        <v>1</v>
      </c>
      <c r="M3499" s="274"/>
    </row>
    <row r="3500" spans="2:13" ht="15" customHeight="1" x14ac:dyDescent="0.25">
      <c r="B3500" s="289">
        <v>3707</v>
      </c>
      <c r="C3500" s="261">
        <v>123</v>
      </c>
      <c r="D3500" s="244" t="s">
        <v>12</v>
      </c>
      <c r="E3500" s="263">
        <v>2</v>
      </c>
      <c r="F3500" s="294" t="s">
        <v>126</v>
      </c>
      <c r="G3500" s="294" t="s">
        <v>431</v>
      </c>
      <c r="H3500" s="298">
        <v>1</v>
      </c>
      <c r="M3500" s="274"/>
    </row>
    <row r="3501" spans="2:13" ht="15" customHeight="1" x14ac:dyDescent="0.25">
      <c r="B3501" s="289">
        <v>3708</v>
      </c>
      <c r="C3501" s="261">
        <v>123</v>
      </c>
      <c r="D3501" s="244" t="s">
        <v>12</v>
      </c>
      <c r="E3501" s="263">
        <v>45</v>
      </c>
      <c r="F3501" s="294" t="s">
        <v>126</v>
      </c>
      <c r="G3501" s="294" t="s">
        <v>432</v>
      </c>
      <c r="H3501" s="298">
        <v>1</v>
      </c>
      <c r="M3501" s="274"/>
    </row>
    <row r="3502" spans="2:13" ht="15" customHeight="1" x14ac:dyDescent="0.25">
      <c r="B3502" s="289">
        <v>3709</v>
      </c>
      <c r="C3502" s="261">
        <v>123</v>
      </c>
      <c r="D3502" s="244" t="s">
        <v>12</v>
      </c>
      <c r="E3502" s="263">
        <v>2</v>
      </c>
      <c r="F3502" s="294" t="s">
        <v>126</v>
      </c>
      <c r="G3502" s="294" t="s">
        <v>433</v>
      </c>
      <c r="H3502" s="298">
        <v>1</v>
      </c>
      <c r="M3502" s="274"/>
    </row>
    <row r="3503" spans="2:13" ht="15" customHeight="1" x14ac:dyDescent="0.25">
      <c r="B3503" s="289">
        <v>3710</v>
      </c>
      <c r="C3503" s="261">
        <v>123</v>
      </c>
      <c r="D3503" s="244" t="s">
        <v>12</v>
      </c>
      <c r="E3503" s="263">
        <v>1</v>
      </c>
      <c r="F3503" s="294" t="s">
        <v>126</v>
      </c>
      <c r="G3503" s="294" t="s">
        <v>235</v>
      </c>
      <c r="H3503" s="298">
        <v>1</v>
      </c>
      <c r="M3503" s="274"/>
    </row>
    <row r="3504" spans="2:13" ht="15" customHeight="1" x14ac:dyDescent="0.25">
      <c r="B3504" s="289">
        <v>3711</v>
      </c>
      <c r="C3504" s="261">
        <v>123</v>
      </c>
      <c r="D3504" s="244" t="s">
        <v>12</v>
      </c>
      <c r="E3504" s="263">
        <v>46</v>
      </c>
      <c r="F3504" s="294" t="s">
        <v>126</v>
      </c>
      <c r="G3504" s="294" t="s">
        <v>434</v>
      </c>
      <c r="H3504" s="298">
        <v>1</v>
      </c>
      <c r="M3504" s="274"/>
    </row>
    <row r="3505" spans="2:13" ht="15" customHeight="1" x14ac:dyDescent="0.25">
      <c r="B3505" s="289">
        <v>3712</v>
      </c>
      <c r="C3505" s="261">
        <v>123</v>
      </c>
      <c r="D3505" s="244" t="s">
        <v>12</v>
      </c>
      <c r="E3505" s="263">
        <v>1</v>
      </c>
      <c r="F3505" s="294" t="s">
        <v>126</v>
      </c>
      <c r="G3505" s="294" t="s">
        <v>426</v>
      </c>
      <c r="H3505" s="298">
        <v>1</v>
      </c>
      <c r="M3505" s="274"/>
    </row>
    <row r="3506" spans="2:13" ht="15" customHeight="1" x14ac:dyDescent="0.25">
      <c r="B3506" s="289">
        <v>3713</v>
      </c>
      <c r="C3506" s="261">
        <v>123</v>
      </c>
      <c r="D3506" s="244" t="s">
        <v>12</v>
      </c>
      <c r="E3506" s="263">
        <v>68</v>
      </c>
      <c r="F3506" s="294" t="s">
        <v>126</v>
      </c>
      <c r="G3506" s="294" t="s">
        <v>311</v>
      </c>
      <c r="H3506" s="298">
        <v>1</v>
      </c>
      <c r="M3506" s="274"/>
    </row>
    <row r="3507" spans="2:13" ht="15" customHeight="1" x14ac:dyDescent="0.25">
      <c r="B3507" s="289">
        <v>3716</v>
      </c>
      <c r="C3507" s="261">
        <v>123</v>
      </c>
      <c r="D3507" s="244" t="s">
        <v>12</v>
      </c>
      <c r="E3507" s="263">
        <v>2</v>
      </c>
      <c r="F3507" s="294" t="s">
        <v>126</v>
      </c>
      <c r="G3507" s="294" t="s">
        <v>233</v>
      </c>
      <c r="H3507" s="298">
        <v>1</v>
      </c>
      <c r="M3507" s="274"/>
    </row>
    <row r="3508" spans="2:13" ht="15" customHeight="1" x14ac:dyDescent="0.25">
      <c r="B3508" s="289">
        <v>3719</v>
      </c>
      <c r="C3508" s="261">
        <v>123</v>
      </c>
      <c r="D3508" s="244" t="s">
        <v>12</v>
      </c>
      <c r="E3508" s="263">
        <v>98</v>
      </c>
      <c r="F3508" s="294" t="s">
        <v>126</v>
      </c>
      <c r="G3508" s="294" t="s">
        <v>312</v>
      </c>
      <c r="H3508" s="298">
        <v>1</v>
      </c>
      <c r="M3508" s="274"/>
    </row>
    <row r="3509" spans="2:13" ht="15" customHeight="1" x14ac:dyDescent="0.25">
      <c r="B3509" s="289">
        <v>3720</v>
      </c>
      <c r="C3509" s="261">
        <v>123</v>
      </c>
      <c r="D3509" s="244" t="s">
        <v>12</v>
      </c>
      <c r="E3509" s="263">
        <v>102</v>
      </c>
      <c r="F3509" s="294" t="s">
        <v>126</v>
      </c>
      <c r="G3509" s="294" t="s">
        <v>313</v>
      </c>
      <c r="H3509" s="298">
        <v>1</v>
      </c>
      <c r="M3509" s="274"/>
    </row>
    <row r="3510" spans="2:13" ht="15" customHeight="1" x14ac:dyDescent="0.25">
      <c r="B3510" s="289">
        <v>3721</v>
      </c>
      <c r="C3510" s="261">
        <v>123</v>
      </c>
      <c r="D3510" s="244" t="s">
        <v>11</v>
      </c>
      <c r="E3510" s="263">
        <v>13</v>
      </c>
      <c r="F3510" s="294" t="s">
        <v>435</v>
      </c>
      <c r="G3510" s="294" t="s">
        <v>126</v>
      </c>
      <c r="H3510" s="298">
        <v>1</v>
      </c>
      <c r="M3510" s="274"/>
    </row>
    <row r="3511" spans="2:13" ht="15" customHeight="1" x14ac:dyDescent="0.25">
      <c r="B3511" s="289">
        <v>3722</v>
      </c>
      <c r="C3511" s="261">
        <v>123</v>
      </c>
      <c r="D3511" s="244" t="s">
        <v>11</v>
      </c>
      <c r="E3511" s="263">
        <v>9</v>
      </c>
      <c r="F3511" s="294" t="s">
        <v>436</v>
      </c>
      <c r="G3511" s="294" t="s">
        <v>126</v>
      </c>
      <c r="H3511" s="298">
        <v>1</v>
      </c>
      <c r="M3511" s="274"/>
    </row>
    <row r="3512" spans="2:13" ht="15" customHeight="1" x14ac:dyDescent="0.25">
      <c r="B3512" s="289">
        <v>3723</v>
      </c>
      <c r="C3512" s="261">
        <v>123</v>
      </c>
      <c r="D3512" s="244" t="s">
        <v>11</v>
      </c>
      <c r="E3512" s="263">
        <v>2</v>
      </c>
      <c r="F3512" s="294" t="s">
        <v>420</v>
      </c>
      <c r="G3512" s="294" t="s">
        <v>126</v>
      </c>
      <c r="H3512" s="298">
        <v>1</v>
      </c>
      <c r="M3512" s="274"/>
    </row>
    <row r="3513" spans="2:13" ht="15" customHeight="1" x14ac:dyDescent="0.25">
      <c r="B3513" s="289">
        <v>3724</v>
      </c>
      <c r="C3513" s="261">
        <v>123</v>
      </c>
      <c r="D3513" s="244" t="s">
        <v>12</v>
      </c>
      <c r="E3513" s="263">
        <v>1</v>
      </c>
      <c r="F3513" s="294" t="s">
        <v>126</v>
      </c>
      <c r="G3513" s="294" t="s">
        <v>437</v>
      </c>
      <c r="H3513" s="298">
        <v>1</v>
      </c>
      <c r="M3513" s="274"/>
    </row>
    <row r="3514" spans="2:13" ht="15" customHeight="1" x14ac:dyDescent="0.25">
      <c r="B3514" s="289">
        <v>3725</v>
      </c>
      <c r="C3514" s="261">
        <v>123</v>
      </c>
      <c r="D3514" s="244" t="s">
        <v>12</v>
      </c>
      <c r="E3514" s="263">
        <v>73</v>
      </c>
      <c r="F3514" s="294" t="s">
        <v>126</v>
      </c>
      <c r="G3514" s="294" t="s">
        <v>314</v>
      </c>
      <c r="H3514" s="298">
        <v>1</v>
      </c>
      <c r="M3514" s="274"/>
    </row>
    <row r="3515" spans="2:13" ht="15" customHeight="1" x14ac:dyDescent="0.25">
      <c r="B3515" s="289">
        <v>3726</v>
      </c>
      <c r="C3515" s="261">
        <v>123</v>
      </c>
      <c r="D3515" s="244" t="s">
        <v>12</v>
      </c>
      <c r="E3515" s="263">
        <v>4</v>
      </c>
      <c r="F3515" s="294" t="s">
        <v>126</v>
      </c>
      <c r="G3515" s="294" t="s">
        <v>315</v>
      </c>
      <c r="H3515" s="298">
        <v>1</v>
      </c>
      <c r="M3515" s="274"/>
    </row>
    <row r="3516" spans="2:13" ht="15" customHeight="1" x14ac:dyDescent="0.25">
      <c r="B3516" s="289">
        <v>3728</v>
      </c>
      <c r="C3516" s="261">
        <v>123</v>
      </c>
      <c r="D3516" s="244" t="s">
        <v>12</v>
      </c>
      <c r="E3516" s="263">
        <v>76</v>
      </c>
      <c r="F3516" s="294" t="s">
        <v>126</v>
      </c>
      <c r="G3516" s="294" t="s">
        <v>240</v>
      </c>
      <c r="H3516" s="298">
        <v>1</v>
      </c>
      <c r="M3516" s="274"/>
    </row>
    <row r="3517" spans="2:13" ht="15" customHeight="1" x14ac:dyDescent="0.25">
      <c r="B3517" s="289">
        <v>3729</v>
      </c>
      <c r="C3517" s="261">
        <v>123</v>
      </c>
      <c r="D3517" s="244" t="s">
        <v>12</v>
      </c>
      <c r="E3517" s="263">
        <v>92</v>
      </c>
      <c r="F3517" s="294" t="s">
        <v>126</v>
      </c>
      <c r="G3517" s="294" t="s">
        <v>316</v>
      </c>
      <c r="H3517" s="298">
        <v>1</v>
      </c>
      <c r="M3517" s="274"/>
    </row>
    <row r="3518" spans="2:13" ht="15" customHeight="1" x14ac:dyDescent="0.25">
      <c r="B3518" s="289">
        <v>3730</v>
      </c>
      <c r="C3518" s="261">
        <v>121</v>
      </c>
      <c r="D3518" s="244" t="s">
        <v>12</v>
      </c>
      <c r="E3518" s="263">
        <v>14</v>
      </c>
      <c r="F3518" s="294" t="s">
        <v>126</v>
      </c>
      <c r="G3518" s="294" t="s">
        <v>317</v>
      </c>
      <c r="H3518" s="298">
        <v>1</v>
      </c>
      <c r="M3518" s="274"/>
    </row>
    <row r="3519" spans="2:13" ht="15" customHeight="1" x14ac:dyDescent="0.25">
      <c r="B3519" s="289">
        <v>3732</v>
      </c>
      <c r="C3519" s="261">
        <v>123</v>
      </c>
      <c r="D3519" s="244" t="s">
        <v>12</v>
      </c>
      <c r="E3519" s="263">
        <v>63</v>
      </c>
      <c r="F3519" s="294" t="s">
        <v>126</v>
      </c>
      <c r="G3519" s="294" t="s">
        <v>318</v>
      </c>
      <c r="H3519" s="298">
        <v>1</v>
      </c>
      <c r="M3519" s="274"/>
    </row>
    <row r="3520" spans="2:13" ht="15" customHeight="1" x14ac:dyDescent="0.25">
      <c r="B3520" s="289">
        <v>3733</v>
      </c>
      <c r="C3520" s="261">
        <v>123</v>
      </c>
      <c r="D3520" s="244" t="s">
        <v>12</v>
      </c>
      <c r="E3520" s="263">
        <v>64</v>
      </c>
      <c r="F3520" s="294" t="s">
        <v>126</v>
      </c>
      <c r="G3520" s="294" t="s">
        <v>319</v>
      </c>
      <c r="H3520" s="298">
        <v>1</v>
      </c>
      <c r="M3520" s="274"/>
    </row>
    <row r="3521" spans="2:13" ht="15" customHeight="1" x14ac:dyDescent="0.25">
      <c r="B3521" s="289">
        <v>3734</v>
      </c>
      <c r="C3521" s="261">
        <v>122</v>
      </c>
      <c r="D3521" s="244" t="s">
        <v>11</v>
      </c>
      <c r="E3521" s="263">
        <v>3</v>
      </c>
      <c r="F3521" s="294" t="s">
        <v>438</v>
      </c>
      <c r="G3521" s="294" t="s">
        <v>126</v>
      </c>
      <c r="H3521" s="298">
        <v>1</v>
      </c>
      <c r="M3521" s="274"/>
    </row>
    <row r="3522" spans="2:13" ht="15" customHeight="1" x14ac:dyDescent="0.25">
      <c r="B3522" s="289">
        <v>3735</v>
      </c>
      <c r="C3522" s="261">
        <v>123</v>
      </c>
      <c r="D3522" s="244" t="s">
        <v>12</v>
      </c>
      <c r="E3522" s="263">
        <v>19</v>
      </c>
      <c r="F3522" s="294" t="s">
        <v>126</v>
      </c>
      <c r="G3522" s="294" t="s">
        <v>320</v>
      </c>
      <c r="H3522" s="298">
        <v>1</v>
      </c>
      <c r="M3522" s="274"/>
    </row>
    <row r="3523" spans="2:13" ht="15" customHeight="1" x14ac:dyDescent="0.25">
      <c r="B3523" s="289">
        <v>3735</v>
      </c>
      <c r="C3523" s="261">
        <v>141</v>
      </c>
      <c r="D3523" s="244" t="s">
        <v>11</v>
      </c>
      <c r="E3523" s="263">
        <v>2</v>
      </c>
      <c r="F3523" s="294" t="s">
        <v>214</v>
      </c>
      <c r="G3523" s="294" t="s">
        <v>126</v>
      </c>
      <c r="H3523" s="298">
        <v>1</v>
      </c>
      <c r="M3523" s="274"/>
    </row>
    <row r="3524" spans="2:13" ht="15" customHeight="1" x14ac:dyDescent="0.25">
      <c r="B3524" s="289">
        <v>3736</v>
      </c>
      <c r="C3524" s="261">
        <v>120</v>
      </c>
      <c r="D3524" s="244" t="s">
        <v>12</v>
      </c>
      <c r="E3524" s="263">
        <v>1</v>
      </c>
      <c r="F3524" s="294" t="s">
        <v>126</v>
      </c>
      <c r="G3524" s="294" t="s">
        <v>426</v>
      </c>
      <c r="H3524" s="298">
        <v>1</v>
      </c>
      <c r="M3524" s="274"/>
    </row>
    <row r="3525" spans="2:13" ht="15" customHeight="1" x14ac:dyDescent="0.25">
      <c r="B3525" s="289">
        <v>3737</v>
      </c>
      <c r="C3525" s="261">
        <v>120</v>
      </c>
      <c r="D3525" s="244" t="s">
        <v>12</v>
      </c>
      <c r="E3525" s="263">
        <v>1</v>
      </c>
      <c r="F3525" s="294" t="s">
        <v>126</v>
      </c>
      <c r="G3525" s="294" t="s">
        <v>426</v>
      </c>
      <c r="H3525" s="298">
        <v>1</v>
      </c>
      <c r="M3525" s="274"/>
    </row>
    <row r="3526" spans="2:13" ht="15" customHeight="1" x14ac:dyDescent="0.25">
      <c r="B3526" s="289">
        <v>3737</v>
      </c>
      <c r="C3526" s="261">
        <v>123</v>
      </c>
      <c r="D3526" s="244" t="s">
        <v>12</v>
      </c>
      <c r="E3526" s="263">
        <v>94</v>
      </c>
      <c r="F3526" s="294" t="s">
        <v>126</v>
      </c>
      <c r="G3526" s="294" t="s">
        <v>439</v>
      </c>
      <c r="H3526" s="298">
        <v>1</v>
      </c>
      <c r="M3526" s="274"/>
    </row>
    <row r="3527" spans="2:13" ht="15" customHeight="1" x14ac:dyDescent="0.25">
      <c r="B3527" s="289">
        <v>3738</v>
      </c>
      <c r="C3527" s="261">
        <v>120</v>
      </c>
      <c r="D3527" s="244" t="s">
        <v>12</v>
      </c>
      <c r="E3527" s="263">
        <v>1</v>
      </c>
      <c r="F3527" s="294" t="s">
        <v>126</v>
      </c>
      <c r="G3527" s="294" t="s">
        <v>426</v>
      </c>
      <c r="H3527" s="298">
        <v>1</v>
      </c>
      <c r="M3527" s="274"/>
    </row>
    <row r="3528" spans="2:13" ht="15" customHeight="1" x14ac:dyDescent="0.25">
      <c r="B3528" s="289">
        <v>3738</v>
      </c>
      <c r="C3528" s="261">
        <v>127</v>
      </c>
      <c r="D3528" s="244" t="s">
        <v>12</v>
      </c>
      <c r="E3528" s="263">
        <v>16</v>
      </c>
      <c r="F3528" s="294" t="s">
        <v>126</v>
      </c>
      <c r="G3528" s="294" t="s">
        <v>440</v>
      </c>
      <c r="H3528" s="298">
        <v>1</v>
      </c>
      <c r="M3528" s="274"/>
    </row>
    <row r="3529" spans="2:13" ht="15" customHeight="1" x14ac:dyDescent="0.25">
      <c r="B3529" s="289">
        <v>3739</v>
      </c>
      <c r="C3529" s="261">
        <v>123</v>
      </c>
      <c r="D3529" s="244" t="s">
        <v>11</v>
      </c>
      <c r="E3529" s="263">
        <v>9</v>
      </c>
      <c r="F3529" s="294" t="s">
        <v>436</v>
      </c>
      <c r="G3529" s="294" t="s">
        <v>126</v>
      </c>
      <c r="H3529" s="298">
        <v>1</v>
      </c>
      <c r="M3529" s="274"/>
    </row>
    <row r="3530" spans="2:13" ht="15" customHeight="1" x14ac:dyDescent="0.25">
      <c r="B3530" s="289">
        <v>3740</v>
      </c>
      <c r="C3530" s="261">
        <v>123</v>
      </c>
      <c r="D3530" s="244" t="s">
        <v>12</v>
      </c>
      <c r="E3530" s="263">
        <v>67</v>
      </c>
      <c r="F3530" s="294" t="s">
        <v>126</v>
      </c>
      <c r="G3530" s="294" t="s">
        <v>321</v>
      </c>
      <c r="H3530" s="298">
        <v>1</v>
      </c>
      <c r="M3530" s="274"/>
    </row>
    <row r="3531" spans="2:13" ht="15" customHeight="1" x14ac:dyDescent="0.25">
      <c r="B3531" s="289">
        <v>3741</v>
      </c>
      <c r="C3531" s="261">
        <v>123</v>
      </c>
      <c r="D3531" s="244" t="s">
        <v>12</v>
      </c>
      <c r="E3531" s="263">
        <v>71</v>
      </c>
      <c r="F3531" s="294" t="s">
        <v>126</v>
      </c>
      <c r="G3531" s="294" t="s">
        <v>322</v>
      </c>
      <c r="H3531" s="298">
        <v>1</v>
      </c>
      <c r="M3531" s="274"/>
    </row>
    <row r="3532" spans="2:13" ht="15" customHeight="1" x14ac:dyDescent="0.25">
      <c r="B3532" s="289">
        <v>3742</v>
      </c>
      <c r="C3532" s="261">
        <v>123</v>
      </c>
      <c r="D3532" s="244" t="s">
        <v>12</v>
      </c>
      <c r="E3532" s="263">
        <v>1</v>
      </c>
      <c r="F3532" s="294" t="s">
        <v>126</v>
      </c>
      <c r="G3532" s="294" t="s">
        <v>139</v>
      </c>
      <c r="H3532" s="298">
        <v>1</v>
      </c>
      <c r="M3532" s="274"/>
    </row>
    <row r="3533" spans="2:13" ht="15" customHeight="1" x14ac:dyDescent="0.25">
      <c r="B3533" s="289">
        <v>3743</v>
      </c>
      <c r="C3533" s="261">
        <v>120</v>
      </c>
      <c r="D3533" s="244" t="s">
        <v>12</v>
      </c>
      <c r="E3533" s="263">
        <v>1</v>
      </c>
      <c r="F3533" s="294" t="s">
        <v>126</v>
      </c>
      <c r="G3533" s="294" t="s">
        <v>139</v>
      </c>
      <c r="H3533" s="298">
        <v>1</v>
      </c>
      <c r="M3533" s="274"/>
    </row>
    <row r="3534" spans="2:13" ht="15" customHeight="1" x14ac:dyDescent="0.25">
      <c r="B3534" s="289">
        <v>3743</v>
      </c>
      <c r="C3534" s="261">
        <v>123</v>
      </c>
      <c r="D3534" s="244" t="s">
        <v>12</v>
      </c>
      <c r="E3534" s="263">
        <v>73</v>
      </c>
      <c r="F3534" s="294" t="s">
        <v>126</v>
      </c>
      <c r="G3534" s="294" t="s">
        <v>323</v>
      </c>
      <c r="H3534" s="298">
        <v>1</v>
      </c>
      <c r="M3534" s="274"/>
    </row>
    <row r="3535" spans="2:13" ht="15" customHeight="1" x14ac:dyDescent="0.25">
      <c r="B3535" s="289">
        <v>3744</v>
      </c>
      <c r="C3535" s="261">
        <v>120</v>
      </c>
      <c r="D3535" s="244" t="s">
        <v>11</v>
      </c>
      <c r="E3535" s="263">
        <v>11</v>
      </c>
      <c r="F3535" s="294" t="s">
        <v>324</v>
      </c>
      <c r="G3535" s="294" t="s">
        <v>126</v>
      </c>
      <c r="H3535" s="298">
        <v>1</v>
      </c>
      <c r="M3535" s="274"/>
    </row>
    <row r="3536" spans="2:13" ht="15" customHeight="1" x14ac:dyDescent="0.25">
      <c r="B3536" s="289">
        <v>3745</v>
      </c>
      <c r="C3536" s="261">
        <v>123</v>
      </c>
      <c r="D3536" s="244" t="s">
        <v>11</v>
      </c>
      <c r="E3536" s="263">
        <v>9</v>
      </c>
      <c r="F3536" s="294" t="s">
        <v>436</v>
      </c>
      <c r="G3536" s="294" t="s">
        <v>126</v>
      </c>
      <c r="H3536" s="298">
        <v>1</v>
      </c>
      <c r="M3536" s="274"/>
    </row>
    <row r="3537" spans="2:13" ht="15" customHeight="1" x14ac:dyDescent="0.25">
      <c r="B3537" s="289">
        <v>3746</v>
      </c>
      <c r="C3537" s="261">
        <v>123</v>
      </c>
      <c r="D3537" s="244" t="s">
        <v>12</v>
      </c>
      <c r="E3537" s="263">
        <v>2</v>
      </c>
      <c r="F3537" s="294" t="s">
        <v>126</v>
      </c>
      <c r="G3537" s="294" t="s">
        <v>441</v>
      </c>
      <c r="H3537" s="298">
        <v>1</v>
      </c>
      <c r="M3537" s="274"/>
    </row>
    <row r="3538" spans="2:13" ht="15" customHeight="1" x14ac:dyDescent="0.25">
      <c r="B3538" s="289">
        <v>3748</v>
      </c>
      <c r="C3538" s="261">
        <v>122</v>
      </c>
      <c r="D3538" s="244" t="s">
        <v>11</v>
      </c>
      <c r="E3538" s="263">
        <v>10</v>
      </c>
      <c r="F3538" s="294" t="s">
        <v>442</v>
      </c>
      <c r="G3538" s="294" t="s">
        <v>126</v>
      </c>
      <c r="H3538" s="298">
        <v>1</v>
      </c>
      <c r="M3538" s="274"/>
    </row>
    <row r="3539" spans="2:13" ht="15" customHeight="1" x14ac:dyDescent="0.25">
      <c r="B3539" s="289">
        <v>3749</v>
      </c>
      <c r="C3539" s="261">
        <v>119</v>
      </c>
      <c r="D3539" s="244" t="s">
        <v>11</v>
      </c>
      <c r="E3539" s="263">
        <v>14</v>
      </c>
      <c r="F3539" s="294" t="s">
        <v>443</v>
      </c>
      <c r="G3539" s="294" t="s">
        <v>126</v>
      </c>
      <c r="H3539" s="298">
        <v>1</v>
      </c>
      <c r="M3539" s="274"/>
    </row>
    <row r="3540" spans="2:13" ht="15" customHeight="1" x14ac:dyDescent="0.25">
      <c r="B3540" s="289">
        <v>3750</v>
      </c>
      <c r="C3540" s="261">
        <v>121</v>
      </c>
      <c r="D3540" s="244" t="s">
        <v>11</v>
      </c>
      <c r="E3540" s="263">
        <v>2</v>
      </c>
      <c r="F3540" s="294" t="s">
        <v>441</v>
      </c>
      <c r="G3540" s="294" t="s">
        <v>126</v>
      </c>
      <c r="H3540" s="298">
        <v>1</v>
      </c>
      <c r="M3540" s="274"/>
    </row>
    <row r="3541" spans="2:13" ht="15" customHeight="1" x14ac:dyDescent="0.25">
      <c r="B3541" s="289">
        <v>3751</v>
      </c>
      <c r="C3541" s="261">
        <v>122</v>
      </c>
      <c r="D3541" s="244" t="s">
        <v>11</v>
      </c>
      <c r="E3541" s="263">
        <v>1</v>
      </c>
      <c r="F3541" s="294" t="s">
        <v>426</v>
      </c>
      <c r="G3541" s="294" t="s">
        <v>126</v>
      </c>
      <c r="H3541" s="298">
        <v>1</v>
      </c>
      <c r="M3541" s="274"/>
    </row>
    <row r="3542" spans="2:13" ht="15" customHeight="1" x14ac:dyDescent="0.25">
      <c r="B3542" s="289">
        <v>3752</v>
      </c>
      <c r="C3542" s="261">
        <v>123</v>
      </c>
      <c r="D3542" s="244" t="s">
        <v>12</v>
      </c>
      <c r="E3542" s="263">
        <v>86</v>
      </c>
      <c r="F3542" s="294" t="s">
        <v>126</v>
      </c>
      <c r="G3542" s="294" t="s">
        <v>325</v>
      </c>
      <c r="H3542" s="298">
        <v>1</v>
      </c>
      <c r="M3542" s="274"/>
    </row>
    <row r="3543" spans="2:13" ht="15" customHeight="1" x14ac:dyDescent="0.25">
      <c r="B3543" s="289">
        <v>3754</v>
      </c>
      <c r="C3543" s="261">
        <v>127</v>
      </c>
      <c r="D3543" s="244" t="s">
        <v>12</v>
      </c>
      <c r="E3543" s="263">
        <v>3</v>
      </c>
      <c r="F3543" s="294" t="s">
        <v>126</v>
      </c>
      <c r="G3543" s="294" t="s">
        <v>253</v>
      </c>
      <c r="H3543" s="298">
        <v>1</v>
      </c>
      <c r="M3543" s="274"/>
    </row>
    <row r="3544" spans="2:13" ht="15" customHeight="1" x14ac:dyDescent="0.25">
      <c r="B3544" s="289">
        <v>3755</v>
      </c>
      <c r="C3544" s="261">
        <v>123</v>
      </c>
      <c r="D3544" s="244" t="s">
        <v>12</v>
      </c>
      <c r="E3544" s="263">
        <v>1</v>
      </c>
      <c r="F3544" s="294" t="s">
        <v>126</v>
      </c>
      <c r="G3544" s="294" t="s">
        <v>139</v>
      </c>
      <c r="H3544" s="298">
        <v>1</v>
      </c>
      <c r="M3544" s="274"/>
    </row>
    <row r="3545" spans="2:13" ht="15" customHeight="1" x14ac:dyDescent="0.25">
      <c r="B3545" s="289">
        <v>3757</v>
      </c>
      <c r="C3545" s="261">
        <v>123</v>
      </c>
      <c r="D3545" s="244" t="s">
        <v>12</v>
      </c>
      <c r="E3545" s="263">
        <v>2</v>
      </c>
      <c r="F3545" s="294" t="s">
        <v>126</v>
      </c>
      <c r="G3545" s="294" t="s">
        <v>441</v>
      </c>
      <c r="H3545" s="298">
        <v>1</v>
      </c>
      <c r="M3545" s="274"/>
    </row>
    <row r="3546" spans="2:13" ht="15" customHeight="1" x14ac:dyDescent="0.25">
      <c r="B3546" s="289">
        <v>3760</v>
      </c>
      <c r="C3546" s="261">
        <v>123</v>
      </c>
      <c r="D3546" s="244" t="s">
        <v>12</v>
      </c>
      <c r="E3546" s="263">
        <v>2</v>
      </c>
      <c r="F3546" s="294" t="s">
        <v>126</v>
      </c>
      <c r="G3546" s="294" t="s">
        <v>420</v>
      </c>
      <c r="H3546" s="298">
        <v>1</v>
      </c>
      <c r="M3546" s="274"/>
    </row>
    <row r="3547" spans="2:13" ht="15" customHeight="1" x14ac:dyDescent="0.25">
      <c r="B3547" s="289">
        <v>3761</v>
      </c>
      <c r="C3547" s="261">
        <v>123</v>
      </c>
      <c r="D3547" s="244" t="s">
        <v>12</v>
      </c>
      <c r="E3547" s="263">
        <v>7</v>
      </c>
      <c r="F3547" s="294" t="s">
        <v>126</v>
      </c>
      <c r="G3547" s="294" t="s">
        <v>444</v>
      </c>
      <c r="H3547" s="298">
        <v>1</v>
      </c>
      <c r="M3547" s="274"/>
    </row>
    <row r="3548" spans="2:13" ht="15" customHeight="1" x14ac:dyDescent="0.25">
      <c r="B3548" s="289">
        <v>3762</v>
      </c>
      <c r="C3548" s="261">
        <v>116</v>
      </c>
      <c r="D3548" s="244" t="s">
        <v>12</v>
      </c>
      <c r="E3548" s="263">
        <v>32</v>
      </c>
      <c r="F3548" s="294" t="s">
        <v>126</v>
      </c>
      <c r="G3548" s="294" t="s">
        <v>445</v>
      </c>
      <c r="H3548" s="298">
        <v>1</v>
      </c>
      <c r="M3548" s="274"/>
    </row>
    <row r="3549" spans="2:13" ht="15" customHeight="1" x14ac:dyDescent="0.25">
      <c r="B3549" s="289">
        <v>3763</v>
      </c>
      <c r="C3549" s="261">
        <v>116</v>
      </c>
      <c r="D3549" s="244" t="s">
        <v>12</v>
      </c>
      <c r="E3549" s="263">
        <v>32</v>
      </c>
      <c r="F3549" s="294" t="s">
        <v>126</v>
      </c>
      <c r="G3549" s="294" t="s">
        <v>445</v>
      </c>
      <c r="H3549" s="298">
        <v>1</v>
      </c>
      <c r="M3549" s="274"/>
    </row>
    <row r="3550" spans="2:13" ht="15" customHeight="1" x14ac:dyDescent="0.25">
      <c r="B3550" s="289">
        <v>3763</v>
      </c>
      <c r="C3550" s="261">
        <v>123</v>
      </c>
      <c r="D3550" s="244" t="s">
        <v>12</v>
      </c>
      <c r="E3550" s="263">
        <v>52</v>
      </c>
      <c r="F3550" s="294" t="s">
        <v>126</v>
      </c>
      <c r="G3550" s="294" t="s">
        <v>326</v>
      </c>
      <c r="H3550" s="298">
        <v>1</v>
      </c>
      <c r="M3550" s="274"/>
    </row>
    <row r="3551" spans="2:13" ht="15" customHeight="1" x14ac:dyDescent="0.25">
      <c r="B3551" s="289">
        <v>3765</v>
      </c>
      <c r="C3551" s="261">
        <v>123</v>
      </c>
      <c r="D3551" s="244" t="s">
        <v>12</v>
      </c>
      <c r="E3551" s="263">
        <v>3</v>
      </c>
      <c r="F3551" s="294" t="s">
        <v>126</v>
      </c>
      <c r="G3551" s="294" t="s">
        <v>446</v>
      </c>
      <c r="H3551" s="298">
        <v>1</v>
      </c>
      <c r="M3551" s="274"/>
    </row>
    <row r="3552" spans="2:13" ht="15" customHeight="1" x14ac:dyDescent="0.25">
      <c r="B3552" s="289">
        <v>3766</v>
      </c>
      <c r="C3552" s="261">
        <v>123</v>
      </c>
      <c r="D3552" s="244" t="s">
        <v>12</v>
      </c>
      <c r="E3552" s="263">
        <v>1</v>
      </c>
      <c r="F3552" s="294" t="s">
        <v>126</v>
      </c>
      <c r="G3552" s="294" t="s">
        <v>139</v>
      </c>
      <c r="H3552" s="298">
        <v>1</v>
      </c>
      <c r="M3552" s="274"/>
    </row>
    <row r="3553" spans="2:13" ht="15" customHeight="1" x14ac:dyDescent="0.25">
      <c r="B3553" s="289">
        <v>3767</v>
      </c>
      <c r="C3553" s="261">
        <v>123</v>
      </c>
      <c r="D3553" s="244" t="s">
        <v>12</v>
      </c>
      <c r="E3553" s="263">
        <v>98</v>
      </c>
      <c r="F3553" s="294" t="s">
        <v>126</v>
      </c>
      <c r="G3553" s="294" t="s">
        <v>327</v>
      </c>
      <c r="H3553" s="298">
        <v>1</v>
      </c>
      <c r="M3553" s="274"/>
    </row>
    <row r="3554" spans="2:13" ht="15" customHeight="1" x14ac:dyDescent="0.25">
      <c r="B3554" s="289">
        <v>3768</v>
      </c>
      <c r="C3554" s="261">
        <v>116</v>
      </c>
      <c r="D3554" s="244" t="s">
        <v>12</v>
      </c>
      <c r="E3554" s="263">
        <v>6</v>
      </c>
      <c r="F3554" s="294" t="s">
        <v>126</v>
      </c>
      <c r="G3554" s="294" t="s">
        <v>328</v>
      </c>
      <c r="H3554" s="298">
        <v>1</v>
      </c>
      <c r="M3554" s="274"/>
    </row>
    <row r="3555" spans="2:13" ht="15" customHeight="1" x14ac:dyDescent="0.25">
      <c r="B3555" s="289">
        <v>3768</v>
      </c>
      <c r="C3555" s="261">
        <v>123</v>
      </c>
      <c r="D3555" s="244" t="s">
        <v>12</v>
      </c>
      <c r="E3555" s="263">
        <v>83</v>
      </c>
      <c r="F3555" s="294" t="s">
        <v>126</v>
      </c>
      <c r="G3555" s="294" t="s">
        <v>329</v>
      </c>
      <c r="H3555" s="298">
        <v>1</v>
      </c>
      <c r="M3555" s="274"/>
    </row>
    <row r="3556" spans="2:13" ht="15" customHeight="1" x14ac:dyDescent="0.25">
      <c r="B3556" s="289">
        <v>3769</v>
      </c>
      <c r="C3556" s="261">
        <v>116</v>
      </c>
      <c r="D3556" s="244" t="s">
        <v>12</v>
      </c>
      <c r="E3556" s="263">
        <v>6</v>
      </c>
      <c r="F3556" s="294" t="s">
        <v>126</v>
      </c>
      <c r="G3556" s="294" t="s">
        <v>328</v>
      </c>
      <c r="H3556" s="298">
        <v>1</v>
      </c>
      <c r="M3556" s="274"/>
    </row>
    <row r="3557" spans="2:13" ht="15" customHeight="1" x14ac:dyDescent="0.25">
      <c r="B3557" s="289">
        <v>3769</v>
      </c>
      <c r="C3557" s="261">
        <v>123</v>
      </c>
      <c r="D3557" s="244" t="s">
        <v>12</v>
      </c>
      <c r="E3557" s="263">
        <v>83</v>
      </c>
      <c r="F3557" s="294" t="s">
        <v>126</v>
      </c>
      <c r="G3557" s="294" t="s">
        <v>330</v>
      </c>
      <c r="H3557" s="298">
        <v>1</v>
      </c>
      <c r="M3557" s="274"/>
    </row>
    <row r="3558" spans="2:13" ht="15" customHeight="1" x14ac:dyDescent="0.25">
      <c r="B3558" s="289">
        <v>3770</v>
      </c>
      <c r="C3558" s="261">
        <v>120</v>
      </c>
      <c r="D3558" s="244" t="s">
        <v>11</v>
      </c>
      <c r="E3558" s="263">
        <v>2</v>
      </c>
      <c r="F3558" s="294" t="s">
        <v>214</v>
      </c>
      <c r="G3558" s="294" t="s">
        <v>126</v>
      </c>
      <c r="H3558" s="298">
        <v>1</v>
      </c>
      <c r="M3558" s="274"/>
    </row>
    <row r="3559" spans="2:13" ht="15" customHeight="1" x14ac:dyDescent="0.25">
      <c r="B3559" s="289">
        <v>3771</v>
      </c>
      <c r="C3559" s="261">
        <v>123</v>
      </c>
      <c r="D3559" s="244" t="s">
        <v>12</v>
      </c>
      <c r="E3559" s="263">
        <v>38</v>
      </c>
      <c r="F3559" s="294" t="s">
        <v>126</v>
      </c>
      <c r="G3559" s="294" t="s">
        <v>447</v>
      </c>
      <c r="H3559" s="298">
        <v>1</v>
      </c>
      <c r="M3559" s="274"/>
    </row>
    <row r="3560" spans="2:13" ht="15" customHeight="1" x14ac:dyDescent="0.25">
      <c r="B3560" s="289">
        <v>3772</v>
      </c>
      <c r="C3560" s="261">
        <v>123</v>
      </c>
      <c r="D3560" s="244" t="s">
        <v>12</v>
      </c>
      <c r="E3560" s="263">
        <v>68</v>
      </c>
      <c r="F3560" s="294" t="s">
        <v>126</v>
      </c>
      <c r="G3560" s="294" t="s">
        <v>448</v>
      </c>
      <c r="H3560" s="298">
        <v>1</v>
      </c>
      <c r="M3560" s="274"/>
    </row>
    <row r="3561" spans="2:13" ht="15" customHeight="1" x14ac:dyDescent="0.25">
      <c r="B3561" s="289">
        <v>3774</v>
      </c>
      <c r="C3561" s="261">
        <v>123</v>
      </c>
      <c r="D3561" s="244" t="s">
        <v>12</v>
      </c>
      <c r="E3561" s="263">
        <v>45</v>
      </c>
      <c r="F3561" s="294" t="s">
        <v>126</v>
      </c>
      <c r="G3561" s="294" t="s">
        <v>331</v>
      </c>
      <c r="H3561" s="298">
        <v>1</v>
      </c>
      <c r="M3561" s="274"/>
    </row>
    <row r="3562" spans="2:13" ht="15" customHeight="1" x14ac:dyDescent="0.25">
      <c r="B3562" s="289">
        <v>3774</v>
      </c>
      <c r="C3562" s="261">
        <v>130</v>
      </c>
      <c r="D3562" s="244" t="s">
        <v>12</v>
      </c>
      <c r="E3562" s="263">
        <v>5</v>
      </c>
      <c r="F3562" s="294" t="s">
        <v>126</v>
      </c>
      <c r="G3562" s="294" t="s">
        <v>275</v>
      </c>
      <c r="H3562" s="298">
        <v>1</v>
      </c>
      <c r="M3562" s="274"/>
    </row>
    <row r="3563" spans="2:13" ht="15" customHeight="1" x14ac:dyDescent="0.25">
      <c r="B3563" s="289">
        <v>3774</v>
      </c>
      <c r="C3563" s="261">
        <v>138</v>
      </c>
      <c r="D3563" s="244" t="s">
        <v>12</v>
      </c>
      <c r="E3563" s="263">
        <v>11</v>
      </c>
      <c r="F3563" s="294" t="s">
        <v>126</v>
      </c>
      <c r="G3563" s="294" t="s">
        <v>449</v>
      </c>
      <c r="H3563" s="298">
        <v>1</v>
      </c>
      <c r="M3563" s="274"/>
    </row>
    <row r="3564" spans="2:13" ht="15" customHeight="1" x14ac:dyDescent="0.25">
      <c r="B3564" s="289">
        <v>3775</v>
      </c>
      <c r="C3564" s="261">
        <v>117</v>
      </c>
      <c r="D3564" s="244" t="s">
        <v>11</v>
      </c>
      <c r="E3564" s="263">
        <v>28</v>
      </c>
      <c r="F3564" s="294" t="s">
        <v>450</v>
      </c>
      <c r="G3564" s="294" t="s">
        <v>126</v>
      </c>
      <c r="H3564" s="298">
        <v>1</v>
      </c>
      <c r="M3564" s="274"/>
    </row>
    <row r="3565" spans="2:13" ht="15" customHeight="1" x14ac:dyDescent="0.25">
      <c r="B3565" s="289">
        <v>3776</v>
      </c>
      <c r="C3565" s="261">
        <v>123</v>
      </c>
      <c r="D3565" s="244" t="s">
        <v>12</v>
      </c>
      <c r="E3565" s="263">
        <v>97</v>
      </c>
      <c r="F3565" s="294" t="s">
        <v>126</v>
      </c>
      <c r="G3565" s="294" t="s">
        <v>332</v>
      </c>
      <c r="H3565" s="298">
        <v>1</v>
      </c>
      <c r="M3565" s="274"/>
    </row>
    <row r="3566" spans="2:13" ht="15" customHeight="1" x14ac:dyDescent="0.25">
      <c r="B3566" s="289">
        <v>3779</v>
      </c>
      <c r="C3566" s="261">
        <v>116</v>
      </c>
      <c r="D3566" s="244" t="s">
        <v>11</v>
      </c>
      <c r="E3566" s="263">
        <v>12</v>
      </c>
      <c r="F3566" s="294" t="s">
        <v>451</v>
      </c>
      <c r="G3566" s="294" t="s">
        <v>126</v>
      </c>
      <c r="H3566" s="298">
        <v>1</v>
      </c>
      <c r="M3566" s="274"/>
    </row>
    <row r="3567" spans="2:13" ht="15" customHeight="1" x14ac:dyDescent="0.25">
      <c r="B3567" s="289">
        <v>3780</v>
      </c>
      <c r="C3567" s="261">
        <v>118</v>
      </c>
      <c r="D3567" s="244" t="s">
        <v>12</v>
      </c>
      <c r="E3567" s="263">
        <v>14</v>
      </c>
      <c r="F3567" s="294" t="s">
        <v>126</v>
      </c>
      <c r="G3567" s="294" t="s">
        <v>333</v>
      </c>
      <c r="H3567" s="298">
        <v>1</v>
      </c>
      <c r="M3567" s="274"/>
    </row>
    <row r="3568" spans="2:13" ht="15" customHeight="1" x14ac:dyDescent="0.25">
      <c r="B3568" s="289">
        <v>3780</v>
      </c>
      <c r="C3568" s="261">
        <v>123</v>
      </c>
      <c r="D3568" s="244" t="s">
        <v>12</v>
      </c>
      <c r="E3568" s="263">
        <v>73</v>
      </c>
      <c r="F3568" s="294" t="s">
        <v>126</v>
      </c>
      <c r="G3568" s="294" t="s">
        <v>334</v>
      </c>
      <c r="H3568" s="298">
        <v>1</v>
      </c>
      <c r="M3568" s="274"/>
    </row>
    <row r="3569" spans="2:13" ht="15" customHeight="1" x14ac:dyDescent="0.25">
      <c r="B3569" s="289">
        <v>3781</v>
      </c>
      <c r="C3569" s="261">
        <v>118</v>
      </c>
      <c r="D3569" s="244" t="s">
        <v>12</v>
      </c>
      <c r="E3569" s="263">
        <v>14</v>
      </c>
      <c r="F3569" s="294" t="s">
        <v>126</v>
      </c>
      <c r="G3569" s="294" t="s">
        <v>333</v>
      </c>
      <c r="H3569" s="298">
        <v>1</v>
      </c>
      <c r="M3569" s="274"/>
    </row>
    <row r="3570" spans="2:13" ht="15" customHeight="1" x14ac:dyDescent="0.25">
      <c r="B3570" s="289">
        <v>3781</v>
      </c>
      <c r="C3570" s="261">
        <v>123</v>
      </c>
      <c r="D3570" s="244" t="s">
        <v>12</v>
      </c>
      <c r="E3570" s="263">
        <v>73</v>
      </c>
      <c r="F3570" s="294" t="s">
        <v>126</v>
      </c>
      <c r="G3570" s="294" t="s">
        <v>335</v>
      </c>
      <c r="H3570" s="298">
        <v>1</v>
      </c>
      <c r="M3570" s="274"/>
    </row>
    <row r="3571" spans="2:13" ht="15" customHeight="1" x14ac:dyDescent="0.25">
      <c r="B3571" s="289">
        <v>3782</v>
      </c>
      <c r="C3571" s="261">
        <v>118</v>
      </c>
      <c r="D3571" s="244" t="s">
        <v>12</v>
      </c>
      <c r="E3571" s="263">
        <v>14</v>
      </c>
      <c r="F3571" s="294" t="s">
        <v>126</v>
      </c>
      <c r="G3571" s="294" t="s">
        <v>333</v>
      </c>
      <c r="H3571" s="298">
        <v>1</v>
      </c>
      <c r="M3571" s="274"/>
    </row>
    <row r="3572" spans="2:13" ht="15" customHeight="1" x14ac:dyDescent="0.25">
      <c r="B3572" s="289">
        <v>3782</v>
      </c>
      <c r="C3572" s="261">
        <v>123</v>
      </c>
      <c r="D3572" s="244" t="s">
        <v>12</v>
      </c>
      <c r="E3572" s="263">
        <v>73</v>
      </c>
      <c r="F3572" s="294" t="s">
        <v>126</v>
      </c>
      <c r="G3572" s="294" t="s">
        <v>336</v>
      </c>
      <c r="H3572" s="298">
        <v>1</v>
      </c>
      <c r="M3572" s="274"/>
    </row>
    <row r="3573" spans="2:13" ht="15" customHeight="1" x14ac:dyDescent="0.25">
      <c r="B3573" s="289">
        <v>3783</v>
      </c>
      <c r="C3573" s="261">
        <v>118</v>
      </c>
      <c r="D3573" s="244" t="s">
        <v>12</v>
      </c>
      <c r="E3573" s="263">
        <v>14</v>
      </c>
      <c r="F3573" s="294" t="s">
        <v>126</v>
      </c>
      <c r="G3573" s="294" t="s">
        <v>333</v>
      </c>
      <c r="H3573" s="298">
        <v>1</v>
      </c>
      <c r="M3573" s="274"/>
    </row>
    <row r="3574" spans="2:13" ht="15" customHeight="1" x14ac:dyDescent="0.25">
      <c r="B3574" s="289">
        <v>3783</v>
      </c>
      <c r="C3574" s="261">
        <v>123</v>
      </c>
      <c r="D3574" s="244" t="s">
        <v>12</v>
      </c>
      <c r="E3574" s="263">
        <v>73</v>
      </c>
      <c r="F3574" s="294" t="s">
        <v>126</v>
      </c>
      <c r="G3574" s="294" t="s">
        <v>337</v>
      </c>
      <c r="H3574" s="298">
        <v>1</v>
      </c>
      <c r="M3574" s="274"/>
    </row>
    <row r="3575" spans="2:13" ht="15" customHeight="1" x14ac:dyDescent="0.25">
      <c r="B3575" s="289">
        <v>3784</v>
      </c>
      <c r="C3575" s="261">
        <v>121</v>
      </c>
      <c r="D3575" s="244" t="s">
        <v>11</v>
      </c>
      <c r="E3575" s="263">
        <v>2</v>
      </c>
      <c r="F3575" s="294" t="s">
        <v>441</v>
      </c>
      <c r="G3575" s="294" t="s">
        <v>126</v>
      </c>
      <c r="H3575" s="298">
        <v>1</v>
      </c>
      <c r="M3575" s="274"/>
    </row>
    <row r="3576" spans="2:13" ht="15" customHeight="1" x14ac:dyDescent="0.25">
      <c r="B3576" s="289">
        <v>3785</v>
      </c>
      <c r="C3576" s="261">
        <v>123</v>
      </c>
      <c r="D3576" s="244" t="s">
        <v>12</v>
      </c>
      <c r="E3576" s="263">
        <v>99</v>
      </c>
      <c r="F3576" s="294" t="s">
        <v>126</v>
      </c>
      <c r="G3576" s="294" t="s">
        <v>338</v>
      </c>
      <c r="H3576" s="298">
        <v>1</v>
      </c>
      <c r="M3576" s="274"/>
    </row>
    <row r="3577" spans="2:13" ht="15" customHeight="1" x14ac:dyDescent="0.25">
      <c r="B3577" s="289">
        <v>3786</v>
      </c>
      <c r="C3577" s="261">
        <v>115</v>
      </c>
      <c r="D3577" s="244" t="s">
        <v>12</v>
      </c>
      <c r="E3577" s="263">
        <v>1</v>
      </c>
      <c r="F3577" s="294" t="s">
        <v>126</v>
      </c>
      <c r="G3577" s="294" t="s">
        <v>139</v>
      </c>
      <c r="H3577" s="298">
        <v>1</v>
      </c>
      <c r="M3577" s="274"/>
    </row>
    <row r="3578" spans="2:13" ht="15" customHeight="1" x14ac:dyDescent="0.25">
      <c r="B3578" s="289">
        <v>3786</v>
      </c>
      <c r="C3578" s="261">
        <v>119</v>
      </c>
      <c r="D3578" s="244" t="s">
        <v>12</v>
      </c>
      <c r="E3578" s="263">
        <v>1</v>
      </c>
      <c r="F3578" s="294" t="s">
        <v>126</v>
      </c>
      <c r="G3578" s="294" t="s">
        <v>139</v>
      </c>
      <c r="H3578" s="298">
        <v>1</v>
      </c>
      <c r="M3578" s="274"/>
    </row>
    <row r="3579" spans="2:13" ht="15" customHeight="1" x14ac:dyDescent="0.25">
      <c r="B3579" s="289">
        <v>3786</v>
      </c>
      <c r="C3579" s="261">
        <v>123</v>
      </c>
      <c r="D3579" s="244" t="s">
        <v>12</v>
      </c>
      <c r="E3579" s="263">
        <v>78</v>
      </c>
      <c r="F3579" s="294" t="s">
        <v>126</v>
      </c>
      <c r="G3579" s="294" t="s">
        <v>452</v>
      </c>
      <c r="H3579" s="298">
        <v>1</v>
      </c>
      <c r="M3579" s="274"/>
    </row>
    <row r="3580" spans="2:13" ht="15" customHeight="1" x14ac:dyDescent="0.25">
      <c r="B3580" s="289">
        <v>3787</v>
      </c>
      <c r="C3580" s="261">
        <v>118</v>
      </c>
      <c r="D3580" s="244" t="s">
        <v>11</v>
      </c>
      <c r="E3580" s="263">
        <v>5</v>
      </c>
      <c r="F3580" s="294" t="s">
        <v>453</v>
      </c>
      <c r="G3580" s="294" t="s">
        <v>126</v>
      </c>
      <c r="H3580" s="298">
        <v>1</v>
      </c>
      <c r="M3580" s="274"/>
    </row>
    <row r="3581" spans="2:13" ht="15" customHeight="1" x14ac:dyDescent="0.25">
      <c r="B3581" s="289">
        <v>3788</v>
      </c>
      <c r="C3581" s="261">
        <v>122</v>
      </c>
      <c r="D3581" s="244" t="s">
        <v>11</v>
      </c>
      <c r="E3581" s="263">
        <v>1</v>
      </c>
      <c r="F3581" s="294" t="s">
        <v>426</v>
      </c>
      <c r="G3581" s="294" t="s">
        <v>126</v>
      </c>
      <c r="H3581" s="298">
        <v>1</v>
      </c>
      <c r="M3581" s="274"/>
    </row>
    <row r="3582" spans="2:13" ht="15" customHeight="1" x14ac:dyDescent="0.25">
      <c r="B3582" s="289">
        <v>3789</v>
      </c>
      <c r="C3582" s="261">
        <v>123</v>
      </c>
      <c r="D3582" s="244" t="s">
        <v>12</v>
      </c>
      <c r="E3582" s="263">
        <v>1</v>
      </c>
      <c r="F3582" s="294" t="s">
        <v>126</v>
      </c>
      <c r="G3582" s="294" t="s">
        <v>235</v>
      </c>
      <c r="H3582" s="298">
        <v>1</v>
      </c>
      <c r="M3582" s="274"/>
    </row>
    <row r="3583" spans="2:13" ht="15" customHeight="1" x14ac:dyDescent="0.25">
      <c r="B3583" s="289">
        <v>3790</v>
      </c>
      <c r="C3583" s="261">
        <v>123</v>
      </c>
      <c r="D3583" s="244" t="s">
        <v>12</v>
      </c>
      <c r="E3583" s="263">
        <v>2</v>
      </c>
      <c r="F3583" s="294" t="s">
        <v>126</v>
      </c>
      <c r="G3583" s="294" t="s">
        <v>454</v>
      </c>
      <c r="H3583" s="298">
        <v>1</v>
      </c>
      <c r="M3583" s="274"/>
    </row>
    <row r="3584" spans="2:13" ht="15" customHeight="1" x14ac:dyDescent="0.25">
      <c r="B3584" s="289">
        <v>3791</v>
      </c>
      <c r="C3584" s="261">
        <v>123</v>
      </c>
      <c r="D3584" s="244" t="s">
        <v>12</v>
      </c>
      <c r="E3584" s="263">
        <v>71</v>
      </c>
      <c r="F3584" s="294" t="s">
        <v>126</v>
      </c>
      <c r="G3584" s="294" t="s">
        <v>339</v>
      </c>
      <c r="H3584" s="298">
        <v>1</v>
      </c>
      <c r="M3584" s="274"/>
    </row>
    <row r="3585" spans="2:13" ht="15" customHeight="1" x14ac:dyDescent="0.25">
      <c r="B3585" s="289">
        <v>3793</v>
      </c>
      <c r="C3585" s="261">
        <v>123</v>
      </c>
      <c r="D3585" s="244" t="s">
        <v>12</v>
      </c>
      <c r="E3585" s="263">
        <v>62</v>
      </c>
      <c r="F3585" s="294" t="s">
        <v>126</v>
      </c>
      <c r="G3585" s="294" t="s">
        <v>455</v>
      </c>
      <c r="H3585" s="298">
        <v>1</v>
      </c>
      <c r="M3585" s="274"/>
    </row>
    <row r="3586" spans="2:13" ht="15" customHeight="1" x14ac:dyDescent="0.25">
      <c r="B3586" s="289">
        <v>3795</v>
      </c>
      <c r="C3586" s="261">
        <v>116</v>
      </c>
      <c r="D3586" s="244" t="s">
        <v>11</v>
      </c>
      <c r="E3586" s="263">
        <v>15</v>
      </c>
      <c r="F3586" s="294" t="s">
        <v>456</v>
      </c>
      <c r="G3586" s="294" t="s">
        <v>126</v>
      </c>
      <c r="H3586" s="298">
        <v>1</v>
      </c>
      <c r="M3586" s="274"/>
    </row>
    <row r="3587" spans="2:13" ht="15" customHeight="1" x14ac:dyDescent="0.25">
      <c r="B3587" s="289">
        <v>3796</v>
      </c>
      <c r="C3587" s="261">
        <v>116</v>
      </c>
      <c r="D3587" s="244" t="s">
        <v>11</v>
      </c>
      <c r="E3587" s="263">
        <v>4</v>
      </c>
      <c r="F3587" s="294" t="s">
        <v>457</v>
      </c>
      <c r="G3587" s="294" t="s">
        <v>126</v>
      </c>
      <c r="H3587" s="298">
        <v>1</v>
      </c>
      <c r="M3587" s="274"/>
    </row>
    <row r="3588" spans="2:13" ht="15" customHeight="1" x14ac:dyDescent="0.25">
      <c r="B3588" s="289">
        <v>3797</v>
      </c>
      <c r="C3588" s="261">
        <v>119</v>
      </c>
      <c r="D3588" s="244" t="s">
        <v>11</v>
      </c>
      <c r="E3588" s="263">
        <v>26</v>
      </c>
      <c r="F3588" s="294" t="s">
        <v>458</v>
      </c>
      <c r="G3588" s="294" t="s">
        <v>126</v>
      </c>
      <c r="H3588" s="298">
        <v>1</v>
      </c>
      <c r="M3588" s="274"/>
    </row>
    <row r="3589" spans="2:13" ht="15" customHeight="1" x14ac:dyDescent="0.25">
      <c r="B3589" s="289">
        <v>3798</v>
      </c>
      <c r="C3589" s="261">
        <v>121</v>
      </c>
      <c r="D3589" s="244" t="s">
        <v>11</v>
      </c>
      <c r="E3589" s="263">
        <v>2</v>
      </c>
      <c r="F3589" s="294" t="s">
        <v>441</v>
      </c>
      <c r="G3589" s="294" t="s">
        <v>126</v>
      </c>
      <c r="H3589" s="298">
        <v>1</v>
      </c>
      <c r="M3589" s="274"/>
    </row>
    <row r="3590" spans="2:13" ht="15" customHeight="1" x14ac:dyDescent="0.25">
      <c r="B3590" s="289">
        <v>3799</v>
      </c>
      <c r="C3590" s="261">
        <v>122</v>
      </c>
      <c r="D3590" s="244" t="s">
        <v>11</v>
      </c>
      <c r="E3590" s="263">
        <v>4</v>
      </c>
      <c r="F3590" s="294" t="s">
        <v>459</v>
      </c>
      <c r="G3590" s="294" t="s">
        <v>126</v>
      </c>
      <c r="H3590" s="298">
        <v>1</v>
      </c>
      <c r="M3590" s="274"/>
    </row>
    <row r="3591" spans="2:13" ht="15" customHeight="1" x14ac:dyDescent="0.25">
      <c r="B3591" s="289">
        <v>3800</v>
      </c>
      <c r="C3591" s="261">
        <v>123</v>
      </c>
      <c r="D3591" s="244" t="s">
        <v>11</v>
      </c>
      <c r="E3591" s="263">
        <v>13</v>
      </c>
      <c r="F3591" s="294" t="s">
        <v>435</v>
      </c>
      <c r="G3591" s="294" t="s">
        <v>126</v>
      </c>
      <c r="H3591" s="298">
        <v>1</v>
      </c>
      <c r="M3591" s="274"/>
    </row>
    <row r="3592" spans="2:13" ht="15" customHeight="1" x14ac:dyDescent="0.25">
      <c r="B3592" s="289">
        <v>3801</v>
      </c>
      <c r="C3592" s="261">
        <v>123</v>
      </c>
      <c r="D3592" s="244" t="s">
        <v>11</v>
      </c>
      <c r="E3592" s="263">
        <v>11</v>
      </c>
      <c r="F3592" s="294" t="s">
        <v>460</v>
      </c>
      <c r="G3592" s="294" t="s">
        <v>126</v>
      </c>
      <c r="H3592" s="298">
        <v>1</v>
      </c>
      <c r="M3592" s="274"/>
    </row>
    <row r="3593" spans="2:13" ht="15" customHeight="1" x14ac:dyDescent="0.25">
      <c r="B3593" s="289">
        <v>3804</v>
      </c>
      <c r="C3593" s="261">
        <v>114</v>
      </c>
      <c r="D3593" s="244" t="s">
        <v>12</v>
      </c>
      <c r="E3593" s="263">
        <v>39</v>
      </c>
      <c r="F3593" s="294" t="s">
        <v>126</v>
      </c>
      <c r="G3593" s="294" t="s">
        <v>461</v>
      </c>
      <c r="H3593" s="298">
        <v>1</v>
      </c>
      <c r="M3593" s="274"/>
    </row>
    <row r="3594" spans="2:13" ht="15" customHeight="1" x14ac:dyDescent="0.25">
      <c r="B3594" s="289">
        <v>3804</v>
      </c>
      <c r="C3594" s="261">
        <v>123</v>
      </c>
      <c r="D3594" s="244" t="s">
        <v>12</v>
      </c>
      <c r="E3594" s="263">
        <v>58</v>
      </c>
      <c r="F3594" s="294" t="s">
        <v>126</v>
      </c>
      <c r="G3594" s="294" t="s">
        <v>340</v>
      </c>
      <c r="H3594" s="298">
        <v>1</v>
      </c>
      <c r="M3594" s="274"/>
    </row>
    <row r="3595" spans="2:13" ht="15" customHeight="1" x14ac:dyDescent="0.25">
      <c r="B3595" s="289">
        <v>3805</v>
      </c>
      <c r="C3595" s="261">
        <v>115</v>
      </c>
      <c r="D3595" s="244" t="s">
        <v>11</v>
      </c>
      <c r="E3595" s="263">
        <v>4</v>
      </c>
      <c r="F3595" s="294" t="s">
        <v>462</v>
      </c>
      <c r="G3595" s="294" t="s">
        <v>126</v>
      </c>
      <c r="H3595" s="298">
        <v>1</v>
      </c>
      <c r="M3595" s="274"/>
    </row>
    <row r="3596" spans="2:13" ht="15" customHeight="1" x14ac:dyDescent="0.25">
      <c r="B3596" s="289">
        <v>3806</v>
      </c>
      <c r="C3596" s="261">
        <v>115</v>
      </c>
      <c r="D3596" s="244" t="s">
        <v>11</v>
      </c>
      <c r="E3596" s="263">
        <v>3</v>
      </c>
      <c r="F3596" s="294" t="s">
        <v>463</v>
      </c>
      <c r="G3596" s="294" t="s">
        <v>126</v>
      </c>
      <c r="H3596" s="298">
        <v>1</v>
      </c>
      <c r="M3596" s="274"/>
    </row>
    <row r="3597" spans="2:13" ht="15" customHeight="1" x14ac:dyDescent="0.25">
      <c r="B3597" s="289">
        <v>3807</v>
      </c>
      <c r="C3597" s="261">
        <v>115</v>
      </c>
      <c r="D3597" s="244" t="s">
        <v>11</v>
      </c>
      <c r="E3597" s="263">
        <v>2</v>
      </c>
      <c r="F3597" s="294" t="s">
        <v>214</v>
      </c>
      <c r="G3597" s="294" t="s">
        <v>126</v>
      </c>
      <c r="H3597" s="298">
        <v>1</v>
      </c>
      <c r="M3597" s="274"/>
    </row>
    <row r="3598" spans="2:13" ht="15" customHeight="1" x14ac:dyDescent="0.25">
      <c r="B3598" s="289">
        <v>3807</v>
      </c>
      <c r="C3598" s="261">
        <v>123</v>
      </c>
      <c r="D3598" s="244" t="s">
        <v>12</v>
      </c>
      <c r="E3598" s="263">
        <v>1</v>
      </c>
      <c r="F3598" s="294" t="s">
        <v>126</v>
      </c>
      <c r="G3598" s="294" t="s">
        <v>139</v>
      </c>
      <c r="H3598" s="298">
        <v>1</v>
      </c>
      <c r="M3598" s="274"/>
    </row>
    <row r="3599" spans="2:13" ht="15" customHeight="1" x14ac:dyDescent="0.25">
      <c r="B3599" s="289">
        <v>3808</v>
      </c>
      <c r="C3599" s="261">
        <v>120</v>
      </c>
      <c r="D3599" s="244" t="s">
        <v>12</v>
      </c>
      <c r="E3599" s="263">
        <v>2</v>
      </c>
      <c r="F3599" s="294" t="s">
        <v>126</v>
      </c>
      <c r="G3599" s="294" t="s">
        <v>341</v>
      </c>
      <c r="H3599" s="298">
        <v>1</v>
      </c>
      <c r="M3599" s="274"/>
    </row>
    <row r="3600" spans="2:13" ht="15" customHeight="1" x14ac:dyDescent="0.25">
      <c r="B3600" s="289">
        <v>3808</v>
      </c>
      <c r="C3600" s="261">
        <v>123</v>
      </c>
      <c r="D3600" s="244" t="s">
        <v>12</v>
      </c>
      <c r="E3600" s="263">
        <v>82</v>
      </c>
      <c r="F3600" s="294" t="s">
        <v>126</v>
      </c>
      <c r="G3600" s="294" t="s">
        <v>342</v>
      </c>
      <c r="H3600" s="298">
        <v>1</v>
      </c>
      <c r="M3600" s="274"/>
    </row>
    <row r="3601" spans="2:13" ht="15" customHeight="1" x14ac:dyDescent="0.25">
      <c r="B3601" s="289">
        <v>3809</v>
      </c>
      <c r="C3601" s="261">
        <v>120</v>
      </c>
      <c r="D3601" s="244" t="s">
        <v>12</v>
      </c>
      <c r="E3601" s="263">
        <v>2</v>
      </c>
      <c r="F3601" s="294" t="s">
        <v>126</v>
      </c>
      <c r="G3601" s="294" t="s">
        <v>341</v>
      </c>
      <c r="H3601" s="298">
        <v>1</v>
      </c>
      <c r="M3601" s="274"/>
    </row>
    <row r="3602" spans="2:13" ht="15" customHeight="1" x14ac:dyDescent="0.25">
      <c r="B3602" s="289">
        <v>3809</v>
      </c>
      <c r="C3602" s="261">
        <v>123</v>
      </c>
      <c r="D3602" s="244" t="s">
        <v>12</v>
      </c>
      <c r="E3602" s="263">
        <v>82</v>
      </c>
      <c r="F3602" s="294" t="s">
        <v>126</v>
      </c>
      <c r="G3602" s="294" t="s">
        <v>343</v>
      </c>
      <c r="H3602" s="298">
        <v>1</v>
      </c>
      <c r="M3602" s="274"/>
    </row>
    <row r="3603" spans="2:13" ht="15" customHeight="1" x14ac:dyDescent="0.25">
      <c r="B3603" s="289">
        <v>3810</v>
      </c>
      <c r="C3603" s="261">
        <v>123</v>
      </c>
      <c r="D3603" s="244" t="s">
        <v>11</v>
      </c>
      <c r="E3603" s="263">
        <v>6</v>
      </c>
      <c r="F3603" s="294" t="s">
        <v>464</v>
      </c>
      <c r="G3603" s="294" t="s">
        <v>126</v>
      </c>
      <c r="H3603" s="298">
        <v>1</v>
      </c>
      <c r="M3603" s="274"/>
    </row>
    <row r="3604" spans="2:13" ht="15" customHeight="1" x14ac:dyDescent="0.25">
      <c r="B3604" s="289">
        <v>3811</v>
      </c>
      <c r="C3604" s="261">
        <v>123</v>
      </c>
      <c r="D3604" s="244" t="s">
        <v>11</v>
      </c>
      <c r="E3604" s="263">
        <v>6</v>
      </c>
      <c r="F3604" s="294" t="s">
        <v>464</v>
      </c>
      <c r="G3604" s="294" t="s">
        <v>126</v>
      </c>
      <c r="H3604" s="298">
        <v>1</v>
      </c>
      <c r="M3604" s="274"/>
    </row>
    <row r="3605" spans="2:13" ht="15" customHeight="1" x14ac:dyDescent="0.25">
      <c r="B3605" s="289">
        <v>3812</v>
      </c>
      <c r="C3605" s="261">
        <v>123</v>
      </c>
      <c r="D3605" s="244" t="s">
        <v>12</v>
      </c>
      <c r="E3605" s="263">
        <v>1</v>
      </c>
      <c r="F3605" s="294" t="s">
        <v>126</v>
      </c>
      <c r="G3605" s="294" t="s">
        <v>235</v>
      </c>
      <c r="H3605" s="298">
        <v>1</v>
      </c>
      <c r="M3605" s="274"/>
    </row>
    <row r="3606" spans="2:13" ht="15" customHeight="1" x14ac:dyDescent="0.25">
      <c r="B3606" s="289">
        <v>3813</v>
      </c>
      <c r="C3606" s="261">
        <v>139</v>
      </c>
      <c r="D3606" s="244" t="s">
        <v>11</v>
      </c>
      <c r="E3606" s="263">
        <v>1</v>
      </c>
      <c r="F3606" s="294" t="s">
        <v>235</v>
      </c>
      <c r="G3606" s="294" t="s">
        <v>126</v>
      </c>
      <c r="H3606" s="298">
        <v>1</v>
      </c>
      <c r="M3606" s="274"/>
    </row>
    <row r="3607" spans="2:13" ht="15" customHeight="1" x14ac:dyDescent="0.25">
      <c r="B3607" s="289">
        <v>3815</v>
      </c>
      <c r="C3607" s="261">
        <v>123</v>
      </c>
      <c r="D3607" s="244" t="s">
        <v>12</v>
      </c>
      <c r="E3607" s="263">
        <v>2</v>
      </c>
      <c r="F3607" s="294" t="s">
        <v>126</v>
      </c>
      <c r="G3607" s="294" t="s">
        <v>420</v>
      </c>
      <c r="H3607" s="298">
        <v>1</v>
      </c>
      <c r="M3607" s="274"/>
    </row>
    <row r="3608" spans="2:13" ht="15" customHeight="1" x14ac:dyDescent="0.25">
      <c r="B3608" s="289">
        <v>3816</v>
      </c>
      <c r="C3608" s="261">
        <v>123</v>
      </c>
      <c r="D3608" s="244" t="s">
        <v>12</v>
      </c>
      <c r="E3608" s="263">
        <v>2</v>
      </c>
      <c r="F3608" s="294" t="s">
        <v>126</v>
      </c>
      <c r="G3608" s="294" t="s">
        <v>233</v>
      </c>
      <c r="H3608" s="298">
        <v>1</v>
      </c>
      <c r="M3608" s="274"/>
    </row>
    <row r="3609" spans="2:13" ht="15" customHeight="1" x14ac:dyDescent="0.25">
      <c r="B3609" s="289">
        <v>3817</v>
      </c>
      <c r="C3609" s="261">
        <v>114</v>
      </c>
      <c r="D3609" s="244" t="s">
        <v>12</v>
      </c>
      <c r="E3609" s="263">
        <v>45</v>
      </c>
      <c r="F3609" s="294" t="s">
        <v>126</v>
      </c>
      <c r="G3609" s="294" t="s">
        <v>465</v>
      </c>
      <c r="H3609" s="298">
        <v>1</v>
      </c>
      <c r="M3609" s="274"/>
    </row>
    <row r="3610" spans="2:13" ht="15" customHeight="1" x14ac:dyDescent="0.25">
      <c r="B3610" s="289">
        <v>3818</v>
      </c>
      <c r="C3610" s="261">
        <v>114</v>
      </c>
      <c r="D3610" s="244" t="s">
        <v>11</v>
      </c>
      <c r="E3610" s="263">
        <v>8</v>
      </c>
      <c r="F3610" s="294" t="s">
        <v>466</v>
      </c>
      <c r="G3610" s="294" t="s">
        <v>126</v>
      </c>
      <c r="H3610" s="298">
        <v>1</v>
      </c>
      <c r="M3610" s="274"/>
    </row>
    <row r="3611" spans="2:13" ht="15" customHeight="1" x14ac:dyDescent="0.25">
      <c r="B3611" s="289">
        <v>3819</v>
      </c>
      <c r="C3611" s="261">
        <v>115</v>
      </c>
      <c r="D3611" s="244" t="s">
        <v>11</v>
      </c>
      <c r="E3611" s="263">
        <v>16</v>
      </c>
      <c r="F3611" s="294" t="s">
        <v>467</v>
      </c>
      <c r="G3611" s="294" t="s">
        <v>126</v>
      </c>
      <c r="H3611" s="298">
        <v>1</v>
      </c>
      <c r="M3611" s="274"/>
    </row>
    <row r="3612" spans="2:13" ht="15" customHeight="1" x14ac:dyDescent="0.25">
      <c r="B3612" s="289">
        <v>3820</v>
      </c>
      <c r="C3612" s="261">
        <v>115</v>
      </c>
      <c r="D3612" s="244" t="s">
        <v>11</v>
      </c>
      <c r="E3612" s="263">
        <v>7</v>
      </c>
      <c r="F3612" s="294" t="s">
        <v>468</v>
      </c>
      <c r="G3612" s="294" t="s">
        <v>126</v>
      </c>
      <c r="H3612" s="298">
        <v>1</v>
      </c>
      <c r="M3612" s="274"/>
    </row>
    <row r="3613" spans="2:13" ht="15" customHeight="1" x14ac:dyDescent="0.25">
      <c r="B3613" s="289">
        <v>3821</v>
      </c>
      <c r="C3613" s="261">
        <v>116</v>
      </c>
      <c r="D3613" s="244" t="s">
        <v>11</v>
      </c>
      <c r="E3613" s="263">
        <v>18</v>
      </c>
      <c r="F3613" s="294" t="s">
        <v>469</v>
      </c>
      <c r="G3613" s="294" t="s">
        <v>126</v>
      </c>
      <c r="H3613" s="298">
        <v>1</v>
      </c>
      <c r="M3613" s="274"/>
    </row>
    <row r="3614" spans="2:13" ht="15" customHeight="1" x14ac:dyDescent="0.25">
      <c r="B3614" s="289">
        <v>3822</v>
      </c>
      <c r="C3614" s="261">
        <v>123</v>
      </c>
      <c r="D3614" s="244" t="s">
        <v>11</v>
      </c>
      <c r="E3614" s="263">
        <v>9</v>
      </c>
      <c r="F3614" s="294" t="s">
        <v>436</v>
      </c>
      <c r="G3614" s="294" t="s">
        <v>126</v>
      </c>
      <c r="H3614" s="298">
        <v>1</v>
      </c>
      <c r="M3614" s="274"/>
    </row>
    <row r="3615" spans="2:13" ht="15" customHeight="1" x14ac:dyDescent="0.25">
      <c r="B3615" s="289">
        <v>3823</v>
      </c>
      <c r="C3615" s="261">
        <v>123</v>
      </c>
      <c r="D3615" s="244" t="s">
        <v>12</v>
      </c>
      <c r="E3615" s="263">
        <v>6</v>
      </c>
      <c r="F3615" s="294" t="s">
        <v>126</v>
      </c>
      <c r="G3615" s="294" t="s">
        <v>470</v>
      </c>
      <c r="H3615" s="298">
        <v>1</v>
      </c>
      <c r="M3615" s="274"/>
    </row>
    <row r="3616" spans="2:13" ht="15" customHeight="1" x14ac:dyDescent="0.25">
      <c r="B3616" s="289">
        <v>3825</v>
      </c>
      <c r="C3616" s="261">
        <v>114</v>
      </c>
      <c r="D3616" s="244" t="s">
        <v>12</v>
      </c>
      <c r="E3616" s="263">
        <v>4</v>
      </c>
      <c r="F3616" s="294" t="s">
        <v>126</v>
      </c>
      <c r="G3616" s="294" t="s">
        <v>471</v>
      </c>
      <c r="H3616" s="298">
        <v>1</v>
      </c>
      <c r="M3616" s="274"/>
    </row>
    <row r="3617" spans="2:13" ht="15" customHeight="1" x14ac:dyDescent="0.25">
      <c r="B3617" s="289">
        <v>3825</v>
      </c>
      <c r="C3617" s="261">
        <v>123</v>
      </c>
      <c r="D3617" s="244" t="s">
        <v>12</v>
      </c>
      <c r="E3617" s="263">
        <v>67</v>
      </c>
      <c r="F3617" s="294" t="s">
        <v>126</v>
      </c>
      <c r="G3617" s="294" t="s">
        <v>344</v>
      </c>
      <c r="H3617" s="298">
        <v>1</v>
      </c>
      <c r="M3617" s="274"/>
    </row>
    <row r="3618" spans="2:13" ht="15" customHeight="1" x14ac:dyDescent="0.25">
      <c r="B3618" s="289">
        <v>3826</v>
      </c>
      <c r="C3618" s="261">
        <v>114</v>
      </c>
      <c r="D3618" s="244" t="s">
        <v>12</v>
      </c>
      <c r="E3618" s="263">
        <v>4</v>
      </c>
      <c r="F3618" s="294" t="s">
        <v>126</v>
      </c>
      <c r="G3618" s="294" t="s">
        <v>471</v>
      </c>
      <c r="H3618" s="298">
        <v>1</v>
      </c>
      <c r="M3618" s="274"/>
    </row>
    <row r="3619" spans="2:13" ht="15" customHeight="1" x14ac:dyDescent="0.25">
      <c r="B3619" s="289">
        <v>3826</v>
      </c>
      <c r="C3619" s="261">
        <v>123</v>
      </c>
      <c r="D3619" s="244" t="s">
        <v>12</v>
      </c>
      <c r="E3619" s="263">
        <v>67</v>
      </c>
      <c r="F3619" s="294" t="s">
        <v>126</v>
      </c>
      <c r="G3619" s="294" t="s">
        <v>472</v>
      </c>
      <c r="H3619" s="298">
        <v>1</v>
      </c>
      <c r="M3619" s="274"/>
    </row>
    <row r="3620" spans="2:13" ht="15" customHeight="1" x14ac:dyDescent="0.25">
      <c r="B3620" s="289">
        <v>3828</v>
      </c>
      <c r="C3620" s="261">
        <v>122</v>
      </c>
      <c r="D3620" s="244" t="s">
        <v>12</v>
      </c>
      <c r="E3620" s="263">
        <v>1</v>
      </c>
      <c r="F3620" s="294" t="s">
        <v>126</v>
      </c>
      <c r="G3620" s="294" t="s">
        <v>437</v>
      </c>
      <c r="H3620" s="298">
        <v>1</v>
      </c>
      <c r="M3620" s="274"/>
    </row>
    <row r="3621" spans="2:13" ht="15" customHeight="1" x14ac:dyDescent="0.25">
      <c r="B3621" s="289">
        <v>3829</v>
      </c>
      <c r="C3621" s="261">
        <v>116</v>
      </c>
      <c r="D3621" s="244" t="s">
        <v>11</v>
      </c>
      <c r="E3621" s="263">
        <v>11</v>
      </c>
      <c r="F3621" s="294" t="s">
        <v>473</v>
      </c>
      <c r="G3621" s="294" t="s">
        <v>126</v>
      </c>
      <c r="H3621" s="298">
        <v>1</v>
      </c>
      <c r="M3621" s="274"/>
    </row>
    <row r="3622" spans="2:13" ht="15" customHeight="1" x14ac:dyDescent="0.25">
      <c r="B3622" s="289">
        <v>3830</v>
      </c>
      <c r="C3622" s="261">
        <v>139</v>
      </c>
      <c r="D3622" s="244" t="s">
        <v>12</v>
      </c>
      <c r="E3622" s="263">
        <v>19</v>
      </c>
      <c r="F3622" s="294" t="s">
        <v>126</v>
      </c>
      <c r="G3622" s="294" t="s">
        <v>474</v>
      </c>
      <c r="H3622" s="298">
        <v>1</v>
      </c>
      <c r="M3622" s="274"/>
    </row>
    <row r="3623" spans="2:13" ht="15" customHeight="1" x14ac:dyDescent="0.25">
      <c r="B3623" s="289">
        <v>3833</v>
      </c>
      <c r="C3623" s="261">
        <v>123</v>
      </c>
      <c r="D3623" s="244" t="s">
        <v>12</v>
      </c>
      <c r="E3623" s="263">
        <v>1</v>
      </c>
      <c r="F3623" s="294" t="s">
        <v>126</v>
      </c>
      <c r="G3623" s="294" t="s">
        <v>426</v>
      </c>
      <c r="H3623" s="298">
        <v>1</v>
      </c>
      <c r="M3623" s="274"/>
    </row>
    <row r="3624" spans="2:13" ht="15" customHeight="1" x14ac:dyDescent="0.25">
      <c r="B3624" s="289">
        <v>3834</v>
      </c>
      <c r="C3624" s="261">
        <v>111</v>
      </c>
      <c r="D3624" s="244" t="s">
        <v>12</v>
      </c>
      <c r="E3624" s="263">
        <v>11</v>
      </c>
      <c r="F3624" s="294" t="s">
        <v>126</v>
      </c>
      <c r="G3624" s="294" t="s">
        <v>475</v>
      </c>
      <c r="H3624" s="298">
        <v>1</v>
      </c>
      <c r="M3624" s="274"/>
    </row>
    <row r="3625" spans="2:13" ht="15" customHeight="1" x14ac:dyDescent="0.25">
      <c r="B3625" s="289">
        <v>3834</v>
      </c>
      <c r="C3625" s="261">
        <v>123</v>
      </c>
      <c r="D3625" s="244" t="s">
        <v>12</v>
      </c>
      <c r="E3625" s="263">
        <v>88</v>
      </c>
      <c r="F3625" s="294" t="s">
        <v>126</v>
      </c>
      <c r="G3625" s="294" t="s">
        <v>345</v>
      </c>
      <c r="H3625" s="298">
        <v>1</v>
      </c>
      <c r="M3625" s="274"/>
    </row>
    <row r="3626" spans="2:13" ht="15" customHeight="1" x14ac:dyDescent="0.25">
      <c r="B3626" s="289">
        <v>3835</v>
      </c>
      <c r="C3626" s="261">
        <v>111</v>
      </c>
      <c r="D3626" s="244" t="s">
        <v>12</v>
      </c>
      <c r="E3626" s="263">
        <v>11</v>
      </c>
      <c r="F3626" s="294" t="s">
        <v>126</v>
      </c>
      <c r="G3626" s="294" t="s">
        <v>475</v>
      </c>
      <c r="H3626" s="298">
        <v>1</v>
      </c>
      <c r="M3626" s="274"/>
    </row>
    <row r="3627" spans="2:13" ht="15" customHeight="1" x14ac:dyDescent="0.25">
      <c r="B3627" s="289">
        <v>3835</v>
      </c>
      <c r="C3627" s="261">
        <v>123</v>
      </c>
      <c r="D3627" s="244" t="s">
        <v>12</v>
      </c>
      <c r="E3627" s="263">
        <v>88</v>
      </c>
      <c r="F3627" s="294" t="s">
        <v>126</v>
      </c>
      <c r="G3627" s="294" t="s">
        <v>346</v>
      </c>
      <c r="H3627" s="298">
        <v>1</v>
      </c>
      <c r="M3627" s="274"/>
    </row>
    <row r="3628" spans="2:13" ht="15" customHeight="1" x14ac:dyDescent="0.25">
      <c r="B3628" s="289">
        <v>3836</v>
      </c>
      <c r="C3628" s="261">
        <v>111</v>
      </c>
      <c r="D3628" s="244" t="s">
        <v>12</v>
      </c>
      <c r="E3628" s="263">
        <v>11</v>
      </c>
      <c r="F3628" s="294" t="s">
        <v>126</v>
      </c>
      <c r="G3628" s="294" t="s">
        <v>475</v>
      </c>
      <c r="H3628" s="298">
        <v>1</v>
      </c>
      <c r="M3628" s="274"/>
    </row>
    <row r="3629" spans="2:13" ht="15" customHeight="1" x14ac:dyDescent="0.25">
      <c r="B3629" s="289">
        <v>3836</v>
      </c>
      <c r="C3629" s="261">
        <v>123</v>
      </c>
      <c r="D3629" s="244" t="s">
        <v>12</v>
      </c>
      <c r="E3629" s="263">
        <v>88</v>
      </c>
      <c r="F3629" s="294" t="s">
        <v>126</v>
      </c>
      <c r="G3629" s="294" t="s">
        <v>347</v>
      </c>
      <c r="H3629" s="298">
        <v>1</v>
      </c>
      <c r="M3629" s="274"/>
    </row>
    <row r="3630" spans="2:13" ht="15" customHeight="1" x14ac:dyDescent="0.25">
      <c r="B3630" s="289">
        <v>3837</v>
      </c>
      <c r="C3630" s="261">
        <v>123</v>
      </c>
      <c r="D3630" s="244" t="s">
        <v>11</v>
      </c>
      <c r="E3630" s="263">
        <v>9</v>
      </c>
      <c r="F3630" s="294" t="s">
        <v>436</v>
      </c>
      <c r="G3630" s="294" t="s">
        <v>126</v>
      </c>
      <c r="H3630" s="298">
        <v>1</v>
      </c>
      <c r="M3630" s="274"/>
    </row>
    <row r="3631" spans="2:13" ht="15" customHeight="1" x14ac:dyDescent="0.25">
      <c r="B3631" s="289">
        <v>3838</v>
      </c>
      <c r="C3631" s="261">
        <v>123</v>
      </c>
      <c r="D3631" s="244" t="s">
        <v>11</v>
      </c>
      <c r="E3631" s="263">
        <v>14</v>
      </c>
      <c r="F3631" s="294" t="s">
        <v>476</v>
      </c>
      <c r="G3631" s="294" t="s">
        <v>126</v>
      </c>
      <c r="H3631" s="298">
        <v>1</v>
      </c>
      <c r="M3631" s="274"/>
    </row>
    <row r="3632" spans="2:13" ht="15" customHeight="1" x14ac:dyDescent="0.25">
      <c r="B3632" s="289">
        <v>3839</v>
      </c>
      <c r="C3632" s="261">
        <v>123</v>
      </c>
      <c r="D3632" s="244" t="s">
        <v>11</v>
      </c>
      <c r="E3632" s="263">
        <v>6</v>
      </c>
      <c r="F3632" s="294" t="s">
        <v>464</v>
      </c>
      <c r="G3632" s="294" t="s">
        <v>126</v>
      </c>
      <c r="H3632" s="298">
        <v>1</v>
      </c>
      <c r="M3632" s="274"/>
    </row>
    <row r="3633" spans="2:13" ht="15" customHeight="1" x14ac:dyDescent="0.25">
      <c r="B3633" s="289">
        <v>3840</v>
      </c>
      <c r="C3633" s="261">
        <v>123</v>
      </c>
      <c r="D3633" s="244" t="s">
        <v>11</v>
      </c>
      <c r="E3633" s="263">
        <v>1</v>
      </c>
      <c r="F3633" s="294" t="s">
        <v>139</v>
      </c>
      <c r="G3633" s="294" t="s">
        <v>126</v>
      </c>
      <c r="H3633" s="298">
        <v>1</v>
      </c>
      <c r="M3633" s="274"/>
    </row>
    <row r="3634" spans="2:13" ht="15" customHeight="1" x14ac:dyDescent="0.25">
      <c r="B3634" s="289">
        <v>3841</v>
      </c>
      <c r="C3634" s="261">
        <v>123</v>
      </c>
      <c r="D3634" s="244" t="s">
        <v>12</v>
      </c>
      <c r="E3634" s="263">
        <v>1</v>
      </c>
      <c r="F3634" s="294" t="s">
        <v>126</v>
      </c>
      <c r="G3634" s="294" t="s">
        <v>235</v>
      </c>
      <c r="H3634" s="298">
        <v>1</v>
      </c>
      <c r="M3634" s="274"/>
    </row>
    <row r="3635" spans="2:13" ht="15" customHeight="1" x14ac:dyDescent="0.25">
      <c r="B3635" s="289">
        <v>3843</v>
      </c>
      <c r="C3635" s="261">
        <v>111</v>
      </c>
      <c r="D3635" s="244" t="s">
        <v>11</v>
      </c>
      <c r="E3635" s="263">
        <v>11</v>
      </c>
      <c r="F3635" s="294" t="s">
        <v>477</v>
      </c>
      <c r="G3635" s="294" t="s">
        <v>126</v>
      </c>
      <c r="H3635" s="298">
        <v>1</v>
      </c>
      <c r="M3635" s="274"/>
    </row>
    <row r="3636" spans="2:13" ht="15" customHeight="1" x14ac:dyDescent="0.25">
      <c r="B3636" s="289">
        <v>3844</v>
      </c>
      <c r="C3636" s="261">
        <v>112</v>
      </c>
      <c r="D3636" s="244" t="s">
        <v>12</v>
      </c>
      <c r="E3636" s="263">
        <v>8</v>
      </c>
      <c r="F3636" s="294" t="s">
        <v>126</v>
      </c>
      <c r="G3636" s="294" t="s">
        <v>478</v>
      </c>
      <c r="H3636" s="298">
        <v>1</v>
      </c>
      <c r="M3636" s="274"/>
    </row>
    <row r="3637" spans="2:13" ht="15" customHeight="1" x14ac:dyDescent="0.25">
      <c r="B3637" s="289">
        <v>3844</v>
      </c>
      <c r="C3637" s="261">
        <v>120</v>
      </c>
      <c r="D3637" s="244" t="s">
        <v>12</v>
      </c>
      <c r="E3637" s="263">
        <v>2</v>
      </c>
      <c r="F3637" s="294" t="s">
        <v>126</v>
      </c>
      <c r="G3637" s="294" t="s">
        <v>341</v>
      </c>
      <c r="H3637" s="298">
        <v>1</v>
      </c>
      <c r="M3637" s="274"/>
    </row>
    <row r="3638" spans="2:13" ht="15" customHeight="1" x14ac:dyDescent="0.25">
      <c r="B3638" s="289">
        <v>3844</v>
      </c>
      <c r="C3638" s="261">
        <v>123</v>
      </c>
      <c r="D3638" s="244" t="s">
        <v>12</v>
      </c>
      <c r="E3638" s="263">
        <v>86</v>
      </c>
      <c r="F3638" s="294" t="s">
        <v>126</v>
      </c>
      <c r="G3638" s="294" t="s">
        <v>348</v>
      </c>
      <c r="H3638" s="298">
        <v>1</v>
      </c>
      <c r="M3638" s="274"/>
    </row>
    <row r="3639" spans="2:13" ht="15" customHeight="1" x14ac:dyDescent="0.25">
      <c r="B3639" s="289">
        <v>3845</v>
      </c>
      <c r="C3639" s="261">
        <v>112</v>
      </c>
      <c r="D3639" s="244" t="s">
        <v>12</v>
      </c>
      <c r="E3639" s="263">
        <v>8</v>
      </c>
      <c r="F3639" s="294" t="s">
        <v>126</v>
      </c>
      <c r="G3639" s="294" t="s">
        <v>478</v>
      </c>
      <c r="H3639" s="298">
        <v>1</v>
      </c>
      <c r="M3639" s="274"/>
    </row>
    <row r="3640" spans="2:13" ht="15" customHeight="1" x14ac:dyDescent="0.25">
      <c r="B3640" s="289">
        <v>3845</v>
      </c>
      <c r="C3640" s="261">
        <v>120</v>
      </c>
      <c r="D3640" s="244" t="s">
        <v>12</v>
      </c>
      <c r="E3640" s="263">
        <v>2</v>
      </c>
      <c r="F3640" s="294" t="s">
        <v>126</v>
      </c>
      <c r="G3640" s="294" t="s">
        <v>341</v>
      </c>
      <c r="H3640" s="298">
        <v>1</v>
      </c>
      <c r="M3640" s="274"/>
    </row>
    <row r="3641" spans="2:13" ht="15" customHeight="1" x14ac:dyDescent="0.25">
      <c r="B3641" s="289">
        <v>3845</v>
      </c>
      <c r="C3641" s="261">
        <v>123</v>
      </c>
      <c r="D3641" s="244" t="s">
        <v>12</v>
      </c>
      <c r="E3641" s="263">
        <v>86</v>
      </c>
      <c r="F3641" s="294" t="s">
        <v>126</v>
      </c>
      <c r="G3641" s="294" t="s">
        <v>349</v>
      </c>
      <c r="H3641" s="298">
        <v>1</v>
      </c>
      <c r="M3641" s="274"/>
    </row>
    <row r="3642" spans="2:13" ht="15" customHeight="1" x14ac:dyDescent="0.25">
      <c r="B3642" s="289">
        <v>3846</v>
      </c>
      <c r="C3642" s="261">
        <v>112</v>
      </c>
      <c r="D3642" s="244" t="s">
        <v>12</v>
      </c>
      <c r="E3642" s="263">
        <v>8</v>
      </c>
      <c r="F3642" s="294" t="s">
        <v>126</v>
      </c>
      <c r="G3642" s="294" t="s">
        <v>478</v>
      </c>
      <c r="H3642" s="298">
        <v>1</v>
      </c>
      <c r="M3642" s="274"/>
    </row>
    <row r="3643" spans="2:13" ht="15" customHeight="1" x14ac:dyDescent="0.25">
      <c r="B3643" s="289">
        <v>3846</v>
      </c>
      <c r="C3643" s="261">
        <v>120</v>
      </c>
      <c r="D3643" s="244" t="s">
        <v>12</v>
      </c>
      <c r="E3643" s="263">
        <v>2</v>
      </c>
      <c r="F3643" s="294" t="s">
        <v>126</v>
      </c>
      <c r="G3643" s="294" t="s">
        <v>341</v>
      </c>
      <c r="H3643" s="298">
        <v>1</v>
      </c>
      <c r="M3643" s="274"/>
    </row>
    <row r="3644" spans="2:13" ht="15" customHeight="1" x14ac:dyDescent="0.25">
      <c r="B3644" s="289">
        <v>3846</v>
      </c>
      <c r="C3644" s="261">
        <v>123</v>
      </c>
      <c r="D3644" s="244" t="s">
        <v>12</v>
      </c>
      <c r="E3644" s="263">
        <v>86</v>
      </c>
      <c r="F3644" s="294" t="s">
        <v>126</v>
      </c>
      <c r="G3644" s="294" t="s">
        <v>350</v>
      </c>
      <c r="H3644" s="298">
        <v>1</v>
      </c>
      <c r="M3644" s="274"/>
    </row>
    <row r="3645" spans="2:13" ht="15" customHeight="1" x14ac:dyDescent="0.25">
      <c r="B3645" s="289">
        <v>3847</v>
      </c>
      <c r="C3645" s="261">
        <v>114</v>
      </c>
      <c r="D3645" s="244" t="s">
        <v>11</v>
      </c>
      <c r="E3645" s="263">
        <v>9</v>
      </c>
      <c r="F3645" s="294" t="s">
        <v>479</v>
      </c>
      <c r="G3645" s="294" t="s">
        <v>126</v>
      </c>
      <c r="H3645" s="298">
        <v>1</v>
      </c>
      <c r="M3645" s="274"/>
    </row>
    <row r="3646" spans="2:13" ht="15" customHeight="1" x14ac:dyDescent="0.25">
      <c r="B3646" s="289">
        <v>3848</v>
      </c>
      <c r="C3646" s="261">
        <v>123</v>
      </c>
      <c r="D3646" s="244" t="s">
        <v>11</v>
      </c>
      <c r="E3646" s="263">
        <v>9</v>
      </c>
      <c r="F3646" s="294" t="s">
        <v>436</v>
      </c>
      <c r="G3646" s="294" t="s">
        <v>126</v>
      </c>
      <c r="H3646" s="298">
        <v>1</v>
      </c>
      <c r="M3646" s="274"/>
    </row>
    <row r="3647" spans="2:13" ht="15" customHeight="1" x14ac:dyDescent="0.25">
      <c r="B3647" s="289">
        <v>3849</v>
      </c>
      <c r="C3647" s="261">
        <v>123</v>
      </c>
      <c r="D3647" s="244" t="s">
        <v>12</v>
      </c>
      <c r="E3647" s="263">
        <v>1</v>
      </c>
      <c r="F3647" s="294" t="s">
        <v>126</v>
      </c>
      <c r="G3647" s="294" t="s">
        <v>139</v>
      </c>
      <c r="H3647" s="298">
        <v>1</v>
      </c>
      <c r="M3647" s="274"/>
    </row>
    <row r="3648" spans="2:13" ht="15" customHeight="1" x14ac:dyDescent="0.25">
      <c r="B3648" s="289">
        <v>3850</v>
      </c>
      <c r="C3648" s="261">
        <v>110</v>
      </c>
      <c r="D3648" s="244" t="s">
        <v>12</v>
      </c>
      <c r="E3648" s="263">
        <v>1</v>
      </c>
      <c r="F3648" s="294" t="s">
        <v>126</v>
      </c>
      <c r="G3648" s="294" t="s">
        <v>426</v>
      </c>
      <c r="H3648" s="298">
        <v>1</v>
      </c>
      <c r="M3648" s="274"/>
    </row>
    <row r="3649" spans="2:13" ht="15" customHeight="1" x14ac:dyDescent="0.25">
      <c r="B3649" s="289">
        <v>3850</v>
      </c>
      <c r="C3649" s="261">
        <v>123</v>
      </c>
      <c r="D3649" s="244" t="s">
        <v>12</v>
      </c>
      <c r="E3649" s="263">
        <v>99</v>
      </c>
      <c r="F3649" s="294" t="s">
        <v>126</v>
      </c>
      <c r="G3649" s="294" t="s">
        <v>480</v>
      </c>
      <c r="H3649" s="298">
        <v>1</v>
      </c>
      <c r="M3649" s="274"/>
    </row>
    <row r="3650" spans="2:13" ht="15" customHeight="1" x14ac:dyDescent="0.25">
      <c r="B3650" s="289">
        <v>3851</v>
      </c>
      <c r="C3650" s="261">
        <v>110</v>
      </c>
      <c r="D3650" s="244" t="s">
        <v>12</v>
      </c>
      <c r="E3650" s="263">
        <v>34</v>
      </c>
      <c r="F3650" s="294" t="s">
        <v>126</v>
      </c>
      <c r="G3650" s="294" t="s">
        <v>481</v>
      </c>
      <c r="H3650" s="298">
        <v>1</v>
      </c>
      <c r="M3650" s="274"/>
    </row>
    <row r="3651" spans="2:13" ht="15" customHeight="1" x14ac:dyDescent="0.25">
      <c r="B3651" s="289">
        <v>3851</v>
      </c>
      <c r="C3651" s="261">
        <v>123</v>
      </c>
      <c r="D3651" s="244" t="s">
        <v>12</v>
      </c>
      <c r="E3651" s="263">
        <v>30</v>
      </c>
      <c r="F3651" s="294" t="s">
        <v>126</v>
      </c>
      <c r="G3651" s="294" t="s">
        <v>351</v>
      </c>
      <c r="H3651" s="298">
        <v>1</v>
      </c>
      <c r="M3651" s="274"/>
    </row>
    <row r="3652" spans="2:13" ht="15" customHeight="1" x14ac:dyDescent="0.25">
      <c r="B3652" s="289">
        <v>3852</v>
      </c>
      <c r="C3652" s="261">
        <v>111</v>
      </c>
      <c r="D3652" s="244" t="s">
        <v>11</v>
      </c>
      <c r="E3652" s="263">
        <v>35</v>
      </c>
      <c r="F3652" s="294" t="s">
        <v>352</v>
      </c>
      <c r="G3652" s="294" t="s">
        <v>126</v>
      </c>
      <c r="H3652" s="298">
        <v>1</v>
      </c>
      <c r="M3652" s="274"/>
    </row>
    <row r="3653" spans="2:13" ht="15" customHeight="1" x14ac:dyDescent="0.25">
      <c r="B3653" s="289">
        <v>3853</v>
      </c>
      <c r="C3653" s="261">
        <v>111</v>
      </c>
      <c r="D3653" s="244" t="s">
        <v>11</v>
      </c>
      <c r="E3653" s="263">
        <v>11</v>
      </c>
      <c r="F3653" s="294" t="s">
        <v>477</v>
      </c>
      <c r="G3653" s="294" t="s">
        <v>126</v>
      </c>
      <c r="H3653" s="298">
        <v>1</v>
      </c>
      <c r="M3653" s="274"/>
    </row>
    <row r="3654" spans="2:13" ht="15" customHeight="1" x14ac:dyDescent="0.25">
      <c r="B3654" s="289">
        <v>3854</v>
      </c>
      <c r="C3654" s="261">
        <v>116</v>
      </c>
      <c r="D3654" s="244" t="s">
        <v>11</v>
      </c>
      <c r="E3654" s="263">
        <v>11</v>
      </c>
      <c r="F3654" s="294" t="s">
        <v>473</v>
      </c>
      <c r="G3654" s="294" t="s">
        <v>126</v>
      </c>
      <c r="H3654" s="298">
        <v>1</v>
      </c>
      <c r="M3654" s="274"/>
    </row>
    <row r="3655" spans="2:13" ht="15" customHeight="1" x14ac:dyDescent="0.25">
      <c r="B3655" s="289">
        <v>3855</v>
      </c>
      <c r="C3655" s="261">
        <v>118</v>
      </c>
      <c r="D3655" s="244" t="s">
        <v>11</v>
      </c>
      <c r="E3655" s="263">
        <v>5</v>
      </c>
      <c r="F3655" s="294" t="s">
        <v>453</v>
      </c>
      <c r="G3655" s="294" t="s">
        <v>126</v>
      </c>
      <c r="H3655" s="298">
        <v>1</v>
      </c>
      <c r="M3655" s="274"/>
    </row>
    <row r="3656" spans="2:13" ht="15" customHeight="1" x14ac:dyDescent="0.25">
      <c r="B3656" s="289">
        <v>3856</v>
      </c>
      <c r="C3656" s="261">
        <v>121</v>
      </c>
      <c r="D3656" s="244" t="s">
        <v>11</v>
      </c>
      <c r="E3656" s="263">
        <v>2</v>
      </c>
      <c r="F3656" s="294" t="s">
        <v>441</v>
      </c>
      <c r="G3656" s="294" t="s">
        <v>126</v>
      </c>
      <c r="H3656" s="298">
        <v>1</v>
      </c>
      <c r="M3656" s="274"/>
    </row>
    <row r="3657" spans="2:13" ht="15" customHeight="1" x14ac:dyDescent="0.25">
      <c r="B3657" s="289">
        <v>3857</v>
      </c>
      <c r="C3657" s="261">
        <v>123</v>
      </c>
      <c r="D3657" s="244" t="s">
        <v>12</v>
      </c>
      <c r="E3657" s="263">
        <v>1</v>
      </c>
      <c r="F3657" s="294" t="s">
        <v>126</v>
      </c>
      <c r="G3657" s="294" t="s">
        <v>437</v>
      </c>
      <c r="H3657" s="298">
        <v>1</v>
      </c>
      <c r="M3657" s="274"/>
    </row>
    <row r="3658" spans="2:13" ht="15" customHeight="1" x14ac:dyDescent="0.25">
      <c r="B3658" s="289">
        <v>3858</v>
      </c>
      <c r="C3658" s="261">
        <v>123</v>
      </c>
      <c r="D3658" s="244" t="s">
        <v>12</v>
      </c>
      <c r="E3658" s="263">
        <v>2</v>
      </c>
      <c r="F3658" s="294" t="s">
        <v>126</v>
      </c>
      <c r="G3658" s="294" t="s">
        <v>136</v>
      </c>
      <c r="H3658" s="298">
        <v>1</v>
      </c>
      <c r="M3658" s="274"/>
    </row>
    <row r="3659" spans="2:13" ht="15" customHeight="1" x14ac:dyDescent="0.25">
      <c r="B3659" s="289">
        <v>3859</v>
      </c>
      <c r="C3659" s="261">
        <v>123</v>
      </c>
      <c r="D3659" s="244" t="s">
        <v>12</v>
      </c>
      <c r="E3659" s="263">
        <v>78</v>
      </c>
      <c r="F3659" s="294" t="s">
        <v>126</v>
      </c>
      <c r="G3659" s="294" t="s">
        <v>482</v>
      </c>
      <c r="H3659" s="298">
        <v>1</v>
      </c>
      <c r="M3659" s="274"/>
    </row>
    <row r="3660" spans="2:13" ht="15" customHeight="1" x14ac:dyDescent="0.25">
      <c r="B3660" s="289">
        <v>3860</v>
      </c>
      <c r="C3660" s="261">
        <v>123</v>
      </c>
      <c r="D3660" s="244" t="s">
        <v>12</v>
      </c>
      <c r="E3660" s="263">
        <v>95</v>
      </c>
      <c r="F3660" s="294" t="s">
        <v>126</v>
      </c>
      <c r="G3660" s="294" t="s">
        <v>353</v>
      </c>
      <c r="H3660" s="298">
        <v>1</v>
      </c>
      <c r="M3660" s="274"/>
    </row>
    <row r="3661" spans="2:13" ht="15" customHeight="1" x14ac:dyDescent="0.25">
      <c r="B3661" s="289">
        <v>3861</v>
      </c>
      <c r="C3661" s="261">
        <v>123</v>
      </c>
      <c r="D3661" s="244" t="s">
        <v>12</v>
      </c>
      <c r="E3661" s="263">
        <v>95</v>
      </c>
      <c r="F3661" s="294" t="s">
        <v>126</v>
      </c>
      <c r="G3661" s="294" t="s">
        <v>354</v>
      </c>
      <c r="H3661" s="298">
        <v>1</v>
      </c>
      <c r="M3661" s="274"/>
    </row>
    <row r="3662" spans="2:13" ht="15" customHeight="1" x14ac:dyDescent="0.25">
      <c r="B3662" s="289">
        <v>3862</v>
      </c>
      <c r="C3662" s="261">
        <v>123</v>
      </c>
      <c r="D3662" s="244" t="s">
        <v>12</v>
      </c>
      <c r="E3662" s="263">
        <v>95</v>
      </c>
      <c r="F3662" s="294" t="s">
        <v>126</v>
      </c>
      <c r="G3662" s="294" t="s">
        <v>355</v>
      </c>
      <c r="H3662" s="298">
        <v>1</v>
      </c>
      <c r="M3662" s="274"/>
    </row>
    <row r="3663" spans="2:13" ht="15" customHeight="1" x14ac:dyDescent="0.25">
      <c r="B3663" s="289">
        <v>3863</v>
      </c>
      <c r="C3663" s="261">
        <v>123</v>
      </c>
      <c r="D3663" s="244" t="s">
        <v>12</v>
      </c>
      <c r="E3663" s="263">
        <v>2</v>
      </c>
      <c r="F3663" s="294" t="s">
        <v>126</v>
      </c>
      <c r="G3663" s="294" t="s">
        <v>233</v>
      </c>
      <c r="H3663" s="298">
        <v>1</v>
      </c>
      <c r="M3663" s="274"/>
    </row>
    <row r="3664" spans="2:13" ht="15" customHeight="1" x14ac:dyDescent="0.25">
      <c r="B3664" s="289">
        <v>3866</v>
      </c>
      <c r="C3664" s="261">
        <v>110</v>
      </c>
      <c r="D3664" s="244" t="s">
        <v>11</v>
      </c>
      <c r="E3664" s="263">
        <v>13</v>
      </c>
      <c r="F3664" s="294" t="s">
        <v>483</v>
      </c>
      <c r="G3664" s="294" t="s">
        <v>126</v>
      </c>
      <c r="H3664" s="298">
        <v>1</v>
      </c>
      <c r="M3664" s="274"/>
    </row>
    <row r="3665" spans="2:13" ht="15" customHeight="1" x14ac:dyDescent="0.25">
      <c r="B3665" s="289">
        <v>3867</v>
      </c>
      <c r="C3665" s="261">
        <v>110</v>
      </c>
      <c r="D3665" s="244" t="s">
        <v>11</v>
      </c>
      <c r="E3665" s="263">
        <v>11</v>
      </c>
      <c r="F3665" s="294" t="s">
        <v>484</v>
      </c>
      <c r="G3665" s="294" t="s">
        <v>126</v>
      </c>
      <c r="H3665" s="298">
        <v>1</v>
      </c>
      <c r="M3665" s="274"/>
    </row>
    <row r="3666" spans="2:13" ht="15" customHeight="1" x14ac:dyDescent="0.25">
      <c r="B3666" s="289">
        <v>3868</v>
      </c>
      <c r="C3666" s="261">
        <v>123</v>
      </c>
      <c r="D3666" s="244" t="s">
        <v>12</v>
      </c>
      <c r="E3666" s="263">
        <v>69</v>
      </c>
      <c r="F3666" s="294" t="s">
        <v>126</v>
      </c>
      <c r="G3666" s="294" t="s">
        <v>485</v>
      </c>
      <c r="H3666" s="298">
        <v>1</v>
      </c>
      <c r="M3666" s="274"/>
    </row>
    <row r="3667" spans="2:13" ht="15" customHeight="1" x14ac:dyDescent="0.25">
      <c r="B3667" s="289">
        <v>3869</v>
      </c>
      <c r="C3667" s="261">
        <v>123</v>
      </c>
      <c r="D3667" s="244" t="s">
        <v>12</v>
      </c>
      <c r="E3667" s="263">
        <v>1</v>
      </c>
      <c r="F3667" s="294" t="s">
        <v>126</v>
      </c>
      <c r="G3667" s="294" t="s">
        <v>235</v>
      </c>
      <c r="H3667" s="298">
        <v>1</v>
      </c>
      <c r="M3667" s="274"/>
    </row>
    <row r="3668" spans="2:13" ht="15" customHeight="1" x14ac:dyDescent="0.25">
      <c r="B3668" s="289">
        <v>3870</v>
      </c>
      <c r="C3668" s="261">
        <v>123</v>
      </c>
      <c r="D3668" s="244" t="s">
        <v>12</v>
      </c>
      <c r="E3668" s="263">
        <v>83</v>
      </c>
      <c r="F3668" s="294" t="s">
        <v>126</v>
      </c>
      <c r="G3668" s="294" t="s">
        <v>486</v>
      </c>
      <c r="H3668" s="298">
        <v>1</v>
      </c>
      <c r="M3668" s="274"/>
    </row>
    <row r="3669" spans="2:13" ht="15" customHeight="1" x14ac:dyDescent="0.25">
      <c r="B3669" s="289">
        <v>3871</v>
      </c>
      <c r="C3669" s="261">
        <v>111</v>
      </c>
      <c r="D3669" s="244" t="s">
        <v>11</v>
      </c>
      <c r="E3669" s="263">
        <v>21</v>
      </c>
      <c r="F3669" s="294" t="s">
        <v>487</v>
      </c>
      <c r="G3669" s="294" t="s">
        <v>126</v>
      </c>
      <c r="H3669" s="298">
        <v>1</v>
      </c>
      <c r="M3669" s="274"/>
    </row>
    <row r="3670" spans="2:13" ht="15" customHeight="1" x14ac:dyDescent="0.25">
      <c r="B3670" s="289">
        <v>3872</v>
      </c>
      <c r="C3670" s="261">
        <v>109</v>
      </c>
      <c r="D3670" s="244" t="s">
        <v>11</v>
      </c>
      <c r="E3670" s="263">
        <v>32</v>
      </c>
      <c r="F3670" s="294" t="s">
        <v>488</v>
      </c>
      <c r="G3670" s="294" t="s">
        <v>126</v>
      </c>
      <c r="H3670" s="298">
        <v>1</v>
      </c>
      <c r="M3670" s="274"/>
    </row>
    <row r="3671" spans="2:13" ht="15" customHeight="1" x14ac:dyDescent="0.25">
      <c r="B3671" s="289">
        <v>3873</v>
      </c>
      <c r="C3671" s="261">
        <v>118</v>
      </c>
      <c r="D3671" s="244" t="s">
        <v>11</v>
      </c>
      <c r="E3671" s="263">
        <v>5</v>
      </c>
      <c r="F3671" s="294" t="s">
        <v>453</v>
      </c>
      <c r="G3671" s="294" t="s">
        <v>126</v>
      </c>
      <c r="H3671" s="298">
        <v>1</v>
      </c>
      <c r="M3671" s="274"/>
    </row>
    <row r="3672" spans="2:13" ht="15" customHeight="1" x14ac:dyDescent="0.25">
      <c r="B3672" s="289">
        <v>3874</v>
      </c>
      <c r="C3672" s="261">
        <v>121</v>
      </c>
      <c r="D3672" s="244" t="s">
        <v>11</v>
      </c>
      <c r="E3672" s="263">
        <v>2</v>
      </c>
      <c r="F3672" s="294" t="s">
        <v>441</v>
      </c>
      <c r="G3672" s="294" t="s">
        <v>126</v>
      </c>
      <c r="H3672" s="298">
        <v>1</v>
      </c>
      <c r="M3672" s="274"/>
    </row>
    <row r="3673" spans="2:13" ht="15" customHeight="1" x14ac:dyDescent="0.25">
      <c r="B3673" s="289">
        <v>3875</v>
      </c>
      <c r="C3673" s="261">
        <v>123</v>
      </c>
      <c r="D3673" s="244" t="s">
        <v>12</v>
      </c>
      <c r="E3673" s="263">
        <v>46</v>
      </c>
      <c r="F3673" s="294" t="s">
        <v>126</v>
      </c>
      <c r="G3673" s="294" t="s">
        <v>489</v>
      </c>
      <c r="H3673" s="298">
        <v>1</v>
      </c>
      <c r="M3673" s="274"/>
    </row>
    <row r="3674" spans="2:13" ht="15" customHeight="1" x14ac:dyDescent="0.25">
      <c r="B3674" s="289">
        <v>3876</v>
      </c>
      <c r="C3674" s="261">
        <v>123</v>
      </c>
      <c r="D3674" s="244" t="s">
        <v>12</v>
      </c>
      <c r="E3674" s="263">
        <v>85</v>
      </c>
      <c r="F3674" s="294" t="s">
        <v>126</v>
      </c>
      <c r="G3674" s="294" t="s">
        <v>490</v>
      </c>
      <c r="H3674" s="298">
        <v>1</v>
      </c>
      <c r="M3674" s="274"/>
    </row>
    <row r="3675" spans="2:13" ht="15" customHeight="1" x14ac:dyDescent="0.25">
      <c r="B3675" s="289">
        <v>3877</v>
      </c>
      <c r="C3675" s="261">
        <v>123</v>
      </c>
      <c r="D3675" s="244" t="s">
        <v>12</v>
      </c>
      <c r="E3675" s="263">
        <v>85</v>
      </c>
      <c r="F3675" s="294" t="s">
        <v>126</v>
      </c>
      <c r="G3675" s="294" t="s">
        <v>356</v>
      </c>
      <c r="H3675" s="298">
        <v>1</v>
      </c>
      <c r="M3675" s="274"/>
    </row>
    <row r="3676" spans="2:13" ht="15" customHeight="1" x14ac:dyDescent="0.25">
      <c r="B3676" s="289">
        <v>3878</v>
      </c>
      <c r="C3676" s="261">
        <v>123</v>
      </c>
      <c r="D3676" s="244" t="s">
        <v>12</v>
      </c>
      <c r="E3676" s="263">
        <v>85</v>
      </c>
      <c r="F3676" s="294" t="s">
        <v>126</v>
      </c>
      <c r="G3676" s="294" t="s">
        <v>357</v>
      </c>
      <c r="H3676" s="298">
        <v>1</v>
      </c>
      <c r="M3676" s="274"/>
    </row>
    <row r="3677" spans="2:13" ht="15" customHeight="1" x14ac:dyDescent="0.25">
      <c r="B3677" s="289">
        <v>3879</v>
      </c>
      <c r="C3677" s="261">
        <v>123</v>
      </c>
      <c r="D3677" s="244" t="s">
        <v>12</v>
      </c>
      <c r="E3677" s="263">
        <v>74</v>
      </c>
      <c r="F3677" s="294" t="s">
        <v>126</v>
      </c>
      <c r="G3677" s="294" t="s">
        <v>491</v>
      </c>
      <c r="H3677" s="298">
        <v>1</v>
      </c>
      <c r="M3677" s="274"/>
    </row>
    <row r="3678" spans="2:13" ht="15" customHeight="1" x14ac:dyDescent="0.25">
      <c r="B3678" s="289">
        <v>3880</v>
      </c>
      <c r="C3678" s="261">
        <v>123</v>
      </c>
      <c r="D3678" s="244" t="s">
        <v>12</v>
      </c>
      <c r="E3678" s="263">
        <v>85</v>
      </c>
      <c r="F3678" s="294" t="s">
        <v>126</v>
      </c>
      <c r="G3678" s="294" t="s">
        <v>358</v>
      </c>
      <c r="H3678" s="298">
        <v>1</v>
      </c>
      <c r="M3678" s="274"/>
    </row>
    <row r="3679" spans="2:13" ht="15" customHeight="1" x14ac:dyDescent="0.25">
      <c r="B3679" s="289">
        <v>3882</v>
      </c>
      <c r="C3679" s="261">
        <v>123</v>
      </c>
      <c r="D3679" s="244" t="s">
        <v>12</v>
      </c>
      <c r="E3679" s="263">
        <v>2</v>
      </c>
      <c r="F3679" s="294" t="s">
        <v>126</v>
      </c>
      <c r="G3679" s="294" t="s">
        <v>441</v>
      </c>
      <c r="H3679" s="298">
        <v>1</v>
      </c>
      <c r="M3679" s="274"/>
    </row>
    <row r="3680" spans="2:13" ht="15" customHeight="1" x14ac:dyDescent="0.25">
      <c r="B3680" s="289">
        <v>3883</v>
      </c>
      <c r="C3680" s="261">
        <v>121</v>
      </c>
      <c r="D3680" s="244" t="s">
        <v>11</v>
      </c>
      <c r="E3680" s="263">
        <v>2</v>
      </c>
      <c r="F3680" s="294" t="s">
        <v>441</v>
      </c>
      <c r="G3680" s="294" t="s">
        <v>126</v>
      </c>
      <c r="H3680" s="298">
        <v>1</v>
      </c>
      <c r="M3680" s="274"/>
    </row>
    <row r="3681" spans="2:13" ht="15" customHeight="1" x14ac:dyDescent="0.25">
      <c r="B3681" s="289">
        <v>3884</v>
      </c>
      <c r="C3681" s="261">
        <v>121</v>
      </c>
      <c r="D3681" s="244" t="s">
        <v>11</v>
      </c>
      <c r="E3681" s="263">
        <v>2</v>
      </c>
      <c r="F3681" s="294" t="s">
        <v>441</v>
      </c>
      <c r="G3681" s="294" t="s">
        <v>126</v>
      </c>
      <c r="H3681" s="298">
        <v>1</v>
      </c>
      <c r="M3681" s="274"/>
    </row>
    <row r="3682" spans="2:13" ht="15" customHeight="1" x14ac:dyDescent="0.25">
      <c r="B3682" s="289">
        <v>3885</v>
      </c>
      <c r="C3682" s="261">
        <v>114</v>
      </c>
      <c r="D3682" s="244" t="s">
        <v>11</v>
      </c>
      <c r="E3682" s="263">
        <v>13</v>
      </c>
      <c r="F3682" s="294" t="s">
        <v>492</v>
      </c>
      <c r="G3682" s="294" t="s">
        <v>126</v>
      </c>
      <c r="H3682" s="298">
        <v>1</v>
      </c>
      <c r="M3682" s="274"/>
    </row>
    <row r="3683" spans="2:13" ht="15" customHeight="1" x14ac:dyDescent="0.25">
      <c r="B3683" s="289">
        <v>3886</v>
      </c>
      <c r="C3683" s="261">
        <v>122</v>
      </c>
      <c r="D3683" s="244" t="s">
        <v>11</v>
      </c>
      <c r="E3683" s="263">
        <v>1</v>
      </c>
      <c r="F3683" s="294" t="s">
        <v>426</v>
      </c>
      <c r="G3683" s="294" t="s">
        <v>126</v>
      </c>
      <c r="H3683" s="298">
        <v>1</v>
      </c>
      <c r="M3683" s="274"/>
    </row>
    <row r="3684" spans="2:13" ht="15" customHeight="1" x14ac:dyDescent="0.25">
      <c r="B3684" s="289">
        <v>3887</v>
      </c>
      <c r="C3684" s="261">
        <v>122</v>
      </c>
      <c r="D3684" s="244" t="s">
        <v>12</v>
      </c>
      <c r="E3684" s="263">
        <v>1</v>
      </c>
      <c r="F3684" s="294" t="s">
        <v>126</v>
      </c>
      <c r="G3684" s="294" t="s">
        <v>437</v>
      </c>
      <c r="H3684" s="298">
        <v>1</v>
      </c>
      <c r="M3684" s="274"/>
    </row>
    <row r="3685" spans="2:13" ht="15" customHeight="1" x14ac:dyDescent="0.25">
      <c r="B3685" s="289">
        <v>3888</v>
      </c>
      <c r="C3685" s="261">
        <v>123</v>
      </c>
      <c r="D3685" s="244" t="s">
        <v>11</v>
      </c>
      <c r="E3685" s="263">
        <v>2</v>
      </c>
      <c r="F3685" s="294" t="s">
        <v>420</v>
      </c>
      <c r="G3685" s="294" t="s">
        <v>126</v>
      </c>
      <c r="H3685" s="298">
        <v>1</v>
      </c>
      <c r="M3685" s="274"/>
    </row>
    <row r="3686" spans="2:13" ht="15" customHeight="1" x14ac:dyDescent="0.25">
      <c r="B3686" s="289">
        <v>3889</v>
      </c>
      <c r="C3686" s="261">
        <v>123</v>
      </c>
      <c r="D3686" s="244" t="s">
        <v>12</v>
      </c>
      <c r="E3686" s="263">
        <v>1</v>
      </c>
      <c r="F3686" s="294" t="s">
        <v>126</v>
      </c>
      <c r="G3686" s="294" t="s">
        <v>426</v>
      </c>
      <c r="H3686" s="298">
        <v>1</v>
      </c>
      <c r="M3686" s="274"/>
    </row>
    <row r="3687" spans="2:13" ht="15" customHeight="1" x14ac:dyDescent="0.25">
      <c r="B3687" s="289">
        <v>3891</v>
      </c>
      <c r="C3687" s="261">
        <v>123</v>
      </c>
      <c r="D3687" s="244" t="s">
        <v>12</v>
      </c>
      <c r="E3687" s="263">
        <v>2</v>
      </c>
      <c r="F3687" s="294" t="s">
        <v>126</v>
      </c>
      <c r="G3687" s="294" t="s">
        <v>233</v>
      </c>
      <c r="H3687" s="298">
        <v>1</v>
      </c>
      <c r="M3687" s="274"/>
    </row>
    <row r="3688" spans="2:13" ht="15" customHeight="1" x14ac:dyDescent="0.25">
      <c r="B3688" s="289">
        <v>3893</v>
      </c>
      <c r="C3688" s="261">
        <v>109</v>
      </c>
      <c r="D3688" s="244" t="s">
        <v>11</v>
      </c>
      <c r="E3688" s="263">
        <v>12</v>
      </c>
      <c r="F3688" s="294" t="s">
        <v>493</v>
      </c>
      <c r="G3688" s="294" t="s">
        <v>126</v>
      </c>
      <c r="H3688" s="298">
        <v>1</v>
      </c>
      <c r="M3688" s="274"/>
    </row>
    <row r="3689" spans="2:13" ht="15" customHeight="1" x14ac:dyDescent="0.25">
      <c r="B3689" s="289">
        <v>3895</v>
      </c>
      <c r="C3689" s="261">
        <v>113</v>
      </c>
      <c r="D3689" s="244" t="s">
        <v>11</v>
      </c>
      <c r="E3689" s="263">
        <v>30</v>
      </c>
      <c r="F3689" s="294" t="s">
        <v>494</v>
      </c>
      <c r="G3689" s="294" t="s">
        <v>126</v>
      </c>
      <c r="H3689" s="298">
        <v>1</v>
      </c>
      <c r="M3689" s="274"/>
    </row>
    <row r="3690" spans="2:13" ht="15" customHeight="1" x14ac:dyDescent="0.25">
      <c r="B3690" s="289">
        <v>3899</v>
      </c>
      <c r="C3690" s="261">
        <v>118</v>
      </c>
      <c r="D3690" s="244" t="s">
        <v>11</v>
      </c>
      <c r="E3690" s="263">
        <v>11</v>
      </c>
      <c r="F3690" s="294" t="s">
        <v>495</v>
      </c>
      <c r="G3690" s="294" t="s">
        <v>126</v>
      </c>
      <c r="H3690" s="298">
        <v>1</v>
      </c>
      <c r="M3690" s="274"/>
    </row>
    <row r="3691" spans="2:13" ht="15" customHeight="1" x14ac:dyDescent="0.25">
      <c r="B3691" s="289">
        <v>3900</v>
      </c>
      <c r="C3691" s="261">
        <v>123</v>
      </c>
      <c r="D3691" s="244" t="s">
        <v>11</v>
      </c>
      <c r="E3691" s="263">
        <v>9</v>
      </c>
      <c r="F3691" s="294" t="s">
        <v>436</v>
      </c>
      <c r="G3691" s="294" t="s">
        <v>126</v>
      </c>
      <c r="H3691" s="298">
        <v>1</v>
      </c>
      <c r="M3691" s="274"/>
    </row>
    <row r="3692" spans="2:13" ht="15" customHeight="1" x14ac:dyDescent="0.25">
      <c r="B3692" s="289">
        <v>3901</v>
      </c>
      <c r="C3692" s="261">
        <v>140</v>
      </c>
      <c r="D3692" s="244" t="s">
        <v>11</v>
      </c>
      <c r="E3692" s="263">
        <v>1</v>
      </c>
      <c r="F3692" s="294" t="s">
        <v>139</v>
      </c>
      <c r="G3692" s="294" t="s">
        <v>126</v>
      </c>
      <c r="H3692" s="298">
        <v>1</v>
      </c>
      <c r="M3692" s="274"/>
    </row>
    <row r="3693" spans="2:13" ht="15" customHeight="1" x14ac:dyDescent="0.25">
      <c r="B3693" s="289">
        <v>3902</v>
      </c>
      <c r="C3693" s="261">
        <v>123</v>
      </c>
      <c r="D3693" s="244" t="s">
        <v>12</v>
      </c>
      <c r="E3693" s="263">
        <v>1</v>
      </c>
      <c r="F3693" s="294" t="s">
        <v>126</v>
      </c>
      <c r="G3693" s="294" t="s">
        <v>139</v>
      </c>
      <c r="H3693" s="298">
        <v>1</v>
      </c>
      <c r="M3693" s="274"/>
    </row>
    <row r="3694" spans="2:13" ht="15" customHeight="1" x14ac:dyDescent="0.25">
      <c r="B3694" s="289">
        <v>3903</v>
      </c>
      <c r="C3694" s="261">
        <v>123</v>
      </c>
      <c r="D3694" s="244" t="s">
        <v>12</v>
      </c>
      <c r="E3694" s="263">
        <v>1</v>
      </c>
      <c r="F3694" s="294" t="s">
        <v>126</v>
      </c>
      <c r="G3694" s="294" t="s">
        <v>139</v>
      </c>
      <c r="H3694" s="298">
        <v>1</v>
      </c>
      <c r="M3694" s="274"/>
    </row>
    <row r="3695" spans="2:13" ht="15" customHeight="1" x14ac:dyDescent="0.25">
      <c r="B3695" s="289">
        <v>3904</v>
      </c>
      <c r="C3695" s="261">
        <v>123</v>
      </c>
      <c r="D3695" s="244" t="s">
        <v>12</v>
      </c>
      <c r="E3695" s="263">
        <v>41</v>
      </c>
      <c r="F3695" s="294" t="s">
        <v>126</v>
      </c>
      <c r="G3695" s="294" t="s">
        <v>359</v>
      </c>
      <c r="H3695" s="298">
        <v>1</v>
      </c>
      <c r="M3695" s="274"/>
    </row>
    <row r="3696" spans="2:13" ht="15" customHeight="1" x14ac:dyDescent="0.25">
      <c r="B3696" s="289">
        <v>3905</v>
      </c>
      <c r="C3696" s="261">
        <v>123</v>
      </c>
      <c r="D3696" s="244" t="s">
        <v>12</v>
      </c>
      <c r="E3696" s="263">
        <v>63</v>
      </c>
      <c r="F3696" s="294" t="s">
        <v>126</v>
      </c>
      <c r="G3696" s="294" t="s">
        <v>360</v>
      </c>
      <c r="H3696" s="298">
        <v>1</v>
      </c>
      <c r="M3696" s="274"/>
    </row>
    <row r="3697" spans="2:13" ht="15" customHeight="1" x14ac:dyDescent="0.25">
      <c r="B3697" s="289">
        <v>3906</v>
      </c>
      <c r="C3697" s="261">
        <v>123</v>
      </c>
      <c r="D3697" s="244" t="s">
        <v>12</v>
      </c>
      <c r="E3697" s="263">
        <v>96</v>
      </c>
      <c r="F3697" s="294" t="s">
        <v>126</v>
      </c>
      <c r="G3697" s="294" t="s">
        <v>361</v>
      </c>
      <c r="H3697" s="298">
        <v>1</v>
      </c>
      <c r="M3697" s="274"/>
    </row>
    <row r="3698" spans="2:13" ht="15" customHeight="1" x14ac:dyDescent="0.25">
      <c r="B3698" s="289">
        <v>3907</v>
      </c>
      <c r="C3698" s="261">
        <v>123</v>
      </c>
      <c r="D3698" s="244" t="s">
        <v>12</v>
      </c>
      <c r="E3698" s="263">
        <v>75</v>
      </c>
      <c r="F3698" s="294" t="s">
        <v>126</v>
      </c>
      <c r="G3698" s="294" t="s">
        <v>362</v>
      </c>
      <c r="H3698" s="298">
        <v>1</v>
      </c>
      <c r="M3698" s="274"/>
    </row>
    <row r="3699" spans="2:13" ht="15" customHeight="1" x14ac:dyDescent="0.25">
      <c r="B3699" s="289">
        <v>3908</v>
      </c>
      <c r="C3699" s="261">
        <v>123</v>
      </c>
      <c r="D3699" s="244" t="s">
        <v>12</v>
      </c>
      <c r="E3699" s="263">
        <v>75</v>
      </c>
      <c r="F3699" s="294" t="s">
        <v>126</v>
      </c>
      <c r="G3699" s="294" t="s">
        <v>363</v>
      </c>
      <c r="H3699" s="298">
        <v>1</v>
      </c>
      <c r="M3699" s="274"/>
    </row>
    <row r="3700" spans="2:13" ht="15" customHeight="1" x14ac:dyDescent="0.25">
      <c r="B3700" s="289">
        <v>3909</v>
      </c>
      <c r="C3700" s="261">
        <v>113</v>
      </c>
      <c r="D3700" s="244" t="s">
        <v>11</v>
      </c>
      <c r="E3700" s="263">
        <v>1</v>
      </c>
      <c r="F3700" s="294" t="s">
        <v>235</v>
      </c>
      <c r="G3700" s="294" t="s">
        <v>126</v>
      </c>
      <c r="H3700" s="298">
        <v>1</v>
      </c>
      <c r="M3700" s="274"/>
    </row>
    <row r="3701" spans="2:13" ht="15" customHeight="1" x14ac:dyDescent="0.25">
      <c r="B3701" s="289">
        <v>3910</v>
      </c>
      <c r="C3701" s="261">
        <v>123</v>
      </c>
      <c r="D3701" s="244" t="s">
        <v>12</v>
      </c>
      <c r="E3701" s="263">
        <v>100</v>
      </c>
      <c r="F3701" s="294" t="s">
        <v>126</v>
      </c>
      <c r="G3701" s="294" t="s">
        <v>364</v>
      </c>
      <c r="H3701" s="298">
        <v>1</v>
      </c>
      <c r="M3701" s="274"/>
    </row>
    <row r="3702" spans="2:13" ht="15" customHeight="1" x14ac:dyDescent="0.25">
      <c r="B3702" s="289">
        <v>3911</v>
      </c>
      <c r="C3702" s="261">
        <v>123</v>
      </c>
      <c r="D3702" s="244" t="s">
        <v>12</v>
      </c>
      <c r="E3702" s="263">
        <v>20</v>
      </c>
      <c r="F3702" s="294" t="s">
        <v>126</v>
      </c>
      <c r="G3702" s="294" t="s">
        <v>365</v>
      </c>
      <c r="H3702" s="298">
        <v>1</v>
      </c>
      <c r="M3702" s="274"/>
    </row>
    <row r="3703" spans="2:13" ht="15" customHeight="1" x14ac:dyDescent="0.25">
      <c r="B3703" s="289">
        <v>3912</v>
      </c>
      <c r="C3703" s="261">
        <v>123</v>
      </c>
      <c r="D3703" s="244" t="s">
        <v>12</v>
      </c>
      <c r="E3703" s="263">
        <v>88</v>
      </c>
      <c r="F3703" s="294" t="s">
        <v>126</v>
      </c>
      <c r="G3703" s="294" t="s">
        <v>366</v>
      </c>
      <c r="H3703" s="298">
        <v>1</v>
      </c>
      <c r="M3703" s="274"/>
    </row>
    <row r="3704" spans="2:13" ht="15" customHeight="1" x14ac:dyDescent="0.25">
      <c r="B3704" s="289">
        <v>3913</v>
      </c>
      <c r="C3704" s="261">
        <v>123</v>
      </c>
      <c r="D3704" s="244" t="s">
        <v>12</v>
      </c>
      <c r="E3704" s="263">
        <v>2</v>
      </c>
      <c r="F3704" s="294" t="s">
        <v>126</v>
      </c>
      <c r="G3704" s="294" t="s">
        <v>233</v>
      </c>
      <c r="H3704" s="298">
        <v>1</v>
      </c>
      <c r="M3704" s="274"/>
    </row>
    <row r="3705" spans="2:13" ht="15" customHeight="1" x14ac:dyDescent="0.25">
      <c r="B3705" s="289">
        <v>3914</v>
      </c>
      <c r="C3705" s="261">
        <v>123</v>
      </c>
      <c r="D3705" s="244" t="s">
        <v>12</v>
      </c>
      <c r="E3705" s="263">
        <v>96</v>
      </c>
      <c r="F3705" s="294" t="s">
        <v>126</v>
      </c>
      <c r="G3705" s="294" t="s">
        <v>367</v>
      </c>
      <c r="H3705" s="298">
        <v>1</v>
      </c>
      <c r="M3705" s="274"/>
    </row>
    <row r="3706" spans="2:13" ht="15" customHeight="1" x14ac:dyDescent="0.25">
      <c r="B3706" s="289">
        <v>3917</v>
      </c>
      <c r="C3706" s="261">
        <v>123</v>
      </c>
      <c r="D3706" s="244" t="s">
        <v>12</v>
      </c>
      <c r="E3706" s="263">
        <v>10</v>
      </c>
      <c r="F3706" s="294" t="s">
        <v>126</v>
      </c>
      <c r="G3706" s="294" t="s">
        <v>496</v>
      </c>
      <c r="H3706" s="298">
        <v>1</v>
      </c>
      <c r="M3706" s="274"/>
    </row>
    <row r="3707" spans="2:13" ht="15" customHeight="1" x14ac:dyDescent="0.25">
      <c r="B3707" s="289">
        <v>3918</v>
      </c>
      <c r="C3707" s="261">
        <v>123</v>
      </c>
      <c r="D3707" s="244" t="s">
        <v>12</v>
      </c>
      <c r="E3707" s="263">
        <v>2</v>
      </c>
      <c r="F3707" s="294" t="s">
        <v>126</v>
      </c>
      <c r="G3707" s="294" t="s">
        <v>441</v>
      </c>
      <c r="H3707" s="298">
        <v>1</v>
      </c>
      <c r="M3707" s="274"/>
    </row>
    <row r="3708" spans="2:13" ht="15" customHeight="1" x14ac:dyDescent="0.25">
      <c r="B3708" s="289">
        <v>3919</v>
      </c>
      <c r="C3708" s="261">
        <v>109</v>
      </c>
      <c r="D3708" s="244" t="s">
        <v>11</v>
      </c>
      <c r="E3708" s="263">
        <v>15</v>
      </c>
      <c r="F3708" s="294" t="s">
        <v>497</v>
      </c>
      <c r="G3708" s="294" t="s">
        <v>126</v>
      </c>
      <c r="H3708" s="298">
        <v>1</v>
      </c>
      <c r="M3708" s="274"/>
    </row>
    <row r="3709" spans="2:13" ht="15" customHeight="1" x14ac:dyDescent="0.25">
      <c r="B3709" s="289">
        <v>3921</v>
      </c>
      <c r="C3709" s="261">
        <v>123</v>
      </c>
      <c r="D3709" s="244" t="s">
        <v>12</v>
      </c>
      <c r="E3709" s="263">
        <v>66</v>
      </c>
      <c r="F3709" s="294" t="s">
        <v>126</v>
      </c>
      <c r="G3709" s="294" t="s">
        <v>368</v>
      </c>
      <c r="H3709" s="298">
        <v>1</v>
      </c>
      <c r="M3709" s="274"/>
    </row>
    <row r="3710" spans="2:13" ht="15" customHeight="1" x14ac:dyDescent="0.25">
      <c r="B3710" s="289">
        <v>3923</v>
      </c>
      <c r="C3710" s="261">
        <v>123</v>
      </c>
      <c r="D3710" s="244" t="s">
        <v>12</v>
      </c>
      <c r="E3710" s="263">
        <v>44</v>
      </c>
      <c r="F3710" s="294" t="s">
        <v>126</v>
      </c>
      <c r="G3710" s="294" t="s">
        <v>369</v>
      </c>
      <c r="H3710" s="298">
        <v>1</v>
      </c>
      <c r="M3710" s="274"/>
    </row>
    <row r="3711" spans="2:13" ht="15" customHeight="1" x14ac:dyDescent="0.25">
      <c r="B3711" s="289">
        <v>3924</v>
      </c>
      <c r="C3711" s="261">
        <v>116</v>
      </c>
      <c r="D3711" s="244" t="s">
        <v>12</v>
      </c>
      <c r="E3711" s="263">
        <v>6</v>
      </c>
      <c r="F3711" s="294" t="s">
        <v>126</v>
      </c>
      <c r="G3711" s="294" t="s">
        <v>328</v>
      </c>
      <c r="H3711" s="298">
        <v>1</v>
      </c>
      <c r="M3711" s="274"/>
    </row>
    <row r="3712" spans="2:13" ht="15" customHeight="1" x14ac:dyDescent="0.25">
      <c r="B3712" s="289">
        <v>3924</v>
      </c>
      <c r="C3712" s="261">
        <v>123</v>
      </c>
      <c r="D3712" s="244" t="s">
        <v>12</v>
      </c>
      <c r="E3712" s="263">
        <v>80</v>
      </c>
      <c r="F3712" s="294" t="s">
        <v>126</v>
      </c>
      <c r="G3712" s="294" t="s">
        <v>370</v>
      </c>
      <c r="H3712" s="298">
        <v>1</v>
      </c>
      <c r="M3712" s="274"/>
    </row>
    <row r="3713" spans="2:13" ht="15" customHeight="1" x14ac:dyDescent="0.25">
      <c r="B3713" s="289">
        <v>3925</v>
      </c>
      <c r="C3713" s="261">
        <v>117</v>
      </c>
      <c r="D3713" s="244" t="s">
        <v>11</v>
      </c>
      <c r="E3713" s="263">
        <v>13</v>
      </c>
      <c r="F3713" s="294" t="s">
        <v>498</v>
      </c>
      <c r="G3713" s="294" t="s">
        <v>126</v>
      </c>
      <c r="H3713" s="298">
        <v>1</v>
      </c>
      <c r="M3713" s="274"/>
    </row>
    <row r="3714" spans="2:13" ht="15" customHeight="1" x14ac:dyDescent="0.25">
      <c r="B3714" s="289">
        <v>3926</v>
      </c>
      <c r="C3714" s="261">
        <v>123</v>
      </c>
      <c r="D3714" s="244" t="s">
        <v>12</v>
      </c>
      <c r="E3714" s="263">
        <v>3</v>
      </c>
      <c r="F3714" s="294" t="s">
        <v>126</v>
      </c>
      <c r="G3714" s="294" t="s">
        <v>499</v>
      </c>
      <c r="H3714" s="298">
        <v>1</v>
      </c>
      <c r="M3714" s="274"/>
    </row>
    <row r="3715" spans="2:13" ht="15" customHeight="1" x14ac:dyDescent="0.25">
      <c r="B3715" s="289">
        <v>3927</v>
      </c>
      <c r="C3715" s="261">
        <v>123</v>
      </c>
      <c r="D3715" s="244" t="s">
        <v>12</v>
      </c>
      <c r="E3715" s="263">
        <v>73</v>
      </c>
      <c r="F3715" s="294" t="s">
        <v>126</v>
      </c>
      <c r="G3715" s="294" t="s">
        <v>371</v>
      </c>
      <c r="H3715" s="298">
        <v>1</v>
      </c>
      <c r="M3715" s="274"/>
    </row>
    <row r="3716" spans="2:13" ht="15" customHeight="1" x14ac:dyDescent="0.25">
      <c r="B3716" s="289">
        <v>3928</v>
      </c>
      <c r="C3716" s="261">
        <v>123</v>
      </c>
      <c r="D3716" s="244" t="s">
        <v>12</v>
      </c>
      <c r="E3716" s="263">
        <v>1</v>
      </c>
      <c r="F3716" s="294" t="s">
        <v>126</v>
      </c>
      <c r="G3716" s="294" t="s">
        <v>235</v>
      </c>
      <c r="H3716" s="298">
        <v>1</v>
      </c>
      <c r="M3716" s="274"/>
    </row>
    <row r="3717" spans="2:13" ht="15" customHeight="1" x14ac:dyDescent="0.25">
      <c r="B3717" s="289">
        <v>3930</v>
      </c>
      <c r="C3717" s="261">
        <v>113</v>
      </c>
      <c r="D3717" s="244" t="s">
        <v>12</v>
      </c>
      <c r="E3717" s="263">
        <v>22</v>
      </c>
      <c r="F3717" s="294" t="s">
        <v>126</v>
      </c>
      <c r="G3717" s="294" t="s">
        <v>500</v>
      </c>
      <c r="H3717" s="298">
        <v>1</v>
      </c>
      <c r="M3717" s="274"/>
    </row>
    <row r="3718" spans="2:13" ht="15" customHeight="1" x14ac:dyDescent="0.25">
      <c r="B3718" s="289">
        <v>3930</v>
      </c>
      <c r="C3718" s="261">
        <v>123</v>
      </c>
      <c r="D3718" s="244" t="s">
        <v>12</v>
      </c>
      <c r="E3718" s="263">
        <v>3</v>
      </c>
      <c r="F3718" s="294" t="s">
        <v>126</v>
      </c>
      <c r="G3718" s="294" t="s">
        <v>423</v>
      </c>
      <c r="H3718" s="298">
        <v>1</v>
      </c>
      <c r="M3718" s="274"/>
    </row>
    <row r="3719" spans="2:13" ht="15" customHeight="1" x14ac:dyDescent="0.25">
      <c r="B3719" s="289">
        <v>3931</v>
      </c>
      <c r="C3719" s="261">
        <v>107</v>
      </c>
      <c r="D3719" s="244" t="s">
        <v>12</v>
      </c>
      <c r="E3719" s="263">
        <v>17</v>
      </c>
      <c r="F3719" s="294" t="s">
        <v>126</v>
      </c>
      <c r="G3719" s="294" t="s">
        <v>501</v>
      </c>
      <c r="H3719" s="298">
        <v>1</v>
      </c>
      <c r="M3719" s="274"/>
    </row>
    <row r="3720" spans="2:13" ht="15" customHeight="1" x14ac:dyDescent="0.25">
      <c r="B3720" s="289">
        <v>3931</v>
      </c>
      <c r="C3720" s="261">
        <v>123</v>
      </c>
      <c r="D3720" s="244" t="s">
        <v>12</v>
      </c>
      <c r="E3720" s="263">
        <v>8</v>
      </c>
      <c r="F3720" s="294" t="s">
        <v>126</v>
      </c>
      <c r="G3720" s="294" t="s">
        <v>372</v>
      </c>
      <c r="H3720" s="298">
        <v>1</v>
      </c>
      <c r="M3720" s="274"/>
    </row>
    <row r="3721" spans="2:13" ht="15" customHeight="1" x14ac:dyDescent="0.25">
      <c r="B3721" s="289">
        <v>3932</v>
      </c>
      <c r="C3721" s="261">
        <v>123</v>
      </c>
      <c r="D3721" s="244" t="s">
        <v>12</v>
      </c>
      <c r="E3721" s="263">
        <v>1</v>
      </c>
      <c r="F3721" s="294" t="s">
        <v>126</v>
      </c>
      <c r="G3721" s="294" t="s">
        <v>139</v>
      </c>
      <c r="H3721" s="298">
        <v>1</v>
      </c>
      <c r="M3721" s="274"/>
    </row>
    <row r="3722" spans="2:13" ht="15" customHeight="1" x14ac:dyDescent="0.25">
      <c r="B3722" s="289">
        <v>3934</v>
      </c>
      <c r="C3722" s="261">
        <v>123</v>
      </c>
      <c r="D3722" s="244" t="s">
        <v>12</v>
      </c>
      <c r="E3722" s="263">
        <v>87</v>
      </c>
      <c r="F3722" s="294" t="s">
        <v>126</v>
      </c>
      <c r="G3722" s="294" t="s">
        <v>373</v>
      </c>
      <c r="H3722" s="298">
        <v>1</v>
      </c>
      <c r="M3722" s="274"/>
    </row>
    <row r="3723" spans="2:13" ht="15" customHeight="1" x14ac:dyDescent="0.25">
      <c r="B3723" s="289">
        <v>3937</v>
      </c>
      <c r="C3723" s="261">
        <v>123</v>
      </c>
      <c r="D3723" s="244" t="s">
        <v>12</v>
      </c>
      <c r="E3723" s="263">
        <v>2</v>
      </c>
      <c r="F3723" s="294" t="s">
        <v>126</v>
      </c>
      <c r="G3723" s="294" t="s">
        <v>441</v>
      </c>
      <c r="H3723" s="298">
        <v>1</v>
      </c>
      <c r="M3723" s="274"/>
    </row>
    <row r="3724" spans="2:13" ht="15" customHeight="1" x14ac:dyDescent="0.25">
      <c r="B3724" s="289">
        <v>3938</v>
      </c>
      <c r="C3724" s="261">
        <v>107</v>
      </c>
      <c r="D3724" s="244" t="s">
        <v>11</v>
      </c>
      <c r="E3724" s="263">
        <v>21</v>
      </c>
      <c r="F3724" s="294" t="s">
        <v>374</v>
      </c>
      <c r="G3724" s="294" t="s">
        <v>126</v>
      </c>
      <c r="H3724" s="298">
        <v>1</v>
      </c>
      <c r="M3724" s="274"/>
    </row>
    <row r="3725" spans="2:13" ht="15" customHeight="1" x14ac:dyDescent="0.25">
      <c r="B3725" s="289">
        <v>3939</v>
      </c>
      <c r="C3725" s="261">
        <v>123</v>
      </c>
      <c r="D3725" s="244" t="s">
        <v>12</v>
      </c>
      <c r="E3725" s="263">
        <v>96</v>
      </c>
      <c r="F3725" s="294" t="s">
        <v>126</v>
      </c>
      <c r="G3725" s="294" t="s">
        <v>375</v>
      </c>
      <c r="H3725" s="298">
        <v>1</v>
      </c>
      <c r="M3725" s="274"/>
    </row>
    <row r="3726" spans="2:13" ht="15" customHeight="1" x14ac:dyDescent="0.25">
      <c r="B3726" s="289">
        <v>3940</v>
      </c>
      <c r="C3726" s="261">
        <v>123</v>
      </c>
      <c r="D3726" s="244" t="s">
        <v>12</v>
      </c>
      <c r="E3726" s="263">
        <v>1</v>
      </c>
      <c r="F3726" s="294" t="s">
        <v>126</v>
      </c>
      <c r="G3726" s="294" t="s">
        <v>426</v>
      </c>
      <c r="H3726" s="298">
        <v>1</v>
      </c>
      <c r="M3726" s="274"/>
    </row>
    <row r="3727" spans="2:13" ht="15" customHeight="1" x14ac:dyDescent="0.25">
      <c r="B3727" s="289">
        <v>3941</v>
      </c>
      <c r="C3727" s="261">
        <v>139</v>
      </c>
      <c r="D3727" s="244" t="s">
        <v>12</v>
      </c>
      <c r="E3727" s="263">
        <v>6</v>
      </c>
      <c r="F3727" s="294" t="s">
        <v>126</v>
      </c>
      <c r="G3727" s="294" t="s">
        <v>502</v>
      </c>
      <c r="H3727" s="298">
        <v>1</v>
      </c>
      <c r="M3727" s="274"/>
    </row>
    <row r="3728" spans="2:13" ht="15" customHeight="1" x14ac:dyDescent="0.25">
      <c r="B3728" s="289">
        <v>3942</v>
      </c>
      <c r="C3728" s="261">
        <v>123</v>
      </c>
      <c r="D3728" s="244" t="s">
        <v>12</v>
      </c>
      <c r="E3728" s="263">
        <v>43</v>
      </c>
      <c r="F3728" s="294" t="s">
        <v>126</v>
      </c>
      <c r="G3728" s="294" t="s">
        <v>376</v>
      </c>
      <c r="H3728" s="298">
        <v>1</v>
      </c>
      <c r="M3728" s="274"/>
    </row>
    <row r="3729" spans="2:13" ht="15" customHeight="1" x14ac:dyDescent="0.25">
      <c r="B3729" s="289">
        <v>3943</v>
      </c>
      <c r="C3729" s="261">
        <v>139</v>
      </c>
      <c r="D3729" s="244" t="s">
        <v>12</v>
      </c>
      <c r="E3729" s="263">
        <v>40</v>
      </c>
      <c r="F3729" s="294" t="s">
        <v>126</v>
      </c>
      <c r="G3729" s="294" t="s">
        <v>503</v>
      </c>
      <c r="H3729" s="298">
        <v>1</v>
      </c>
      <c r="M3729" s="274"/>
    </row>
    <row r="3730" spans="2:13" ht="15" customHeight="1" x14ac:dyDescent="0.25">
      <c r="B3730" s="289">
        <v>3944</v>
      </c>
      <c r="C3730" s="261">
        <v>114</v>
      </c>
      <c r="D3730" s="244" t="s">
        <v>11</v>
      </c>
      <c r="E3730" s="263">
        <v>9</v>
      </c>
      <c r="F3730" s="294" t="s">
        <v>479</v>
      </c>
      <c r="G3730" s="294" t="s">
        <v>126</v>
      </c>
      <c r="H3730" s="298">
        <v>1</v>
      </c>
      <c r="M3730" s="274"/>
    </row>
    <row r="3731" spans="2:13" ht="15" customHeight="1" x14ac:dyDescent="0.25">
      <c r="B3731" s="289">
        <v>3945</v>
      </c>
      <c r="C3731" s="261">
        <v>123</v>
      </c>
      <c r="D3731" s="244" t="s">
        <v>12</v>
      </c>
      <c r="E3731" s="263">
        <v>100</v>
      </c>
      <c r="F3731" s="294" t="s">
        <v>126</v>
      </c>
      <c r="G3731" s="294" t="s">
        <v>377</v>
      </c>
      <c r="H3731" s="298">
        <v>1</v>
      </c>
      <c r="M3731" s="274"/>
    </row>
    <row r="3732" spans="2:13" ht="15" customHeight="1" x14ac:dyDescent="0.25">
      <c r="B3732" s="289">
        <v>3946</v>
      </c>
      <c r="C3732" s="261">
        <v>123</v>
      </c>
      <c r="D3732" s="244" t="s">
        <v>12</v>
      </c>
      <c r="E3732" s="263">
        <v>33</v>
      </c>
      <c r="F3732" s="294" t="s">
        <v>126</v>
      </c>
      <c r="G3732" s="294" t="s">
        <v>378</v>
      </c>
      <c r="H3732" s="298">
        <v>1</v>
      </c>
      <c r="M3732" s="274"/>
    </row>
    <row r="3733" spans="2:13" ht="15" customHeight="1" x14ac:dyDescent="0.25">
      <c r="B3733" s="289">
        <v>3947</v>
      </c>
      <c r="C3733" s="261">
        <v>123</v>
      </c>
      <c r="D3733" s="244" t="s">
        <v>12</v>
      </c>
      <c r="E3733" s="263">
        <v>30</v>
      </c>
      <c r="F3733" s="294" t="s">
        <v>126</v>
      </c>
      <c r="G3733" s="294" t="s">
        <v>504</v>
      </c>
      <c r="H3733" s="298">
        <v>1</v>
      </c>
      <c r="M3733" s="274"/>
    </row>
    <row r="3734" spans="2:13" ht="15" customHeight="1" x14ac:dyDescent="0.25">
      <c r="B3734" s="289">
        <v>3948</v>
      </c>
      <c r="C3734" s="261">
        <v>123</v>
      </c>
      <c r="D3734" s="244" t="s">
        <v>11</v>
      </c>
      <c r="E3734" s="263">
        <v>5</v>
      </c>
      <c r="F3734" s="294" t="s">
        <v>505</v>
      </c>
      <c r="G3734" s="294" t="s">
        <v>126</v>
      </c>
      <c r="H3734" s="298">
        <v>1</v>
      </c>
      <c r="M3734" s="274"/>
    </row>
    <row r="3735" spans="2:13" ht="15" customHeight="1" x14ac:dyDescent="0.25">
      <c r="B3735" s="289">
        <v>3949</v>
      </c>
      <c r="C3735" s="261">
        <v>123</v>
      </c>
      <c r="D3735" s="244" t="s">
        <v>12</v>
      </c>
      <c r="E3735" s="263">
        <v>58</v>
      </c>
      <c r="F3735" s="294" t="s">
        <v>126</v>
      </c>
      <c r="G3735" s="294" t="s">
        <v>379</v>
      </c>
      <c r="H3735" s="298">
        <v>1</v>
      </c>
      <c r="M3735" s="274"/>
    </row>
    <row r="3736" spans="2:13" ht="15" customHeight="1" x14ac:dyDescent="0.25">
      <c r="B3736" s="289">
        <v>3950</v>
      </c>
      <c r="C3736" s="261">
        <v>123</v>
      </c>
      <c r="D3736" s="244" t="s">
        <v>12</v>
      </c>
      <c r="E3736" s="263">
        <v>1</v>
      </c>
      <c r="F3736" s="294" t="s">
        <v>126</v>
      </c>
      <c r="G3736" s="294" t="s">
        <v>426</v>
      </c>
      <c r="H3736" s="298">
        <v>1</v>
      </c>
      <c r="M3736" s="274"/>
    </row>
    <row r="3737" spans="2:13" ht="15" customHeight="1" x14ac:dyDescent="0.25">
      <c r="B3737" s="289">
        <v>3952</v>
      </c>
      <c r="C3737" s="261">
        <v>123</v>
      </c>
      <c r="D3737" s="244" t="s">
        <v>12</v>
      </c>
      <c r="E3737" s="263">
        <v>1</v>
      </c>
      <c r="F3737" s="294" t="s">
        <v>126</v>
      </c>
      <c r="G3737" s="294" t="s">
        <v>437</v>
      </c>
      <c r="H3737" s="298">
        <v>1</v>
      </c>
      <c r="M3737" s="274"/>
    </row>
    <row r="3738" spans="2:13" ht="15" customHeight="1" x14ac:dyDescent="0.25">
      <c r="B3738" s="289">
        <v>3953</v>
      </c>
      <c r="C3738" s="261">
        <v>113</v>
      </c>
      <c r="D3738" s="244" t="s">
        <v>11</v>
      </c>
      <c r="E3738" s="263">
        <v>1</v>
      </c>
      <c r="F3738" s="294" t="s">
        <v>235</v>
      </c>
      <c r="G3738" s="294" t="s">
        <v>126</v>
      </c>
      <c r="H3738" s="298">
        <v>1</v>
      </c>
      <c r="M3738" s="274"/>
    </row>
    <row r="3739" spans="2:13" ht="15" customHeight="1" x14ac:dyDescent="0.25">
      <c r="B3739" s="289">
        <v>3953</v>
      </c>
      <c r="C3739" s="261">
        <v>117</v>
      </c>
      <c r="D3739" s="244" t="s">
        <v>11</v>
      </c>
      <c r="E3739" s="263">
        <v>6</v>
      </c>
      <c r="F3739" s="294" t="s">
        <v>506</v>
      </c>
      <c r="G3739" s="294" t="s">
        <v>126</v>
      </c>
      <c r="H3739" s="298">
        <v>1</v>
      </c>
      <c r="M3739" s="274"/>
    </row>
    <row r="3740" spans="2:13" ht="15" customHeight="1" x14ac:dyDescent="0.25">
      <c r="B3740" s="289">
        <v>3954</v>
      </c>
      <c r="C3740" s="261">
        <v>123</v>
      </c>
      <c r="D3740" s="244" t="s">
        <v>12</v>
      </c>
      <c r="E3740" s="263">
        <v>100</v>
      </c>
      <c r="F3740" s="294" t="s">
        <v>126</v>
      </c>
      <c r="G3740" s="294" t="s">
        <v>380</v>
      </c>
      <c r="H3740" s="298">
        <v>1</v>
      </c>
      <c r="M3740" s="274"/>
    </row>
    <row r="3741" spans="2:13" ht="15" customHeight="1" x14ac:dyDescent="0.25">
      <c r="B3741" s="289">
        <v>3955</v>
      </c>
      <c r="C3741" s="261">
        <v>123</v>
      </c>
      <c r="D3741" s="244" t="s">
        <v>12</v>
      </c>
      <c r="E3741" s="263">
        <v>51</v>
      </c>
      <c r="F3741" s="294" t="s">
        <v>126</v>
      </c>
      <c r="G3741" s="294" t="s">
        <v>381</v>
      </c>
      <c r="H3741" s="298">
        <v>1</v>
      </c>
      <c r="M3741" s="274"/>
    </row>
    <row r="3742" spans="2:13" ht="15" customHeight="1" x14ac:dyDescent="0.25">
      <c r="B3742" s="289">
        <v>3956</v>
      </c>
      <c r="C3742" s="261">
        <v>123</v>
      </c>
      <c r="D3742" s="244" t="s">
        <v>12</v>
      </c>
      <c r="E3742" s="263">
        <v>91</v>
      </c>
      <c r="F3742" s="294" t="s">
        <v>126</v>
      </c>
      <c r="G3742" s="294" t="s">
        <v>382</v>
      </c>
      <c r="H3742" s="298">
        <v>1</v>
      </c>
      <c r="M3742" s="274"/>
    </row>
    <row r="3743" spans="2:13" ht="15" customHeight="1" x14ac:dyDescent="0.25">
      <c r="B3743" s="289">
        <v>3957</v>
      </c>
      <c r="C3743" s="261">
        <v>123</v>
      </c>
      <c r="D3743" s="244" t="s">
        <v>12</v>
      </c>
      <c r="E3743" s="263">
        <v>73</v>
      </c>
      <c r="F3743" s="294" t="s">
        <v>126</v>
      </c>
      <c r="G3743" s="294" t="s">
        <v>507</v>
      </c>
      <c r="H3743" s="298">
        <v>1</v>
      </c>
      <c r="M3743" s="274"/>
    </row>
    <row r="3744" spans="2:13" ht="15" customHeight="1" x14ac:dyDescent="0.25">
      <c r="B3744" s="289">
        <v>3958</v>
      </c>
      <c r="C3744" s="261">
        <v>123</v>
      </c>
      <c r="D3744" s="244" t="s">
        <v>12</v>
      </c>
      <c r="E3744" s="263">
        <v>76</v>
      </c>
      <c r="F3744" s="294" t="s">
        <v>126</v>
      </c>
      <c r="G3744" s="294" t="s">
        <v>508</v>
      </c>
      <c r="H3744" s="298">
        <v>1</v>
      </c>
      <c r="M3744" s="274"/>
    </row>
    <row r="3745" spans="2:13" ht="15" customHeight="1" x14ac:dyDescent="0.25">
      <c r="B3745" s="289">
        <v>3959</v>
      </c>
      <c r="C3745" s="261">
        <v>123</v>
      </c>
      <c r="D3745" s="244" t="s">
        <v>12</v>
      </c>
      <c r="E3745" s="263">
        <v>1</v>
      </c>
      <c r="F3745" s="294" t="s">
        <v>126</v>
      </c>
      <c r="G3745" s="294" t="s">
        <v>139</v>
      </c>
      <c r="H3745" s="298">
        <v>1</v>
      </c>
      <c r="M3745" s="274"/>
    </row>
    <row r="3746" spans="2:13" ht="15" customHeight="1" x14ac:dyDescent="0.25">
      <c r="B3746" s="289">
        <v>3961</v>
      </c>
      <c r="C3746" s="261">
        <v>123</v>
      </c>
      <c r="D3746" s="244" t="s">
        <v>11</v>
      </c>
      <c r="E3746" s="263">
        <v>9</v>
      </c>
      <c r="F3746" s="294" t="s">
        <v>436</v>
      </c>
      <c r="G3746" s="294" t="s">
        <v>126</v>
      </c>
      <c r="H3746" s="298">
        <v>1</v>
      </c>
      <c r="M3746" s="274"/>
    </row>
    <row r="3747" spans="2:13" ht="15" customHeight="1" x14ac:dyDescent="0.25">
      <c r="B3747" s="289">
        <v>3962</v>
      </c>
      <c r="C3747" s="261">
        <v>123</v>
      </c>
      <c r="D3747" s="244" t="s">
        <v>12</v>
      </c>
      <c r="E3747" s="263">
        <v>82</v>
      </c>
      <c r="F3747" s="294" t="s">
        <v>126</v>
      </c>
      <c r="G3747" s="294" t="s">
        <v>383</v>
      </c>
      <c r="H3747" s="298">
        <v>1</v>
      </c>
      <c r="M3747" s="274"/>
    </row>
    <row r="3748" spans="2:13" ht="15" customHeight="1" x14ac:dyDescent="0.25">
      <c r="B3748" s="289">
        <v>3963</v>
      </c>
      <c r="C3748" s="261">
        <v>112</v>
      </c>
      <c r="D3748" s="244" t="s">
        <v>12</v>
      </c>
      <c r="E3748" s="263">
        <v>8</v>
      </c>
      <c r="F3748" s="294" t="s">
        <v>126</v>
      </c>
      <c r="G3748" s="294" t="s">
        <v>478</v>
      </c>
      <c r="H3748" s="298">
        <v>1</v>
      </c>
      <c r="M3748" s="274"/>
    </row>
    <row r="3749" spans="2:13" ht="15" customHeight="1" x14ac:dyDescent="0.25">
      <c r="B3749" s="289">
        <v>3963</v>
      </c>
      <c r="C3749" s="261">
        <v>120</v>
      </c>
      <c r="D3749" s="244" t="s">
        <v>12</v>
      </c>
      <c r="E3749" s="263">
        <v>2</v>
      </c>
      <c r="F3749" s="294" t="s">
        <v>126</v>
      </c>
      <c r="G3749" s="294" t="s">
        <v>341</v>
      </c>
      <c r="H3749" s="298">
        <v>1</v>
      </c>
      <c r="M3749" s="274"/>
    </row>
    <row r="3750" spans="2:13" ht="15" customHeight="1" x14ac:dyDescent="0.25">
      <c r="B3750" s="289">
        <v>3963</v>
      </c>
      <c r="C3750" s="261">
        <v>123</v>
      </c>
      <c r="D3750" s="244" t="s">
        <v>12</v>
      </c>
      <c r="E3750" s="263">
        <v>86</v>
      </c>
      <c r="F3750" s="294" t="s">
        <v>126</v>
      </c>
      <c r="G3750" s="294" t="s">
        <v>384</v>
      </c>
      <c r="H3750" s="298">
        <v>1</v>
      </c>
      <c r="M3750" s="274"/>
    </row>
    <row r="3751" spans="2:13" ht="15" customHeight="1" x14ac:dyDescent="0.25">
      <c r="B3751" s="289">
        <v>3965</v>
      </c>
      <c r="C3751" s="261">
        <v>123</v>
      </c>
      <c r="D3751" s="244" t="s">
        <v>12</v>
      </c>
      <c r="E3751" s="263">
        <v>56</v>
      </c>
      <c r="F3751" s="294" t="s">
        <v>126</v>
      </c>
      <c r="G3751" s="294" t="s">
        <v>385</v>
      </c>
      <c r="H3751" s="298">
        <v>1</v>
      </c>
      <c r="M3751" s="274"/>
    </row>
    <row r="3752" spans="2:13" ht="15" customHeight="1" x14ac:dyDescent="0.25">
      <c r="B3752" s="289">
        <v>3966</v>
      </c>
      <c r="C3752" s="261">
        <v>119</v>
      </c>
      <c r="D3752" s="244" t="s">
        <v>11</v>
      </c>
      <c r="E3752" s="263">
        <v>14</v>
      </c>
      <c r="F3752" s="294" t="s">
        <v>443</v>
      </c>
      <c r="G3752" s="294" t="s">
        <v>126</v>
      </c>
      <c r="H3752" s="298">
        <v>1</v>
      </c>
      <c r="M3752" s="274"/>
    </row>
    <row r="3753" spans="2:13" ht="15" customHeight="1" x14ac:dyDescent="0.25">
      <c r="B3753" s="289">
        <v>3967</v>
      </c>
      <c r="C3753" s="261">
        <v>123</v>
      </c>
      <c r="D3753" s="244" t="s">
        <v>12</v>
      </c>
      <c r="E3753" s="263">
        <v>1</v>
      </c>
      <c r="F3753" s="294" t="s">
        <v>126</v>
      </c>
      <c r="G3753" s="294" t="s">
        <v>139</v>
      </c>
      <c r="H3753" s="298">
        <v>1</v>
      </c>
      <c r="M3753" s="274"/>
    </row>
    <row r="3754" spans="2:13" ht="15" customHeight="1" x14ac:dyDescent="0.25">
      <c r="B3754" s="289">
        <v>3968</v>
      </c>
      <c r="C3754" s="261">
        <v>123</v>
      </c>
      <c r="D3754" s="244" t="s">
        <v>12</v>
      </c>
      <c r="E3754" s="263">
        <v>101</v>
      </c>
      <c r="F3754" s="294" t="s">
        <v>126</v>
      </c>
      <c r="G3754" s="294" t="s">
        <v>386</v>
      </c>
      <c r="H3754" s="298">
        <v>1</v>
      </c>
      <c r="M3754" s="274"/>
    </row>
    <row r="3755" spans="2:13" ht="15" customHeight="1" x14ac:dyDescent="0.25">
      <c r="B3755" s="289">
        <v>3972</v>
      </c>
      <c r="C3755" s="261">
        <v>123</v>
      </c>
      <c r="D3755" s="244" t="s">
        <v>12</v>
      </c>
      <c r="E3755" s="263">
        <v>57</v>
      </c>
      <c r="F3755" s="294" t="s">
        <v>126</v>
      </c>
      <c r="G3755" s="294" t="s">
        <v>387</v>
      </c>
      <c r="H3755" s="298">
        <v>1</v>
      </c>
      <c r="M3755" s="274"/>
    </row>
    <row r="3756" spans="2:13" ht="15" customHeight="1" x14ac:dyDescent="0.25">
      <c r="B3756" s="289">
        <v>3973</v>
      </c>
      <c r="C3756" s="261">
        <v>123</v>
      </c>
      <c r="D3756" s="244" t="s">
        <v>12</v>
      </c>
      <c r="E3756" s="263">
        <v>1</v>
      </c>
      <c r="F3756" s="294" t="s">
        <v>126</v>
      </c>
      <c r="G3756" s="294" t="s">
        <v>139</v>
      </c>
      <c r="H3756" s="298">
        <v>1</v>
      </c>
      <c r="M3756" s="274"/>
    </row>
    <row r="3757" spans="2:13" ht="15" customHeight="1" x14ac:dyDescent="0.25">
      <c r="B3757" s="289">
        <v>3974</v>
      </c>
      <c r="C3757" s="261">
        <v>123</v>
      </c>
      <c r="D3757" s="244" t="s">
        <v>12</v>
      </c>
      <c r="E3757" s="263">
        <v>99</v>
      </c>
      <c r="F3757" s="294" t="s">
        <v>126</v>
      </c>
      <c r="G3757" s="294" t="s">
        <v>388</v>
      </c>
      <c r="H3757" s="298">
        <v>1</v>
      </c>
      <c r="M3757" s="274"/>
    </row>
    <row r="3758" spans="2:13" ht="15" customHeight="1" x14ac:dyDescent="0.25">
      <c r="B3758" s="289">
        <v>3975</v>
      </c>
      <c r="C3758" s="261">
        <v>123</v>
      </c>
      <c r="D3758" s="244" t="s">
        <v>12</v>
      </c>
      <c r="E3758" s="263">
        <v>2</v>
      </c>
      <c r="F3758" s="294" t="s">
        <v>126</v>
      </c>
      <c r="G3758" s="294" t="s">
        <v>420</v>
      </c>
      <c r="H3758" s="298">
        <v>1</v>
      </c>
      <c r="M3758" s="274"/>
    </row>
    <row r="3759" spans="2:13" ht="15" customHeight="1" x14ac:dyDescent="0.25">
      <c r="B3759" s="289">
        <v>3976</v>
      </c>
      <c r="C3759" s="261">
        <v>123</v>
      </c>
      <c r="D3759" s="244" t="s">
        <v>12</v>
      </c>
      <c r="E3759" s="263">
        <v>34</v>
      </c>
      <c r="F3759" s="294" t="s">
        <v>126</v>
      </c>
      <c r="G3759" s="294" t="s">
        <v>509</v>
      </c>
      <c r="H3759" s="298">
        <v>1</v>
      </c>
      <c r="M3759" s="274"/>
    </row>
    <row r="3760" spans="2:13" ht="15" customHeight="1" x14ac:dyDescent="0.25">
      <c r="B3760" s="289">
        <v>3977</v>
      </c>
      <c r="C3760" s="261">
        <v>123</v>
      </c>
      <c r="D3760" s="244" t="s">
        <v>12</v>
      </c>
      <c r="E3760" s="263">
        <v>1</v>
      </c>
      <c r="F3760" s="294" t="s">
        <v>126</v>
      </c>
      <c r="G3760" s="294" t="s">
        <v>426</v>
      </c>
      <c r="H3760" s="298">
        <v>1</v>
      </c>
      <c r="M3760" s="274"/>
    </row>
    <row r="3761" spans="2:13" ht="15" customHeight="1" x14ac:dyDescent="0.25">
      <c r="B3761" s="289">
        <v>3979</v>
      </c>
      <c r="C3761" s="261">
        <v>123</v>
      </c>
      <c r="D3761" s="244" t="s">
        <v>12</v>
      </c>
      <c r="E3761" s="263">
        <v>41</v>
      </c>
      <c r="F3761" s="294" t="s">
        <v>126</v>
      </c>
      <c r="G3761" s="294" t="s">
        <v>510</v>
      </c>
      <c r="H3761" s="298">
        <v>1</v>
      </c>
      <c r="M3761" s="274"/>
    </row>
    <row r="3762" spans="2:13" ht="15" customHeight="1" x14ac:dyDescent="0.25">
      <c r="B3762" s="289">
        <v>3980</v>
      </c>
      <c r="C3762" s="261">
        <v>123</v>
      </c>
      <c r="D3762" s="244" t="s">
        <v>12</v>
      </c>
      <c r="E3762" s="263">
        <v>87</v>
      </c>
      <c r="F3762" s="294" t="s">
        <v>126</v>
      </c>
      <c r="G3762" s="294" t="s">
        <v>389</v>
      </c>
      <c r="H3762" s="298">
        <v>1</v>
      </c>
      <c r="M3762" s="274"/>
    </row>
    <row r="3763" spans="2:13" ht="15" customHeight="1" x14ac:dyDescent="0.25">
      <c r="B3763" s="289">
        <v>3981</v>
      </c>
      <c r="C3763" s="261">
        <v>123</v>
      </c>
      <c r="D3763" s="244" t="s">
        <v>12</v>
      </c>
      <c r="E3763" s="263">
        <v>50</v>
      </c>
      <c r="F3763" s="294" t="s">
        <v>126</v>
      </c>
      <c r="G3763" s="294" t="s">
        <v>390</v>
      </c>
      <c r="H3763" s="298">
        <v>1</v>
      </c>
      <c r="M3763" s="274"/>
    </row>
    <row r="3764" spans="2:13" ht="15" customHeight="1" x14ac:dyDescent="0.25">
      <c r="B3764" s="289">
        <v>3982</v>
      </c>
      <c r="C3764" s="261">
        <v>109</v>
      </c>
      <c r="D3764" s="244" t="s">
        <v>11</v>
      </c>
      <c r="E3764" s="263">
        <v>15</v>
      </c>
      <c r="F3764" s="294" t="s">
        <v>497</v>
      </c>
      <c r="G3764" s="294" t="s">
        <v>126</v>
      </c>
      <c r="H3764" s="298">
        <v>1</v>
      </c>
      <c r="M3764" s="274"/>
    </row>
    <row r="3765" spans="2:13" ht="15" customHeight="1" x14ac:dyDescent="0.25">
      <c r="B3765" s="289">
        <v>3983</v>
      </c>
      <c r="C3765" s="261">
        <v>123</v>
      </c>
      <c r="D3765" s="244" t="s">
        <v>12</v>
      </c>
      <c r="E3765" s="263">
        <v>1</v>
      </c>
      <c r="F3765" s="294" t="s">
        <v>126</v>
      </c>
      <c r="G3765" s="294" t="s">
        <v>426</v>
      </c>
      <c r="H3765" s="298">
        <v>1</v>
      </c>
      <c r="M3765" s="274"/>
    </row>
    <row r="3766" spans="2:13" ht="15" customHeight="1" x14ac:dyDescent="0.25">
      <c r="B3766" s="289">
        <v>3985</v>
      </c>
      <c r="C3766" s="261">
        <v>123</v>
      </c>
      <c r="D3766" s="244" t="s">
        <v>12</v>
      </c>
      <c r="E3766" s="263">
        <v>1</v>
      </c>
      <c r="F3766" s="294" t="s">
        <v>126</v>
      </c>
      <c r="G3766" s="294" t="s">
        <v>139</v>
      </c>
      <c r="H3766" s="298">
        <v>1</v>
      </c>
      <c r="M3766" s="274"/>
    </row>
    <row r="3767" spans="2:13" ht="15" customHeight="1" x14ac:dyDescent="0.25">
      <c r="B3767" s="289">
        <v>3986</v>
      </c>
      <c r="C3767" s="261">
        <v>123</v>
      </c>
      <c r="D3767" s="244" t="s">
        <v>12</v>
      </c>
      <c r="E3767" s="263">
        <v>70</v>
      </c>
      <c r="F3767" s="294" t="s">
        <v>126</v>
      </c>
      <c r="G3767" s="294" t="s">
        <v>391</v>
      </c>
      <c r="H3767" s="298">
        <v>1</v>
      </c>
      <c r="M3767" s="274"/>
    </row>
    <row r="3768" spans="2:13" ht="15" customHeight="1" x14ac:dyDescent="0.25">
      <c r="B3768" s="289">
        <v>3987</v>
      </c>
      <c r="C3768" s="261">
        <v>119</v>
      </c>
      <c r="D3768" s="244" t="s">
        <v>11</v>
      </c>
      <c r="E3768" s="263">
        <v>2</v>
      </c>
      <c r="F3768" s="294" t="s">
        <v>511</v>
      </c>
      <c r="G3768" s="294" t="s">
        <v>126</v>
      </c>
      <c r="H3768" s="298">
        <v>1</v>
      </c>
      <c r="M3768" s="274"/>
    </row>
    <row r="3769" spans="2:13" ht="15" customHeight="1" x14ac:dyDescent="0.25">
      <c r="B3769" s="289">
        <v>3987</v>
      </c>
      <c r="C3769" s="261">
        <v>123</v>
      </c>
      <c r="D3769" s="244" t="s">
        <v>11</v>
      </c>
      <c r="E3769" s="263">
        <v>1</v>
      </c>
      <c r="F3769" s="294" t="s">
        <v>139</v>
      </c>
      <c r="G3769" s="294" t="s">
        <v>126</v>
      </c>
      <c r="H3769" s="298">
        <v>1</v>
      </c>
      <c r="M3769" s="274"/>
    </row>
    <row r="3770" spans="2:13" ht="15" customHeight="1" x14ac:dyDescent="0.25">
      <c r="B3770" s="289">
        <v>3988</v>
      </c>
      <c r="C3770" s="261">
        <v>95</v>
      </c>
      <c r="D3770" s="244" t="s">
        <v>11</v>
      </c>
      <c r="E3770" s="263">
        <v>10</v>
      </c>
      <c r="F3770" s="294" t="s">
        <v>512</v>
      </c>
      <c r="G3770" s="294" t="s">
        <v>126</v>
      </c>
      <c r="H3770" s="298">
        <v>1</v>
      </c>
      <c r="M3770" s="274"/>
    </row>
    <row r="3771" spans="2:13" ht="15" customHeight="1" x14ac:dyDescent="0.25">
      <c r="B3771" s="289">
        <v>3988</v>
      </c>
      <c r="C3771" s="261">
        <v>123</v>
      </c>
      <c r="D3771" s="244" t="s">
        <v>12</v>
      </c>
      <c r="E3771" s="263">
        <v>20</v>
      </c>
      <c r="F3771" s="294" t="s">
        <v>126</v>
      </c>
      <c r="G3771" s="294" t="s">
        <v>513</v>
      </c>
      <c r="H3771" s="298">
        <v>1</v>
      </c>
      <c r="M3771" s="274"/>
    </row>
    <row r="3772" spans="2:13" ht="15" customHeight="1" x14ac:dyDescent="0.25">
      <c r="B3772" s="289">
        <v>3989</v>
      </c>
      <c r="C3772" s="261">
        <v>123</v>
      </c>
      <c r="D3772" s="244" t="s">
        <v>12</v>
      </c>
      <c r="E3772" s="263">
        <v>1</v>
      </c>
      <c r="F3772" s="294" t="s">
        <v>126</v>
      </c>
      <c r="G3772" s="294" t="s">
        <v>426</v>
      </c>
      <c r="H3772" s="298">
        <v>1</v>
      </c>
      <c r="M3772" s="274"/>
    </row>
    <row r="3773" spans="2:13" ht="15" customHeight="1" x14ac:dyDescent="0.25">
      <c r="B3773" s="289">
        <v>3990</v>
      </c>
      <c r="C3773" s="261">
        <v>123</v>
      </c>
      <c r="D3773" s="244" t="s">
        <v>12</v>
      </c>
      <c r="E3773" s="263">
        <v>1</v>
      </c>
      <c r="F3773" s="294" t="s">
        <v>126</v>
      </c>
      <c r="G3773" s="294" t="s">
        <v>139</v>
      </c>
      <c r="H3773" s="298">
        <v>1</v>
      </c>
      <c r="M3773" s="274"/>
    </row>
    <row r="3774" spans="2:13" ht="15" customHeight="1" x14ac:dyDescent="0.25">
      <c r="B3774" s="289">
        <v>3991</v>
      </c>
      <c r="C3774" s="261">
        <v>120</v>
      </c>
      <c r="D3774" s="244" t="s">
        <v>11</v>
      </c>
      <c r="E3774" s="263">
        <v>2</v>
      </c>
      <c r="F3774" s="294" t="s">
        <v>214</v>
      </c>
      <c r="G3774" s="294" t="s">
        <v>126</v>
      </c>
      <c r="H3774" s="298">
        <v>1</v>
      </c>
      <c r="M3774" s="274"/>
    </row>
    <row r="3775" spans="2:13" ht="15" customHeight="1" x14ac:dyDescent="0.25">
      <c r="B3775" s="289">
        <v>3992</v>
      </c>
      <c r="C3775" s="261">
        <v>123</v>
      </c>
      <c r="D3775" s="244" t="s">
        <v>12</v>
      </c>
      <c r="E3775" s="263">
        <v>1</v>
      </c>
      <c r="F3775" s="294" t="s">
        <v>126</v>
      </c>
      <c r="G3775" s="294" t="s">
        <v>235</v>
      </c>
      <c r="H3775" s="298">
        <v>1</v>
      </c>
      <c r="M3775" s="274"/>
    </row>
    <row r="3776" spans="2:13" ht="15" customHeight="1" x14ac:dyDescent="0.25">
      <c r="B3776" s="289">
        <v>3993</v>
      </c>
      <c r="C3776" s="261">
        <v>123</v>
      </c>
      <c r="D3776" s="244" t="s">
        <v>12</v>
      </c>
      <c r="E3776" s="263">
        <v>46</v>
      </c>
      <c r="F3776" s="294" t="s">
        <v>126</v>
      </c>
      <c r="G3776" s="294" t="s">
        <v>392</v>
      </c>
      <c r="H3776" s="298">
        <v>1</v>
      </c>
      <c r="M3776" s="274"/>
    </row>
    <row r="3777" spans="2:13" ht="15" customHeight="1" x14ac:dyDescent="0.25">
      <c r="B3777" s="289">
        <v>3995</v>
      </c>
      <c r="C3777" s="261">
        <v>123</v>
      </c>
      <c r="D3777" s="244" t="s">
        <v>12</v>
      </c>
      <c r="E3777" s="263">
        <v>98</v>
      </c>
      <c r="F3777" s="294" t="s">
        <v>126</v>
      </c>
      <c r="G3777" s="294" t="s">
        <v>393</v>
      </c>
      <c r="H3777" s="298">
        <v>1</v>
      </c>
      <c r="M3777" s="274"/>
    </row>
    <row r="3778" spans="2:13" ht="15" customHeight="1" x14ac:dyDescent="0.25">
      <c r="B3778" s="289">
        <v>3996</v>
      </c>
      <c r="C3778" s="261">
        <v>123</v>
      </c>
      <c r="D3778" s="244" t="s">
        <v>12</v>
      </c>
      <c r="E3778" s="263">
        <v>1</v>
      </c>
      <c r="F3778" s="294" t="s">
        <v>126</v>
      </c>
      <c r="G3778" s="294" t="s">
        <v>139</v>
      </c>
      <c r="H3778" s="298">
        <v>1</v>
      </c>
      <c r="M3778" s="274"/>
    </row>
    <row r="3779" spans="2:13" ht="15" customHeight="1" x14ac:dyDescent="0.25">
      <c r="B3779" s="289">
        <v>3997</v>
      </c>
      <c r="C3779" s="261">
        <v>123</v>
      </c>
      <c r="D3779" s="244" t="s">
        <v>12</v>
      </c>
      <c r="E3779" s="263">
        <v>1</v>
      </c>
      <c r="F3779" s="294" t="s">
        <v>126</v>
      </c>
      <c r="G3779" s="294" t="s">
        <v>426</v>
      </c>
      <c r="H3779" s="298">
        <v>1</v>
      </c>
      <c r="M3779" s="274"/>
    </row>
    <row r="3780" spans="2:13" ht="15" customHeight="1" x14ac:dyDescent="0.25">
      <c r="B3780" s="289">
        <v>3999</v>
      </c>
      <c r="C3780" s="261">
        <v>123</v>
      </c>
      <c r="D3780" s="244" t="s">
        <v>12</v>
      </c>
      <c r="E3780" s="263">
        <v>86</v>
      </c>
      <c r="F3780" s="294" t="s">
        <v>126</v>
      </c>
      <c r="G3780" s="294" t="s">
        <v>394</v>
      </c>
      <c r="H3780" s="298">
        <v>1</v>
      </c>
      <c r="M3780" s="274"/>
    </row>
    <row r="3781" spans="2:13" ht="15" customHeight="1" x14ac:dyDescent="0.25">
      <c r="B3781" s="289">
        <v>4000</v>
      </c>
      <c r="C3781" s="261">
        <v>121</v>
      </c>
      <c r="D3781" s="244" t="s">
        <v>11</v>
      </c>
      <c r="E3781" s="263">
        <v>2</v>
      </c>
      <c r="F3781" s="294" t="s">
        <v>441</v>
      </c>
      <c r="G3781" s="294" t="s">
        <v>126</v>
      </c>
      <c r="H3781" s="298">
        <v>1</v>
      </c>
      <c r="M3781" s="274"/>
    </row>
    <row r="3782" spans="2:13" ht="15" customHeight="1" x14ac:dyDescent="0.25">
      <c r="B3782" s="289">
        <v>4001</v>
      </c>
      <c r="C3782" s="261">
        <v>123</v>
      </c>
      <c r="D3782" s="244" t="s">
        <v>12</v>
      </c>
      <c r="E3782" s="263">
        <v>97</v>
      </c>
      <c r="F3782" s="294" t="s">
        <v>126</v>
      </c>
      <c r="G3782" s="294" t="s">
        <v>395</v>
      </c>
      <c r="H3782" s="298">
        <v>1</v>
      </c>
      <c r="M3782" s="274"/>
    </row>
    <row r="3783" spans="2:13" ht="15" customHeight="1" x14ac:dyDescent="0.25">
      <c r="B3783" s="289">
        <v>4003</v>
      </c>
      <c r="C3783" s="261">
        <v>123</v>
      </c>
      <c r="D3783" s="244" t="s">
        <v>12</v>
      </c>
      <c r="E3783" s="263">
        <v>87</v>
      </c>
      <c r="F3783" s="294" t="s">
        <v>126</v>
      </c>
      <c r="G3783" s="294" t="s">
        <v>396</v>
      </c>
      <c r="H3783" s="298">
        <v>1</v>
      </c>
      <c r="M3783" s="274"/>
    </row>
    <row r="3784" spans="2:13" ht="15" customHeight="1" x14ac:dyDescent="0.25">
      <c r="B3784" s="289">
        <v>4004</v>
      </c>
      <c r="C3784" s="261">
        <v>123</v>
      </c>
      <c r="D3784" s="244" t="s">
        <v>12</v>
      </c>
      <c r="E3784" s="263">
        <v>61</v>
      </c>
      <c r="F3784" s="294" t="s">
        <v>126</v>
      </c>
      <c r="G3784" s="294" t="s">
        <v>514</v>
      </c>
      <c r="H3784" s="298">
        <v>1</v>
      </c>
      <c r="M3784" s="274"/>
    </row>
    <row r="3785" spans="2:13" ht="15" customHeight="1" x14ac:dyDescent="0.25">
      <c r="B3785" s="289">
        <v>4005</v>
      </c>
      <c r="C3785" s="261">
        <v>123</v>
      </c>
      <c r="D3785" s="244" t="s">
        <v>12</v>
      </c>
      <c r="E3785" s="263">
        <v>2</v>
      </c>
      <c r="F3785" s="294" t="s">
        <v>126</v>
      </c>
      <c r="G3785" s="294" t="s">
        <v>420</v>
      </c>
      <c r="H3785" s="298">
        <v>1</v>
      </c>
      <c r="M3785" s="274"/>
    </row>
    <row r="3786" spans="2:13" ht="15" customHeight="1" x14ac:dyDescent="0.25">
      <c r="B3786" s="289">
        <v>4006</v>
      </c>
      <c r="C3786" s="261">
        <v>123</v>
      </c>
      <c r="D3786" s="244" t="s">
        <v>12</v>
      </c>
      <c r="E3786" s="263">
        <v>70</v>
      </c>
      <c r="F3786" s="294" t="s">
        <v>126</v>
      </c>
      <c r="G3786" s="294" t="s">
        <v>397</v>
      </c>
      <c r="H3786" s="298">
        <v>1</v>
      </c>
      <c r="M3786" s="274"/>
    </row>
    <row r="3787" spans="2:13" ht="15" customHeight="1" x14ac:dyDescent="0.25">
      <c r="B3787" s="289">
        <v>4007</v>
      </c>
      <c r="C3787" s="261">
        <v>124</v>
      </c>
      <c r="D3787" s="244" t="s">
        <v>11</v>
      </c>
      <c r="E3787" s="263">
        <v>5</v>
      </c>
      <c r="F3787" s="294" t="s">
        <v>398</v>
      </c>
      <c r="G3787" s="294" t="s">
        <v>126</v>
      </c>
      <c r="H3787" s="298">
        <v>1</v>
      </c>
      <c r="M3787" s="274"/>
    </row>
    <row r="3788" spans="2:13" ht="15" customHeight="1" x14ac:dyDescent="0.25">
      <c r="B3788" s="289">
        <v>4008</v>
      </c>
      <c r="C3788" s="261">
        <v>123</v>
      </c>
      <c r="D3788" s="244" t="s">
        <v>12</v>
      </c>
      <c r="E3788" s="263">
        <v>65</v>
      </c>
      <c r="F3788" s="294" t="s">
        <v>126</v>
      </c>
      <c r="G3788" s="294" t="s">
        <v>399</v>
      </c>
      <c r="H3788" s="298">
        <v>1</v>
      </c>
      <c r="M3788" s="274"/>
    </row>
    <row r="3789" spans="2:13" ht="15" customHeight="1" x14ac:dyDescent="0.25">
      <c r="B3789" s="289">
        <v>4010</v>
      </c>
      <c r="C3789" s="261">
        <v>123</v>
      </c>
      <c r="D3789" s="244" t="s">
        <v>12</v>
      </c>
      <c r="E3789" s="263">
        <v>87</v>
      </c>
      <c r="F3789" s="294" t="s">
        <v>126</v>
      </c>
      <c r="G3789" s="294" t="s">
        <v>400</v>
      </c>
      <c r="H3789" s="298">
        <v>1</v>
      </c>
      <c r="M3789" s="274"/>
    </row>
    <row r="3790" spans="2:13" ht="15" customHeight="1" x14ac:dyDescent="0.25">
      <c r="B3790" s="289">
        <v>4011</v>
      </c>
      <c r="C3790" s="261">
        <v>123</v>
      </c>
      <c r="D3790" s="244" t="s">
        <v>12</v>
      </c>
      <c r="E3790" s="263">
        <v>1</v>
      </c>
      <c r="F3790" s="294" t="s">
        <v>126</v>
      </c>
      <c r="G3790" s="294" t="s">
        <v>437</v>
      </c>
      <c r="H3790" s="298">
        <v>1</v>
      </c>
      <c r="M3790" s="274"/>
    </row>
    <row r="3791" spans="2:13" ht="15" customHeight="1" x14ac:dyDescent="0.25">
      <c r="B3791" s="289">
        <v>4012</v>
      </c>
      <c r="C3791" s="261">
        <v>122</v>
      </c>
      <c r="D3791" s="244" t="s">
        <v>12</v>
      </c>
      <c r="E3791" s="263">
        <v>1</v>
      </c>
      <c r="F3791" s="294" t="s">
        <v>126</v>
      </c>
      <c r="G3791" s="294" t="s">
        <v>437</v>
      </c>
      <c r="H3791" s="298">
        <v>1</v>
      </c>
      <c r="M3791" s="274"/>
    </row>
    <row r="3792" spans="2:13" ht="15" customHeight="1" x14ac:dyDescent="0.25">
      <c r="B3792" s="289">
        <v>4013</v>
      </c>
      <c r="C3792" s="261">
        <v>123</v>
      </c>
      <c r="D3792" s="244" t="s">
        <v>12</v>
      </c>
      <c r="E3792" s="263">
        <v>72</v>
      </c>
      <c r="F3792" s="294" t="s">
        <v>126</v>
      </c>
      <c r="G3792" s="294" t="s">
        <v>401</v>
      </c>
      <c r="H3792" s="298">
        <v>1</v>
      </c>
      <c r="M3792" s="274"/>
    </row>
    <row r="3793" spans="2:13" ht="15" customHeight="1" x14ac:dyDescent="0.25">
      <c r="B3793" s="289">
        <v>4014</v>
      </c>
      <c r="C3793" s="261">
        <v>123</v>
      </c>
      <c r="D3793" s="244" t="s">
        <v>11</v>
      </c>
      <c r="E3793" s="263">
        <v>9</v>
      </c>
      <c r="F3793" s="294" t="s">
        <v>436</v>
      </c>
      <c r="G3793" s="294" t="s">
        <v>126</v>
      </c>
      <c r="H3793" s="298">
        <v>1</v>
      </c>
      <c r="M3793" s="274"/>
    </row>
    <row r="3794" spans="2:13" ht="15" customHeight="1" x14ac:dyDescent="0.25">
      <c r="B3794" s="289">
        <v>4015</v>
      </c>
      <c r="C3794" s="261">
        <v>123</v>
      </c>
      <c r="D3794" s="244" t="s">
        <v>12</v>
      </c>
      <c r="E3794" s="263">
        <v>44</v>
      </c>
      <c r="F3794" s="294" t="s">
        <v>126</v>
      </c>
      <c r="G3794" s="294" t="s">
        <v>402</v>
      </c>
      <c r="H3794" s="298">
        <v>1</v>
      </c>
      <c r="M3794" s="274"/>
    </row>
    <row r="3795" spans="2:13" ht="15" customHeight="1" x14ac:dyDescent="0.25">
      <c r="B3795" s="289">
        <v>4016</v>
      </c>
      <c r="C3795" s="261">
        <v>119</v>
      </c>
      <c r="D3795" s="244" t="s">
        <v>11</v>
      </c>
      <c r="E3795" s="263">
        <v>14</v>
      </c>
      <c r="F3795" s="294" t="s">
        <v>443</v>
      </c>
      <c r="G3795" s="294" t="s">
        <v>126</v>
      </c>
      <c r="H3795" s="298">
        <v>1</v>
      </c>
      <c r="M3795" s="274"/>
    </row>
    <row r="3796" spans="2:13" ht="15" customHeight="1" x14ac:dyDescent="0.25">
      <c r="B3796" s="289">
        <v>4018</v>
      </c>
      <c r="C3796" s="261">
        <v>123</v>
      </c>
      <c r="D3796" s="244" t="s">
        <v>12</v>
      </c>
      <c r="E3796" s="263">
        <v>1</v>
      </c>
      <c r="F3796" s="294" t="s">
        <v>126</v>
      </c>
      <c r="G3796" s="294" t="s">
        <v>426</v>
      </c>
      <c r="H3796" s="298">
        <v>1</v>
      </c>
      <c r="M3796" s="274"/>
    </row>
    <row r="3797" spans="2:13" ht="15" customHeight="1" x14ac:dyDescent="0.25">
      <c r="B3797" s="289">
        <v>4019</v>
      </c>
      <c r="C3797" s="261">
        <v>119</v>
      </c>
      <c r="D3797" s="244" t="s">
        <v>11</v>
      </c>
      <c r="E3797" s="263">
        <v>5</v>
      </c>
      <c r="F3797" s="294" t="s">
        <v>515</v>
      </c>
      <c r="G3797" s="294" t="s">
        <v>126</v>
      </c>
      <c r="H3797" s="298">
        <v>1</v>
      </c>
      <c r="M3797" s="274"/>
    </row>
    <row r="3798" spans="2:13" ht="15" customHeight="1" x14ac:dyDescent="0.25">
      <c r="B3798" s="289">
        <v>4021</v>
      </c>
      <c r="C3798" s="261">
        <v>123</v>
      </c>
      <c r="D3798" s="244" t="s">
        <v>12</v>
      </c>
      <c r="E3798" s="263">
        <v>1</v>
      </c>
      <c r="F3798" s="294" t="s">
        <v>126</v>
      </c>
      <c r="G3798" s="294" t="s">
        <v>426</v>
      </c>
      <c r="H3798" s="298">
        <v>1</v>
      </c>
      <c r="M3798" s="274"/>
    </row>
    <row r="3799" spans="2:13" ht="15" customHeight="1" x14ac:dyDescent="0.25">
      <c r="B3799" s="289">
        <v>4022</v>
      </c>
      <c r="C3799" s="261">
        <v>123</v>
      </c>
      <c r="D3799" s="244" t="s">
        <v>12</v>
      </c>
      <c r="E3799" s="263">
        <v>72</v>
      </c>
      <c r="F3799" s="294" t="s">
        <v>126</v>
      </c>
      <c r="G3799" s="294" t="s">
        <v>403</v>
      </c>
      <c r="H3799" s="298">
        <v>1</v>
      </c>
      <c r="M3799" s="274"/>
    </row>
    <row r="3800" spans="2:13" ht="15" customHeight="1" x14ac:dyDescent="0.25">
      <c r="B3800" s="289">
        <v>4023</v>
      </c>
      <c r="C3800" s="261">
        <v>123</v>
      </c>
      <c r="D3800" s="244" t="s">
        <v>12</v>
      </c>
      <c r="E3800" s="263">
        <v>90</v>
      </c>
      <c r="F3800" s="294" t="s">
        <v>126</v>
      </c>
      <c r="G3800" s="294" t="s">
        <v>404</v>
      </c>
      <c r="H3800" s="298">
        <v>1</v>
      </c>
      <c r="M3800" s="274"/>
    </row>
    <row r="3801" spans="2:13" ht="15" customHeight="1" x14ac:dyDescent="0.25">
      <c r="B3801" s="289">
        <v>4025</v>
      </c>
      <c r="C3801" s="261">
        <v>123</v>
      </c>
      <c r="D3801" s="244" t="s">
        <v>12</v>
      </c>
      <c r="E3801" s="263">
        <v>43</v>
      </c>
      <c r="F3801" s="294" t="s">
        <v>126</v>
      </c>
      <c r="G3801" s="294" t="s">
        <v>405</v>
      </c>
      <c r="H3801" s="298">
        <v>1</v>
      </c>
      <c r="M3801" s="274"/>
    </row>
    <row r="3802" spans="2:13" ht="15" customHeight="1" x14ac:dyDescent="0.25">
      <c r="B3802" s="289">
        <v>4027</v>
      </c>
      <c r="C3802" s="261">
        <v>123</v>
      </c>
      <c r="D3802" s="244" t="s">
        <v>12</v>
      </c>
      <c r="E3802" s="263">
        <v>1</v>
      </c>
      <c r="F3802" s="294" t="s">
        <v>126</v>
      </c>
      <c r="G3802" s="294" t="s">
        <v>235</v>
      </c>
      <c r="H3802" s="298">
        <v>1</v>
      </c>
      <c r="M3802" s="274"/>
    </row>
    <row r="3803" spans="2:13" ht="15" customHeight="1" x14ac:dyDescent="0.25">
      <c r="B3803" s="289">
        <v>4028</v>
      </c>
      <c r="C3803" s="261">
        <v>123</v>
      </c>
      <c r="D3803" s="244" t="s">
        <v>12</v>
      </c>
      <c r="E3803" s="263">
        <v>1</v>
      </c>
      <c r="F3803" s="294" t="s">
        <v>126</v>
      </c>
      <c r="G3803" s="294" t="s">
        <v>139</v>
      </c>
      <c r="H3803" s="298">
        <v>1</v>
      </c>
      <c r="M3803" s="274"/>
    </row>
    <row r="3804" spans="2:13" ht="15" customHeight="1" x14ac:dyDescent="0.25">
      <c r="B3804" s="289">
        <v>4029</v>
      </c>
      <c r="C3804" s="261">
        <v>123</v>
      </c>
      <c r="D3804" s="244" t="s">
        <v>12</v>
      </c>
      <c r="E3804" s="263">
        <v>98</v>
      </c>
      <c r="F3804" s="294" t="s">
        <v>126</v>
      </c>
      <c r="G3804" s="294" t="s">
        <v>406</v>
      </c>
      <c r="H3804" s="298">
        <v>1</v>
      </c>
      <c r="M3804" s="274"/>
    </row>
    <row r="3805" spans="2:13" ht="15" customHeight="1" x14ac:dyDescent="0.25">
      <c r="B3805" s="289">
        <v>4030</v>
      </c>
      <c r="C3805" s="261">
        <v>123</v>
      </c>
      <c r="D3805" s="244" t="s">
        <v>12</v>
      </c>
      <c r="E3805" s="263">
        <v>1</v>
      </c>
      <c r="F3805" s="294" t="s">
        <v>126</v>
      </c>
      <c r="G3805" s="294" t="s">
        <v>139</v>
      </c>
      <c r="H3805" s="298">
        <v>1</v>
      </c>
      <c r="M3805" s="274"/>
    </row>
    <row r="3806" spans="2:13" ht="15" customHeight="1" x14ac:dyDescent="0.25">
      <c r="B3806" s="289">
        <v>4031</v>
      </c>
      <c r="C3806" s="261">
        <v>121</v>
      </c>
      <c r="D3806" s="244" t="s">
        <v>11</v>
      </c>
      <c r="E3806" s="263">
        <v>2</v>
      </c>
      <c r="F3806" s="294" t="s">
        <v>441</v>
      </c>
      <c r="G3806" s="294" t="s">
        <v>126</v>
      </c>
      <c r="H3806" s="298">
        <v>1</v>
      </c>
      <c r="M3806" s="274"/>
    </row>
    <row r="3807" spans="2:13" ht="15" customHeight="1" x14ac:dyDescent="0.25">
      <c r="B3807" s="289">
        <v>4032</v>
      </c>
      <c r="C3807" s="261">
        <v>123</v>
      </c>
      <c r="D3807" s="244" t="s">
        <v>12</v>
      </c>
      <c r="E3807" s="263">
        <v>1</v>
      </c>
      <c r="F3807" s="294" t="s">
        <v>126</v>
      </c>
      <c r="G3807" s="294" t="s">
        <v>235</v>
      </c>
      <c r="H3807" s="298">
        <v>1</v>
      </c>
      <c r="M3807" s="274"/>
    </row>
    <row r="3808" spans="2:13" ht="15" customHeight="1" x14ac:dyDescent="0.25">
      <c r="B3808" s="289">
        <v>4034</v>
      </c>
      <c r="C3808" s="261">
        <v>123</v>
      </c>
      <c r="D3808" s="244" t="s">
        <v>12</v>
      </c>
      <c r="E3808" s="263">
        <v>2</v>
      </c>
      <c r="F3808" s="294" t="s">
        <v>126</v>
      </c>
      <c r="G3808" s="294" t="s">
        <v>441</v>
      </c>
      <c r="H3808" s="298">
        <v>1</v>
      </c>
      <c r="M3808" s="274"/>
    </row>
    <row r="3809" spans="2:13" ht="15" customHeight="1" x14ac:dyDescent="0.25">
      <c r="B3809" s="289">
        <v>4035</v>
      </c>
      <c r="C3809" s="261">
        <v>123</v>
      </c>
      <c r="D3809" s="244" t="s">
        <v>12</v>
      </c>
      <c r="E3809" s="263">
        <v>2</v>
      </c>
      <c r="F3809" s="294" t="s">
        <v>126</v>
      </c>
      <c r="G3809" s="294" t="s">
        <v>431</v>
      </c>
      <c r="H3809" s="298">
        <v>1</v>
      </c>
      <c r="M3809" s="274"/>
    </row>
    <row r="3810" spans="2:13" ht="15" customHeight="1" x14ac:dyDescent="0.25">
      <c r="B3810" s="289">
        <v>4036</v>
      </c>
      <c r="C3810" s="261">
        <v>123</v>
      </c>
      <c r="D3810" s="244" t="s">
        <v>12</v>
      </c>
      <c r="E3810" s="263">
        <v>90</v>
      </c>
      <c r="F3810" s="294" t="s">
        <v>126</v>
      </c>
      <c r="G3810" s="294" t="s">
        <v>407</v>
      </c>
      <c r="H3810" s="298">
        <v>1</v>
      </c>
      <c r="M3810" s="274"/>
    </row>
    <row r="3811" spans="2:13" ht="15" customHeight="1" x14ac:dyDescent="0.25">
      <c r="B3811" s="289">
        <v>4038</v>
      </c>
      <c r="C3811" s="261">
        <v>123</v>
      </c>
      <c r="D3811" s="244" t="s">
        <v>12</v>
      </c>
      <c r="E3811" s="263">
        <v>5</v>
      </c>
      <c r="F3811" s="294" t="s">
        <v>126</v>
      </c>
      <c r="G3811" s="294" t="s">
        <v>408</v>
      </c>
      <c r="H3811" s="298">
        <v>1</v>
      </c>
      <c r="M3811" s="274"/>
    </row>
    <row r="3812" spans="2:13" ht="15" customHeight="1" x14ac:dyDescent="0.25">
      <c r="B3812" s="289">
        <v>4039</v>
      </c>
      <c r="C3812" s="261">
        <v>123</v>
      </c>
      <c r="D3812" s="244" t="s">
        <v>11</v>
      </c>
      <c r="E3812" s="263">
        <v>9</v>
      </c>
      <c r="F3812" s="294" t="s">
        <v>436</v>
      </c>
      <c r="G3812" s="294" t="s">
        <v>126</v>
      </c>
      <c r="H3812" s="298">
        <v>1</v>
      </c>
      <c r="M3812" s="274"/>
    </row>
    <row r="3813" spans="2:13" ht="15" customHeight="1" x14ac:dyDescent="0.25">
      <c r="B3813" s="289">
        <v>4040</v>
      </c>
      <c r="C3813" s="261">
        <v>122</v>
      </c>
      <c r="D3813" s="244" t="s">
        <v>11</v>
      </c>
      <c r="E3813" s="263">
        <v>1</v>
      </c>
      <c r="F3813" s="294" t="s">
        <v>426</v>
      </c>
      <c r="G3813" s="294" t="s">
        <v>126</v>
      </c>
      <c r="H3813" s="298">
        <v>1</v>
      </c>
      <c r="M3813" s="274"/>
    </row>
    <row r="3814" spans="2:13" ht="15" customHeight="1" x14ac:dyDescent="0.25">
      <c r="B3814" s="289">
        <v>4041</v>
      </c>
      <c r="C3814" s="261">
        <v>123</v>
      </c>
      <c r="D3814" s="244" t="s">
        <v>12</v>
      </c>
      <c r="E3814" s="263">
        <v>62</v>
      </c>
      <c r="F3814" s="294" t="s">
        <v>126</v>
      </c>
      <c r="G3814" s="294" t="s">
        <v>516</v>
      </c>
      <c r="H3814" s="298">
        <v>1</v>
      </c>
      <c r="M3814" s="274"/>
    </row>
    <row r="3815" spans="2:13" ht="15" customHeight="1" x14ac:dyDescent="0.25">
      <c r="B3815" s="289">
        <v>4042</v>
      </c>
      <c r="C3815" s="261">
        <v>123</v>
      </c>
      <c r="D3815" s="244" t="s">
        <v>11</v>
      </c>
      <c r="E3815" s="263">
        <v>9</v>
      </c>
      <c r="F3815" s="294" t="s">
        <v>436</v>
      </c>
      <c r="G3815" s="294" t="s">
        <v>126</v>
      </c>
      <c r="H3815" s="298">
        <v>1</v>
      </c>
      <c r="M3815" s="274"/>
    </row>
    <row r="3816" spans="2:13" ht="15" customHeight="1" x14ac:dyDescent="0.25">
      <c r="B3816" s="289">
        <v>4044</v>
      </c>
      <c r="C3816" s="261">
        <v>121</v>
      </c>
      <c r="D3816" s="244" t="s">
        <v>11</v>
      </c>
      <c r="E3816" s="263">
        <v>2</v>
      </c>
      <c r="F3816" s="294" t="s">
        <v>441</v>
      </c>
      <c r="G3816" s="294" t="s">
        <v>126</v>
      </c>
      <c r="H3816" s="298">
        <v>1</v>
      </c>
      <c r="M3816" s="274"/>
    </row>
    <row r="3817" spans="2:13" ht="15" customHeight="1" x14ac:dyDescent="0.25">
      <c r="B3817" s="289">
        <v>4045</v>
      </c>
      <c r="C3817" s="261">
        <v>123</v>
      </c>
      <c r="D3817" s="244" t="s">
        <v>12</v>
      </c>
      <c r="E3817" s="263">
        <v>2</v>
      </c>
      <c r="F3817" s="294" t="s">
        <v>126</v>
      </c>
      <c r="G3817" s="294" t="s">
        <v>441</v>
      </c>
      <c r="H3817" s="298">
        <v>1</v>
      </c>
      <c r="M3817" s="274"/>
    </row>
    <row r="3818" spans="2:13" ht="15" customHeight="1" x14ac:dyDescent="0.25">
      <c r="B3818" s="289">
        <v>4048</v>
      </c>
      <c r="C3818" s="261">
        <v>123</v>
      </c>
      <c r="D3818" s="244" t="s">
        <v>12</v>
      </c>
      <c r="E3818" s="263">
        <v>57</v>
      </c>
      <c r="F3818" s="294" t="s">
        <v>126</v>
      </c>
      <c r="G3818" s="294" t="s">
        <v>409</v>
      </c>
      <c r="H3818" s="298">
        <v>1</v>
      </c>
      <c r="M3818" s="274"/>
    </row>
    <row r="3819" spans="2:13" ht="15" customHeight="1" x14ac:dyDescent="0.25">
      <c r="B3819" s="289">
        <v>4049</v>
      </c>
      <c r="C3819" s="261">
        <v>123</v>
      </c>
      <c r="D3819" s="244" t="s">
        <v>12</v>
      </c>
      <c r="E3819" s="263">
        <v>5</v>
      </c>
      <c r="F3819" s="294" t="s">
        <v>126</v>
      </c>
      <c r="G3819" s="294" t="s">
        <v>410</v>
      </c>
      <c r="H3819" s="298">
        <v>1</v>
      </c>
      <c r="M3819" s="274"/>
    </row>
    <row r="3820" spans="2:13" ht="15" customHeight="1" x14ac:dyDescent="0.25">
      <c r="B3820" s="289">
        <v>4050</v>
      </c>
      <c r="C3820" s="261">
        <v>123</v>
      </c>
      <c r="D3820" s="244" t="s">
        <v>12</v>
      </c>
      <c r="E3820" s="263">
        <v>98</v>
      </c>
      <c r="F3820" s="294" t="s">
        <v>126</v>
      </c>
      <c r="G3820" s="294" t="s">
        <v>411</v>
      </c>
      <c r="H3820" s="298">
        <v>1</v>
      </c>
      <c r="M3820" s="274"/>
    </row>
    <row r="3821" spans="2:13" ht="15" customHeight="1" x14ac:dyDescent="0.25">
      <c r="B3821" s="289">
        <v>4051</v>
      </c>
      <c r="C3821" s="261">
        <v>123</v>
      </c>
      <c r="D3821" s="244" t="s">
        <v>12</v>
      </c>
      <c r="E3821" s="263">
        <v>89</v>
      </c>
      <c r="F3821" s="294" t="s">
        <v>126</v>
      </c>
      <c r="G3821" s="294" t="s">
        <v>412</v>
      </c>
      <c r="H3821" s="298">
        <v>1</v>
      </c>
      <c r="M3821" s="274"/>
    </row>
    <row r="3822" spans="2:13" ht="15" customHeight="1" x14ac:dyDescent="0.25">
      <c r="B3822" s="289">
        <v>4053</v>
      </c>
      <c r="C3822" s="261">
        <v>89</v>
      </c>
      <c r="D3822" s="244" t="s">
        <v>11</v>
      </c>
      <c r="E3822" s="263">
        <v>30</v>
      </c>
      <c r="F3822" s="294" t="s">
        <v>413</v>
      </c>
      <c r="G3822" s="294" t="s">
        <v>126</v>
      </c>
      <c r="H3822" s="298">
        <v>1</v>
      </c>
      <c r="M3822" s="274"/>
    </row>
    <row r="3823" spans="2:13" ht="15" customHeight="1" x14ac:dyDescent="0.25">
      <c r="B3823" s="289">
        <v>4053</v>
      </c>
      <c r="C3823" s="261">
        <v>130</v>
      </c>
      <c r="D3823" s="244" t="s">
        <v>11</v>
      </c>
      <c r="E3823" s="263">
        <v>11</v>
      </c>
      <c r="F3823" s="294" t="s">
        <v>414</v>
      </c>
      <c r="G3823" s="294" t="s">
        <v>126</v>
      </c>
      <c r="H3823" s="298">
        <v>1</v>
      </c>
      <c r="M3823" s="274"/>
    </row>
    <row r="3824" spans="2:13" ht="15" customHeight="1" x14ac:dyDescent="0.25">
      <c r="M3824" s="274"/>
    </row>
    <row r="3825" spans="13:13" ht="15" customHeight="1" x14ac:dyDescent="0.25">
      <c r="M3825" s="274"/>
    </row>
    <row r="3826" spans="13:13" ht="15" customHeight="1" x14ac:dyDescent="0.25">
      <c r="M3826" s="274"/>
    </row>
    <row r="3827" spans="13:13" ht="15" customHeight="1" x14ac:dyDescent="0.25">
      <c r="M3827" s="274"/>
    </row>
    <row r="3828" spans="13:13" ht="15" customHeight="1" x14ac:dyDescent="0.25">
      <c r="M3828" s="274"/>
    </row>
    <row r="3829" spans="13:13" ht="15" customHeight="1" x14ac:dyDescent="0.25">
      <c r="M3829" s="274"/>
    </row>
    <row r="3830" spans="13:13" ht="15" customHeight="1" x14ac:dyDescent="0.25">
      <c r="M3830" s="274"/>
    </row>
    <row r="3831" spans="13:13" ht="15" customHeight="1" x14ac:dyDescent="0.25">
      <c r="M3831" s="274"/>
    </row>
    <row r="3832" spans="13:13" ht="15" customHeight="1" x14ac:dyDescent="0.25">
      <c r="M3832" s="274"/>
    </row>
    <row r="3833" spans="13:13" ht="15" customHeight="1" x14ac:dyDescent="0.25">
      <c r="M3833" s="274"/>
    </row>
    <row r="3834" spans="13:13" ht="15" customHeight="1" x14ac:dyDescent="0.25">
      <c r="M3834" s="274"/>
    </row>
    <row r="3835" spans="13:13" ht="15" customHeight="1" x14ac:dyDescent="0.25">
      <c r="M3835" s="274"/>
    </row>
    <row r="3836" spans="13:13" ht="15" customHeight="1" x14ac:dyDescent="0.25">
      <c r="M3836" s="274"/>
    </row>
    <row r="3837" spans="13:13" ht="15" customHeight="1" x14ac:dyDescent="0.25">
      <c r="M3837" s="274"/>
    </row>
    <row r="3838" spans="13:13" ht="15" customHeight="1" x14ac:dyDescent="0.25">
      <c r="M3838" s="274"/>
    </row>
    <row r="3839" spans="13:13" ht="15" customHeight="1" x14ac:dyDescent="0.25">
      <c r="M3839" s="274"/>
    </row>
    <row r="3840" spans="13:13" ht="15" customHeight="1" x14ac:dyDescent="0.25">
      <c r="M3840" s="274"/>
    </row>
    <row r="3841" spans="13:13" ht="15" customHeight="1" x14ac:dyDescent="0.25">
      <c r="M3841" s="274"/>
    </row>
    <row r="3842" spans="13:13" ht="15" customHeight="1" x14ac:dyDescent="0.25">
      <c r="M3842" s="274"/>
    </row>
    <row r="3843" spans="13:13" ht="15" customHeight="1" x14ac:dyDescent="0.25">
      <c r="M3843" s="274"/>
    </row>
    <row r="3844" spans="13:13" ht="15" customHeight="1" x14ac:dyDescent="0.25">
      <c r="M3844" s="274"/>
    </row>
    <row r="3845" spans="13:13" ht="15" customHeight="1" x14ac:dyDescent="0.25">
      <c r="M3845" s="274"/>
    </row>
    <row r="3846" spans="13:13" ht="15" customHeight="1" x14ac:dyDescent="0.25">
      <c r="M3846" s="274"/>
    </row>
    <row r="3847" spans="13:13" ht="15" customHeight="1" x14ac:dyDescent="0.25">
      <c r="M3847" s="274"/>
    </row>
    <row r="3848" spans="13:13" ht="15" customHeight="1" x14ac:dyDescent="0.25">
      <c r="M3848" s="274"/>
    </row>
    <row r="3849" spans="13:13" ht="15" customHeight="1" x14ac:dyDescent="0.25">
      <c r="M3849" s="274"/>
    </row>
    <row r="3850" spans="13:13" ht="15" customHeight="1" x14ac:dyDescent="0.25">
      <c r="M3850" s="274"/>
    </row>
    <row r="3851" spans="13:13" ht="15" customHeight="1" x14ac:dyDescent="0.25">
      <c r="M3851" s="274"/>
    </row>
    <row r="3852" spans="13:13" ht="15" customHeight="1" x14ac:dyDescent="0.25">
      <c r="M3852" s="274"/>
    </row>
    <row r="3853" spans="13:13" ht="15" customHeight="1" x14ac:dyDescent="0.25">
      <c r="M3853" s="274"/>
    </row>
    <row r="3854" spans="13:13" ht="15" customHeight="1" x14ac:dyDescent="0.25">
      <c r="M3854" s="274"/>
    </row>
    <row r="3855" spans="13:13" ht="15" customHeight="1" x14ac:dyDescent="0.25">
      <c r="M3855" s="274"/>
    </row>
    <row r="3856" spans="13:13" ht="15" customHeight="1" x14ac:dyDescent="0.25">
      <c r="M3856" s="274"/>
    </row>
    <row r="3857" spans="13:13" ht="15" customHeight="1" x14ac:dyDescent="0.25">
      <c r="M3857" s="274"/>
    </row>
    <row r="3858" spans="13:13" ht="15" customHeight="1" x14ac:dyDescent="0.25">
      <c r="M3858" s="274"/>
    </row>
    <row r="3859" spans="13:13" ht="15" customHeight="1" x14ac:dyDescent="0.25">
      <c r="M3859" s="274"/>
    </row>
    <row r="3860" spans="13:13" ht="15" customHeight="1" x14ac:dyDescent="0.25">
      <c r="M3860" s="274"/>
    </row>
    <row r="3861" spans="13:13" ht="15" customHeight="1" x14ac:dyDescent="0.25">
      <c r="M3861" s="274"/>
    </row>
    <row r="3862" spans="13:13" ht="15" customHeight="1" x14ac:dyDescent="0.25">
      <c r="M3862" s="274"/>
    </row>
    <row r="3863" spans="13:13" ht="15" customHeight="1" x14ac:dyDescent="0.25">
      <c r="M3863" s="274"/>
    </row>
    <row r="3864" spans="13:13" ht="15" customHeight="1" x14ac:dyDescent="0.25">
      <c r="M3864" s="274"/>
    </row>
    <row r="3865" spans="13:13" ht="15" customHeight="1" x14ac:dyDescent="0.25">
      <c r="M3865" s="274"/>
    </row>
    <row r="3866" spans="13:13" ht="15" customHeight="1" x14ac:dyDescent="0.25">
      <c r="M3866" s="274"/>
    </row>
    <row r="3867" spans="13:13" ht="15" customHeight="1" x14ac:dyDescent="0.25">
      <c r="M3867" s="274"/>
    </row>
    <row r="3868" spans="13:13" ht="15" customHeight="1" x14ac:dyDescent="0.25">
      <c r="M3868" s="274"/>
    </row>
    <row r="3869" spans="13:13" ht="15" customHeight="1" x14ac:dyDescent="0.25">
      <c r="M3869" s="274"/>
    </row>
    <row r="3870" spans="13:13" ht="15" customHeight="1" x14ac:dyDescent="0.25">
      <c r="M3870" s="274"/>
    </row>
    <row r="3871" spans="13:13" ht="15" customHeight="1" x14ac:dyDescent="0.25">
      <c r="M3871" s="274"/>
    </row>
    <row r="3872" spans="13:13" ht="15" customHeight="1" x14ac:dyDescent="0.25">
      <c r="M3872" s="274"/>
    </row>
    <row r="3873" spans="13:13" ht="15" customHeight="1" x14ac:dyDescent="0.25">
      <c r="M3873" s="274"/>
    </row>
    <row r="3874" spans="13:13" ht="15" customHeight="1" x14ac:dyDescent="0.25">
      <c r="M3874" s="274"/>
    </row>
    <row r="3875" spans="13:13" ht="15" customHeight="1" x14ac:dyDescent="0.25">
      <c r="M3875" s="274"/>
    </row>
    <row r="3876" spans="13:13" ht="15" customHeight="1" x14ac:dyDescent="0.25">
      <c r="M3876" s="274"/>
    </row>
    <row r="3877" spans="13:13" ht="15" customHeight="1" x14ac:dyDescent="0.25">
      <c r="M3877" s="274"/>
    </row>
    <row r="3878" spans="13:13" ht="15" customHeight="1" x14ac:dyDescent="0.25">
      <c r="M3878" s="274"/>
    </row>
    <row r="3879" spans="13:13" ht="15" customHeight="1" x14ac:dyDescent="0.25">
      <c r="M3879" s="274"/>
    </row>
    <row r="3880" spans="13:13" ht="15" customHeight="1" x14ac:dyDescent="0.25">
      <c r="M3880" s="274"/>
    </row>
    <row r="3881" spans="13:13" ht="15" customHeight="1" x14ac:dyDescent="0.25">
      <c r="M3881" s="274"/>
    </row>
    <row r="3882" spans="13:13" ht="15" customHeight="1" x14ac:dyDescent="0.25">
      <c r="M3882" s="274"/>
    </row>
    <row r="3883" spans="13:13" ht="15" customHeight="1" x14ac:dyDescent="0.25">
      <c r="M3883" s="274"/>
    </row>
    <row r="3884" spans="13:13" ht="15" customHeight="1" x14ac:dyDescent="0.25">
      <c r="M3884" s="274"/>
    </row>
    <row r="3885" spans="13:13" ht="15" customHeight="1" x14ac:dyDescent="0.25">
      <c r="M3885" s="274"/>
    </row>
    <row r="3886" spans="13:13" ht="15" customHeight="1" x14ac:dyDescent="0.25">
      <c r="M3886" s="274"/>
    </row>
    <row r="3887" spans="13:13" ht="15" customHeight="1" x14ac:dyDescent="0.25">
      <c r="M3887" s="274"/>
    </row>
    <row r="3888" spans="13:13" ht="15" customHeight="1" x14ac:dyDescent="0.25">
      <c r="M3888" s="274"/>
    </row>
    <row r="3889" spans="13:13" ht="15" customHeight="1" x14ac:dyDescent="0.25">
      <c r="M3889" s="274"/>
    </row>
    <row r="3890" spans="13:13" ht="15" customHeight="1" x14ac:dyDescent="0.25">
      <c r="M3890" s="274"/>
    </row>
    <row r="3891" spans="13:13" ht="15" customHeight="1" x14ac:dyDescent="0.25">
      <c r="M3891" s="274"/>
    </row>
    <row r="3892" spans="13:13" ht="15" customHeight="1" x14ac:dyDescent="0.25">
      <c r="M3892" s="274"/>
    </row>
    <row r="3893" spans="13:13" ht="15" customHeight="1" x14ac:dyDescent="0.25">
      <c r="M3893" s="274"/>
    </row>
    <row r="3894" spans="13:13" ht="15" customHeight="1" x14ac:dyDescent="0.25">
      <c r="M3894" s="274"/>
    </row>
    <row r="3895" spans="13:13" ht="15" customHeight="1" x14ac:dyDescent="0.25">
      <c r="M3895" s="274"/>
    </row>
    <row r="3896" spans="13:13" ht="15" customHeight="1" x14ac:dyDescent="0.25">
      <c r="M3896" s="274"/>
    </row>
    <row r="3897" spans="13:13" ht="15" customHeight="1" x14ac:dyDescent="0.25">
      <c r="M3897" s="274"/>
    </row>
    <row r="3898" spans="13:13" ht="15" customHeight="1" x14ac:dyDescent="0.25">
      <c r="M3898" s="274"/>
    </row>
    <row r="3899" spans="13:13" ht="15" customHeight="1" x14ac:dyDescent="0.25">
      <c r="M3899" s="274"/>
    </row>
    <row r="3900" spans="13:13" ht="15" customHeight="1" x14ac:dyDescent="0.25">
      <c r="M3900" s="274"/>
    </row>
    <row r="3901" spans="13:13" ht="15" customHeight="1" x14ac:dyDescent="0.25">
      <c r="M3901" s="274"/>
    </row>
    <row r="3902" spans="13:13" ht="15" customHeight="1" x14ac:dyDescent="0.25">
      <c r="M3902" s="274"/>
    </row>
    <row r="3903" spans="13:13" ht="15" customHeight="1" x14ac:dyDescent="0.25">
      <c r="M3903" s="274"/>
    </row>
    <row r="3904" spans="13:13" ht="15" customHeight="1" x14ac:dyDescent="0.25">
      <c r="M3904" s="274"/>
    </row>
    <row r="3905" spans="13:13" ht="15" customHeight="1" x14ac:dyDescent="0.25">
      <c r="M3905" s="274"/>
    </row>
    <row r="3906" spans="13:13" ht="15" customHeight="1" x14ac:dyDescent="0.25">
      <c r="M3906" s="274"/>
    </row>
    <row r="3907" spans="13:13" ht="15" customHeight="1" x14ac:dyDescent="0.25">
      <c r="M3907" s="274"/>
    </row>
    <row r="3908" spans="13:13" ht="15" customHeight="1" x14ac:dyDescent="0.25">
      <c r="M3908" s="274"/>
    </row>
    <row r="3909" spans="13:13" ht="15" customHeight="1" x14ac:dyDescent="0.25">
      <c r="M3909" s="274"/>
    </row>
    <row r="3910" spans="13:13" ht="15" customHeight="1" x14ac:dyDescent="0.25">
      <c r="M3910" s="274"/>
    </row>
    <row r="3911" spans="13:13" ht="15" customHeight="1" x14ac:dyDescent="0.25">
      <c r="M3911" s="274"/>
    </row>
    <row r="3912" spans="13:13" ht="15" customHeight="1" x14ac:dyDescent="0.25">
      <c r="M3912" s="274"/>
    </row>
    <row r="3913" spans="13:13" ht="15" customHeight="1" x14ac:dyDescent="0.25">
      <c r="M3913" s="274"/>
    </row>
    <row r="3914" spans="13:13" ht="15" customHeight="1" x14ac:dyDescent="0.25">
      <c r="M3914" s="274"/>
    </row>
    <row r="3915" spans="13:13" ht="15" customHeight="1" x14ac:dyDescent="0.25">
      <c r="M3915" s="274"/>
    </row>
    <row r="3916" spans="13:13" ht="15" customHeight="1" x14ac:dyDescent="0.25">
      <c r="M3916" s="274"/>
    </row>
    <row r="3917" spans="13:13" ht="15" customHeight="1" x14ac:dyDescent="0.25">
      <c r="M3917" s="274"/>
    </row>
    <row r="3918" spans="13:13" ht="15" customHeight="1" x14ac:dyDescent="0.25">
      <c r="M3918" s="274"/>
    </row>
    <row r="3919" spans="13:13" ht="15" customHeight="1" x14ac:dyDescent="0.25">
      <c r="M3919" s="274"/>
    </row>
    <row r="3920" spans="13:13" ht="15" customHeight="1" x14ac:dyDescent="0.25">
      <c r="M3920" s="274"/>
    </row>
    <row r="3921" spans="13:13" ht="15" customHeight="1" x14ac:dyDescent="0.25">
      <c r="M3921" s="274"/>
    </row>
    <row r="3922" spans="13:13" ht="15" customHeight="1" x14ac:dyDescent="0.25">
      <c r="M3922" s="274"/>
    </row>
    <row r="3923" spans="13:13" ht="15" customHeight="1" x14ac:dyDescent="0.25">
      <c r="M3923" s="274"/>
    </row>
    <row r="3924" spans="13:13" ht="15" customHeight="1" x14ac:dyDescent="0.25">
      <c r="M3924" s="274"/>
    </row>
    <row r="3925" spans="13:13" ht="15" customHeight="1" x14ac:dyDescent="0.25">
      <c r="M3925" s="274"/>
    </row>
    <row r="3926" spans="13:13" ht="15" customHeight="1" x14ac:dyDescent="0.25">
      <c r="M3926" s="274"/>
    </row>
    <row r="3927" spans="13:13" ht="15" customHeight="1" x14ac:dyDescent="0.25">
      <c r="M3927" s="274"/>
    </row>
    <row r="3928" spans="13:13" ht="15" customHeight="1" x14ac:dyDescent="0.25">
      <c r="M3928" s="274"/>
    </row>
    <row r="3929" spans="13:13" ht="15" customHeight="1" x14ac:dyDescent="0.25">
      <c r="M3929" s="274"/>
    </row>
    <row r="3930" spans="13:13" ht="15" customHeight="1" x14ac:dyDescent="0.25">
      <c r="M3930" s="274"/>
    </row>
    <row r="3931" spans="13:13" ht="15" customHeight="1" x14ac:dyDescent="0.25">
      <c r="M3931" s="274"/>
    </row>
    <row r="3932" spans="13:13" ht="15" customHeight="1" x14ac:dyDescent="0.25">
      <c r="M3932" s="274"/>
    </row>
    <row r="3933" spans="13:13" ht="15" customHeight="1" x14ac:dyDescent="0.25">
      <c r="M3933" s="274"/>
    </row>
    <row r="3934" spans="13:13" ht="15" customHeight="1" x14ac:dyDescent="0.25">
      <c r="M3934" s="274"/>
    </row>
    <row r="3935" spans="13:13" ht="15" customHeight="1" x14ac:dyDescent="0.25">
      <c r="M3935" s="274"/>
    </row>
    <row r="3936" spans="13:13" ht="15" customHeight="1" x14ac:dyDescent="0.25">
      <c r="M3936" s="274"/>
    </row>
    <row r="3937" spans="13:13" ht="15" customHeight="1" x14ac:dyDescent="0.25">
      <c r="M3937" s="274"/>
    </row>
    <row r="3938" spans="13:13" ht="15" customHeight="1" x14ac:dyDescent="0.25">
      <c r="M3938" s="274"/>
    </row>
    <row r="3939" spans="13:13" ht="15" customHeight="1" x14ac:dyDescent="0.25">
      <c r="M3939" s="274"/>
    </row>
    <row r="3940" spans="13:13" ht="15" customHeight="1" x14ac:dyDescent="0.25">
      <c r="M3940" s="274"/>
    </row>
    <row r="3941" spans="13:13" ht="15" customHeight="1" x14ac:dyDescent="0.25">
      <c r="M3941" s="274"/>
    </row>
    <row r="3942" spans="13:13" ht="15" customHeight="1" x14ac:dyDescent="0.25">
      <c r="M3942" s="274"/>
    </row>
    <row r="3943" spans="13:13" ht="15" customHeight="1" x14ac:dyDescent="0.25">
      <c r="M3943" s="274"/>
    </row>
    <row r="3944" spans="13:13" ht="15" customHeight="1" x14ac:dyDescent="0.25">
      <c r="M3944" s="274"/>
    </row>
    <row r="3945" spans="13:13" ht="15" customHeight="1" x14ac:dyDescent="0.25">
      <c r="M3945" s="274"/>
    </row>
    <row r="3946" spans="13:13" ht="15" customHeight="1" x14ac:dyDescent="0.25">
      <c r="M3946" s="274"/>
    </row>
    <row r="3947" spans="13:13" ht="15" customHeight="1" x14ac:dyDescent="0.25">
      <c r="M3947" s="274"/>
    </row>
    <row r="3948" spans="13:13" ht="15" customHeight="1" x14ac:dyDescent="0.25">
      <c r="M3948" s="274"/>
    </row>
    <row r="3949" spans="13:13" ht="15" customHeight="1" x14ac:dyDescent="0.25">
      <c r="M3949" s="274"/>
    </row>
    <row r="3950" spans="13:13" ht="15" customHeight="1" x14ac:dyDescent="0.25">
      <c r="M3950" s="274"/>
    </row>
    <row r="3951" spans="13:13" ht="15" customHeight="1" x14ac:dyDescent="0.25">
      <c r="M3951" s="274"/>
    </row>
    <row r="3952" spans="13:13" ht="15" customHeight="1" x14ac:dyDescent="0.25">
      <c r="M3952" s="274"/>
    </row>
    <row r="3953" spans="13:13" ht="15" customHeight="1" x14ac:dyDescent="0.25">
      <c r="M3953" s="274"/>
    </row>
    <row r="3954" spans="13:13" ht="15" customHeight="1" x14ac:dyDescent="0.25">
      <c r="M3954" s="274"/>
    </row>
    <row r="3955" spans="13:13" ht="15" customHeight="1" x14ac:dyDescent="0.25">
      <c r="M3955" s="274"/>
    </row>
    <row r="3956" spans="13:13" ht="15" customHeight="1" x14ac:dyDescent="0.25">
      <c r="M3956" s="274"/>
    </row>
    <row r="3957" spans="13:13" ht="15" customHeight="1" x14ac:dyDescent="0.25">
      <c r="M3957" s="274"/>
    </row>
    <row r="3958" spans="13:13" ht="15" customHeight="1" x14ac:dyDescent="0.25">
      <c r="M3958" s="274"/>
    </row>
    <row r="3959" spans="13:13" ht="15" customHeight="1" x14ac:dyDescent="0.25">
      <c r="M3959" s="274"/>
    </row>
    <row r="3960" spans="13:13" ht="15" customHeight="1" x14ac:dyDescent="0.25">
      <c r="M3960" s="274"/>
    </row>
    <row r="3961" spans="13:13" ht="15" customHeight="1" x14ac:dyDescent="0.25">
      <c r="M3961" s="274"/>
    </row>
    <row r="3962" spans="13:13" ht="15" customHeight="1" x14ac:dyDescent="0.25">
      <c r="M3962" s="274"/>
    </row>
    <row r="3963" spans="13:13" ht="15" customHeight="1" x14ac:dyDescent="0.25">
      <c r="M3963" s="274"/>
    </row>
    <row r="3964" spans="13:13" ht="15" customHeight="1" x14ac:dyDescent="0.25">
      <c r="M3964" s="274"/>
    </row>
    <row r="3965" spans="13:13" ht="15" customHeight="1" x14ac:dyDescent="0.25">
      <c r="M3965" s="274"/>
    </row>
    <row r="3966" spans="13:13" ht="15" customHeight="1" x14ac:dyDescent="0.25">
      <c r="M3966" s="274"/>
    </row>
    <row r="3967" spans="13:13" ht="15" customHeight="1" x14ac:dyDescent="0.25">
      <c r="M3967" s="274"/>
    </row>
    <row r="3968" spans="13:13" ht="15" customHeight="1" x14ac:dyDescent="0.25">
      <c r="M3968" s="274"/>
    </row>
    <row r="3969" spans="2:13" ht="15" customHeight="1" x14ac:dyDescent="0.25">
      <c r="M3969" s="274"/>
    </row>
    <row r="3970" spans="2:13" ht="15" customHeight="1" x14ac:dyDescent="0.25">
      <c r="M3970" s="274"/>
    </row>
    <row r="3971" spans="2:13" ht="15" customHeight="1" x14ac:dyDescent="0.25">
      <c r="B3971" s="289">
        <v>4042</v>
      </c>
      <c r="C3971" s="261">
        <v>123</v>
      </c>
      <c r="D3971" s="244" t="s">
        <v>11</v>
      </c>
      <c r="E3971" s="263">
        <v>17</v>
      </c>
      <c r="F3971" s="294" t="s">
        <v>517</v>
      </c>
      <c r="G3971" s="294" t="s">
        <v>126</v>
      </c>
      <c r="H3971" s="298">
        <v>1</v>
      </c>
      <c r="M3971" s="274"/>
    </row>
    <row r="3972" spans="2:13" ht="15" customHeight="1" x14ac:dyDescent="0.25">
      <c r="B3972" s="289">
        <v>4043</v>
      </c>
      <c r="C3972" s="261">
        <v>123</v>
      </c>
      <c r="D3972" s="244" t="s">
        <v>12</v>
      </c>
      <c r="E3972" s="263">
        <v>78</v>
      </c>
      <c r="F3972" s="294" t="s">
        <v>126</v>
      </c>
      <c r="G3972" s="294" t="s">
        <v>518</v>
      </c>
      <c r="H3972" s="298">
        <v>1</v>
      </c>
      <c r="M3972" s="274"/>
    </row>
    <row r="3973" spans="2:13" ht="15" customHeight="1" x14ac:dyDescent="0.25">
      <c r="B3973" s="289">
        <v>4044</v>
      </c>
      <c r="C3973" s="261">
        <v>123</v>
      </c>
      <c r="D3973" s="244" t="s">
        <v>12</v>
      </c>
      <c r="E3973" s="263">
        <v>30</v>
      </c>
      <c r="F3973" s="294" t="s">
        <v>126</v>
      </c>
      <c r="G3973" s="294" t="s">
        <v>519</v>
      </c>
      <c r="H3973" s="298">
        <v>1</v>
      </c>
      <c r="M3973" s="274"/>
    </row>
    <row r="3974" spans="2:13" ht="15" customHeight="1" x14ac:dyDescent="0.25">
      <c r="B3974" s="289">
        <v>4045</v>
      </c>
      <c r="C3974" s="261">
        <v>135</v>
      </c>
      <c r="D3974" s="244" t="s">
        <v>11</v>
      </c>
      <c r="E3974" s="263">
        <v>1</v>
      </c>
      <c r="F3974" s="294" t="s">
        <v>139</v>
      </c>
      <c r="G3974" s="294" t="s">
        <v>126</v>
      </c>
      <c r="H3974" s="298">
        <v>1</v>
      </c>
      <c r="M3974" s="274"/>
    </row>
    <row r="3975" spans="2:13" ht="15" customHeight="1" x14ac:dyDescent="0.25">
      <c r="B3975" s="289">
        <v>4046</v>
      </c>
      <c r="C3975" s="261">
        <v>139</v>
      </c>
      <c r="D3975" s="244" t="s">
        <v>12</v>
      </c>
      <c r="E3975" s="263">
        <v>15</v>
      </c>
      <c r="F3975" s="294" t="s">
        <v>126</v>
      </c>
      <c r="G3975" s="294" t="s">
        <v>520</v>
      </c>
      <c r="H3975" s="298">
        <v>1</v>
      </c>
      <c r="M3975" s="274"/>
    </row>
    <row r="3976" spans="2:13" ht="15" customHeight="1" x14ac:dyDescent="0.25">
      <c r="B3976" s="289">
        <v>4047</v>
      </c>
      <c r="C3976" s="261">
        <v>127</v>
      </c>
      <c r="D3976" s="244" t="s">
        <v>12</v>
      </c>
      <c r="E3976" s="263">
        <v>15</v>
      </c>
      <c r="F3976" s="294" t="s">
        <v>126</v>
      </c>
      <c r="G3976" s="294" t="s">
        <v>521</v>
      </c>
      <c r="H3976" s="298">
        <v>1</v>
      </c>
      <c r="M3976" s="274"/>
    </row>
    <row r="3977" spans="2:13" ht="15" customHeight="1" x14ac:dyDescent="0.25">
      <c r="B3977" s="289">
        <v>4049</v>
      </c>
      <c r="C3977" s="261">
        <v>123</v>
      </c>
      <c r="D3977" s="244" t="s">
        <v>12</v>
      </c>
      <c r="E3977" s="263">
        <v>89</v>
      </c>
      <c r="F3977" s="294" t="s">
        <v>126</v>
      </c>
      <c r="G3977" s="294" t="s">
        <v>522</v>
      </c>
      <c r="H3977" s="298">
        <v>1</v>
      </c>
      <c r="M3977" s="274"/>
    </row>
    <row r="3978" spans="2:13" ht="15" customHeight="1" x14ac:dyDescent="0.25">
      <c r="B3978" s="289">
        <v>4050</v>
      </c>
      <c r="C3978" s="261">
        <v>123</v>
      </c>
      <c r="D3978" s="244" t="s">
        <v>12</v>
      </c>
      <c r="E3978" s="263">
        <v>13</v>
      </c>
      <c r="F3978" s="294" t="s">
        <v>126</v>
      </c>
      <c r="G3978" s="294" t="s">
        <v>523</v>
      </c>
      <c r="H3978" s="298">
        <v>1</v>
      </c>
      <c r="M3978" s="274"/>
    </row>
    <row r="3979" spans="2:13" ht="15" customHeight="1" x14ac:dyDescent="0.25">
      <c r="B3979" s="289">
        <v>4051</v>
      </c>
      <c r="C3979" s="261">
        <v>122</v>
      </c>
      <c r="D3979" s="244" t="s">
        <v>11</v>
      </c>
      <c r="E3979" s="263">
        <v>12</v>
      </c>
      <c r="F3979" s="294" t="s">
        <v>524</v>
      </c>
      <c r="G3979" s="294" t="s">
        <v>126</v>
      </c>
      <c r="H3979" s="298">
        <v>1</v>
      </c>
      <c r="M3979" s="274"/>
    </row>
    <row r="3980" spans="2:13" ht="15" customHeight="1" x14ac:dyDescent="0.25">
      <c r="B3980" s="289">
        <v>4052</v>
      </c>
      <c r="C3980" s="261">
        <v>123</v>
      </c>
      <c r="D3980" s="244" t="s">
        <v>12</v>
      </c>
      <c r="E3980" s="263">
        <v>64</v>
      </c>
      <c r="F3980" s="294" t="s">
        <v>126</v>
      </c>
      <c r="G3980" s="294" t="s">
        <v>525</v>
      </c>
      <c r="H3980" s="298">
        <v>1</v>
      </c>
      <c r="M3980" s="274"/>
    </row>
    <row r="3981" spans="2:13" ht="15" customHeight="1" x14ac:dyDescent="0.25">
      <c r="B3981" s="289">
        <v>4053</v>
      </c>
      <c r="C3981" s="261">
        <v>121</v>
      </c>
      <c r="D3981" s="244" t="s">
        <v>12</v>
      </c>
      <c r="E3981" s="263">
        <v>1</v>
      </c>
      <c r="F3981" s="294" t="s">
        <v>126</v>
      </c>
      <c r="G3981" s="294" t="s">
        <v>139</v>
      </c>
      <c r="H3981" s="298">
        <v>1</v>
      </c>
      <c r="M3981" s="274"/>
    </row>
    <row r="3982" spans="2:13" ht="15" customHeight="1" x14ac:dyDescent="0.25">
      <c r="B3982" s="289">
        <v>4054</v>
      </c>
      <c r="C3982" s="261">
        <v>123</v>
      </c>
      <c r="D3982" s="244" t="s">
        <v>12</v>
      </c>
      <c r="E3982" s="263">
        <v>90</v>
      </c>
      <c r="F3982" s="294" t="s">
        <v>126</v>
      </c>
      <c r="G3982" s="294" t="s">
        <v>526</v>
      </c>
      <c r="H3982" s="298">
        <v>1</v>
      </c>
      <c r="M3982" s="274"/>
    </row>
    <row r="3983" spans="2:13" ht="15" customHeight="1" x14ac:dyDescent="0.25">
      <c r="B3983" s="289">
        <v>4055</v>
      </c>
      <c r="C3983" s="261">
        <v>123</v>
      </c>
      <c r="D3983" s="244" t="s">
        <v>12</v>
      </c>
      <c r="E3983" s="263">
        <v>41</v>
      </c>
      <c r="F3983" s="294" t="s">
        <v>126</v>
      </c>
      <c r="G3983" s="294" t="s">
        <v>527</v>
      </c>
      <c r="H3983" s="298">
        <v>1</v>
      </c>
      <c r="M3983" s="274"/>
    </row>
    <row r="3984" spans="2:13" ht="15" customHeight="1" x14ac:dyDescent="0.25">
      <c r="B3984" s="289">
        <v>4056</v>
      </c>
      <c r="C3984" s="261">
        <v>123</v>
      </c>
      <c r="D3984" s="244" t="s">
        <v>11</v>
      </c>
      <c r="E3984" s="263">
        <v>3</v>
      </c>
      <c r="F3984" s="294" t="s">
        <v>528</v>
      </c>
      <c r="G3984" s="294" t="s">
        <v>126</v>
      </c>
      <c r="H3984" s="298">
        <v>1</v>
      </c>
      <c r="M3984" s="274"/>
    </row>
    <row r="3985" spans="2:13" ht="15" customHeight="1" x14ac:dyDescent="0.25">
      <c r="B3985" s="289">
        <v>4057</v>
      </c>
      <c r="C3985" s="261">
        <v>123</v>
      </c>
      <c r="D3985" s="244" t="s">
        <v>11</v>
      </c>
      <c r="E3985" s="263">
        <v>2</v>
      </c>
      <c r="F3985" s="294" t="s">
        <v>420</v>
      </c>
      <c r="G3985" s="294" t="s">
        <v>126</v>
      </c>
      <c r="H3985" s="298">
        <v>1</v>
      </c>
      <c r="M3985" s="274"/>
    </row>
    <row r="3986" spans="2:13" ht="15" customHeight="1" x14ac:dyDescent="0.25">
      <c r="B3986" s="289">
        <v>4058</v>
      </c>
      <c r="C3986" s="261">
        <v>123</v>
      </c>
      <c r="D3986" s="244" t="s">
        <v>12</v>
      </c>
      <c r="E3986" s="263">
        <v>56</v>
      </c>
      <c r="F3986" s="294" t="s">
        <v>126</v>
      </c>
      <c r="G3986" s="294" t="s">
        <v>529</v>
      </c>
      <c r="H3986" s="298">
        <v>1</v>
      </c>
      <c r="M3986" s="274"/>
    </row>
    <row r="3987" spans="2:13" ht="15" customHeight="1" x14ac:dyDescent="0.25">
      <c r="B3987" s="289">
        <v>4059</v>
      </c>
      <c r="C3987" s="261">
        <v>128</v>
      </c>
      <c r="D3987" s="244" t="s">
        <v>11</v>
      </c>
      <c r="E3987" s="263">
        <v>1</v>
      </c>
      <c r="F3987" s="294" t="s">
        <v>426</v>
      </c>
      <c r="G3987" s="294" t="s">
        <v>126</v>
      </c>
      <c r="H3987" s="298">
        <v>1</v>
      </c>
      <c r="M3987" s="274"/>
    </row>
    <row r="3988" spans="2:13" ht="15" customHeight="1" x14ac:dyDescent="0.25">
      <c r="B3988" s="289">
        <v>4059</v>
      </c>
      <c r="C3988" s="261">
        <v>135</v>
      </c>
      <c r="D3988" s="244" t="s">
        <v>11</v>
      </c>
      <c r="E3988" s="263">
        <v>1</v>
      </c>
      <c r="F3988" s="294" t="s">
        <v>139</v>
      </c>
      <c r="G3988" s="294" t="s">
        <v>126</v>
      </c>
      <c r="H3988" s="298">
        <v>1</v>
      </c>
      <c r="M3988" s="274"/>
    </row>
    <row r="3989" spans="2:13" ht="15" customHeight="1" x14ac:dyDescent="0.25">
      <c r="B3989" s="289">
        <v>4060</v>
      </c>
      <c r="C3989" s="261">
        <v>131</v>
      </c>
      <c r="D3989" s="244" t="s">
        <v>11</v>
      </c>
      <c r="E3989" s="263">
        <v>1</v>
      </c>
      <c r="F3989" s="294" t="s">
        <v>426</v>
      </c>
      <c r="G3989" s="294" t="s">
        <v>126</v>
      </c>
      <c r="H3989" s="298">
        <v>1</v>
      </c>
      <c r="M3989" s="274"/>
    </row>
    <row r="3990" spans="2:13" ht="15" customHeight="1" x14ac:dyDescent="0.25">
      <c r="B3990" s="289">
        <v>4062</v>
      </c>
      <c r="C3990" s="261">
        <v>122</v>
      </c>
      <c r="D3990" s="244" t="s">
        <v>12</v>
      </c>
      <c r="E3990" s="263">
        <v>1</v>
      </c>
      <c r="F3990" s="294" t="s">
        <v>126</v>
      </c>
      <c r="G3990" s="294" t="s">
        <v>139</v>
      </c>
      <c r="H3990" s="298">
        <v>1</v>
      </c>
      <c r="M3990" s="274"/>
    </row>
    <row r="3991" spans="2:13" ht="15" customHeight="1" x14ac:dyDescent="0.25">
      <c r="B3991" s="289">
        <v>4063</v>
      </c>
      <c r="C3991" s="261">
        <v>123</v>
      </c>
      <c r="D3991" s="244" t="s">
        <v>11</v>
      </c>
      <c r="E3991" s="263">
        <v>9</v>
      </c>
      <c r="F3991" s="294" t="s">
        <v>436</v>
      </c>
      <c r="G3991" s="294" t="s">
        <v>126</v>
      </c>
      <c r="H3991" s="298">
        <v>1</v>
      </c>
      <c r="M3991" s="274"/>
    </row>
    <row r="3992" spans="2:13" ht="15" customHeight="1" x14ac:dyDescent="0.25">
      <c r="B3992" s="289">
        <v>4065</v>
      </c>
      <c r="C3992" s="261">
        <v>120</v>
      </c>
      <c r="D3992" s="244" t="s">
        <v>12</v>
      </c>
      <c r="E3992" s="263">
        <v>1</v>
      </c>
      <c r="F3992" s="294" t="s">
        <v>126</v>
      </c>
      <c r="G3992" s="294" t="s">
        <v>426</v>
      </c>
      <c r="H3992" s="298">
        <v>1</v>
      </c>
      <c r="M3992" s="274"/>
    </row>
    <row r="3993" spans="2:13" ht="15" customHeight="1" x14ac:dyDescent="0.25">
      <c r="B3993" s="289">
        <v>4067</v>
      </c>
      <c r="C3993" s="261">
        <v>120</v>
      </c>
      <c r="D3993" s="244" t="s">
        <v>12</v>
      </c>
      <c r="E3993" s="263">
        <v>1</v>
      </c>
      <c r="F3993" s="294" t="s">
        <v>126</v>
      </c>
      <c r="G3993" s="294" t="s">
        <v>426</v>
      </c>
      <c r="H3993" s="298">
        <v>1</v>
      </c>
      <c r="M3993" s="274"/>
    </row>
    <row r="3994" spans="2:13" ht="15" customHeight="1" x14ac:dyDescent="0.25">
      <c r="B3994" s="289">
        <v>4068</v>
      </c>
      <c r="C3994" s="261">
        <v>126</v>
      </c>
      <c r="D3994" s="244" t="s">
        <v>12</v>
      </c>
      <c r="E3994" s="263">
        <v>2</v>
      </c>
      <c r="F3994" s="294" t="s">
        <v>126</v>
      </c>
      <c r="G3994" s="294" t="s">
        <v>341</v>
      </c>
      <c r="H3994" s="298">
        <v>1</v>
      </c>
      <c r="M3994" s="274"/>
    </row>
    <row r="3995" spans="2:13" ht="15" customHeight="1" x14ac:dyDescent="0.25">
      <c r="B3995" s="289">
        <v>4069</v>
      </c>
      <c r="C3995" s="261">
        <v>120</v>
      </c>
      <c r="D3995" s="244" t="s">
        <v>12</v>
      </c>
      <c r="E3995" s="263">
        <v>1</v>
      </c>
      <c r="F3995" s="294" t="s">
        <v>126</v>
      </c>
      <c r="G3995" s="294" t="s">
        <v>426</v>
      </c>
      <c r="H3995" s="298">
        <v>1</v>
      </c>
      <c r="M3995" s="274"/>
    </row>
    <row r="3996" spans="2:13" ht="15" customHeight="1" x14ac:dyDescent="0.25">
      <c r="B3996" s="289">
        <v>4069</v>
      </c>
      <c r="C3996" s="261">
        <v>123</v>
      </c>
      <c r="D3996" s="244" t="s">
        <v>12</v>
      </c>
      <c r="E3996" s="263">
        <v>19</v>
      </c>
      <c r="F3996" s="294" t="s">
        <v>126</v>
      </c>
      <c r="G3996" s="294" t="s">
        <v>530</v>
      </c>
      <c r="H3996" s="298">
        <v>1</v>
      </c>
      <c r="M3996" s="274"/>
    </row>
    <row r="3997" spans="2:13" ht="15" customHeight="1" x14ac:dyDescent="0.25">
      <c r="B3997" s="289">
        <v>4070</v>
      </c>
      <c r="C3997" s="261">
        <v>120</v>
      </c>
      <c r="D3997" s="244" t="s">
        <v>12</v>
      </c>
      <c r="E3997" s="263">
        <v>1</v>
      </c>
      <c r="F3997" s="294" t="s">
        <v>126</v>
      </c>
      <c r="G3997" s="294" t="s">
        <v>426</v>
      </c>
      <c r="H3997" s="298">
        <v>1</v>
      </c>
      <c r="M3997" s="274"/>
    </row>
    <row r="3998" spans="2:13" ht="15" customHeight="1" x14ac:dyDescent="0.25">
      <c r="B3998" s="289">
        <v>4070</v>
      </c>
      <c r="C3998" s="261">
        <v>123</v>
      </c>
      <c r="D3998" s="244" t="s">
        <v>12</v>
      </c>
      <c r="E3998" s="263">
        <v>65</v>
      </c>
      <c r="F3998" s="294" t="s">
        <v>126</v>
      </c>
      <c r="G3998" s="294" t="s">
        <v>531</v>
      </c>
      <c r="H3998" s="298">
        <v>1</v>
      </c>
      <c r="M3998" s="274"/>
    </row>
    <row r="3999" spans="2:13" ht="15" customHeight="1" x14ac:dyDescent="0.25">
      <c r="B3999" s="289">
        <v>4071</v>
      </c>
      <c r="C3999" s="261">
        <v>120</v>
      </c>
      <c r="D3999" s="244" t="s">
        <v>12</v>
      </c>
      <c r="E3999" s="263">
        <v>1</v>
      </c>
      <c r="F3999" s="294" t="s">
        <v>126</v>
      </c>
      <c r="G3999" s="294" t="s">
        <v>426</v>
      </c>
      <c r="H3999" s="298">
        <v>1</v>
      </c>
      <c r="M3999" s="274"/>
    </row>
    <row r="4000" spans="2:13" ht="15" customHeight="1" x14ac:dyDescent="0.25">
      <c r="B4000" s="289">
        <v>4071</v>
      </c>
      <c r="C4000" s="261">
        <v>123</v>
      </c>
      <c r="D4000" s="244" t="s">
        <v>12</v>
      </c>
      <c r="E4000" s="263">
        <v>59</v>
      </c>
      <c r="F4000" s="294" t="s">
        <v>126</v>
      </c>
      <c r="G4000" s="294" t="s">
        <v>532</v>
      </c>
      <c r="H4000" s="298">
        <v>1</v>
      </c>
      <c r="M4000" s="274"/>
    </row>
    <row r="4001" spans="2:13" ht="15" customHeight="1" x14ac:dyDescent="0.25">
      <c r="B4001" s="289">
        <v>4072</v>
      </c>
      <c r="C4001" s="261">
        <v>120</v>
      </c>
      <c r="D4001" s="244" t="s">
        <v>12</v>
      </c>
      <c r="E4001" s="263">
        <v>1</v>
      </c>
      <c r="F4001" s="294" t="s">
        <v>126</v>
      </c>
      <c r="G4001" s="294" t="s">
        <v>426</v>
      </c>
      <c r="H4001" s="298">
        <v>1</v>
      </c>
      <c r="M4001" s="274"/>
    </row>
    <row r="4002" spans="2:13" ht="15" customHeight="1" x14ac:dyDescent="0.25">
      <c r="B4002" s="289">
        <v>4072</v>
      </c>
      <c r="C4002" s="261">
        <v>123</v>
      </c>
      <c r="D4002" s="244" t="s">
        <v>12</v>
      </c>
      <c r="E4002" s="263">
        <v>92</v>
      </c>
      <c r="F4002" s="294" t="s">
        <v>126</v>
      </c>
      <c r="G4002" s="294" t="s">
        <v>533</v>
      </c>
      <c r="H4002" s="298">
        <v>1</v>
      </c>
      <c r="M4002" s="274"/>
    </row>
    <row r="4003" spans="2:13" ht="15" customHeight="1" x14ac:dyDescent="0.25">
      <c r="B4003" s="289">
        <v>4073</v>
      </c>
      <c r="C4003" s="261">
        <v>120</v>
      </c>
      <c r="D4003" s="244" t="s">
        <v>12</v>
      </c>
      <c r="E4003" s="263">
        <v>1</v>
      </c>
      <c r="F4003" s="294" t="s">
        <v>126</v>
      </c>
      <c r="G4003" s="294" t="s">
        <v>426</v>
      </c>
      <c r="H4003" s="298">
        <v>1</v>
      </c>
      <c r="M4003" s="274"/>
    </row>
    <row r="4004" spans="2:13" ht="15" customHeight="1" x14ac:dyDescent="0.25">
      <c r="B4004" s="289">
        <v>4074</v>
      </c>
      <c r="C4004" s="261">
        <v>120</v>
      </c>
      <c r="D4004" s="244" t="s">
        <v>12</v>
      </c>
      <c r="E4004" s="263">
        <v>16</v>
      </c>
      <c r="F4004" s="294" t="s">
        <v>126</v>
      </c>
      <c r="G4004" s="294" t="s">
        <v>534</v>
      </c>
      <c r="H4004" s="298">
        <v>1</v>
      </c>
      <c r="M4004" s="274"/>
    </row>
    <row r="4005" spans="2:13" ht="15" customHeight="1" x14ac:dyDescent="0.25">
      <c r="B4005" s="289">
        <v>4075</v>
      </c>
      <c r="C4005" s="261">
        <v>123</v>
      </c>
      <c r="D4005" s="244" t="s">
        <v>12</v>
      </c>
      <c r="E4005" s="263">
        <v>43</v>
      </c>
      <c r="F4005" s="294" t="s">
        <v>126</v>
      </c>
      <c r="G4005" s="294" t="s">
        <v>535</v>
      </c>
      <c r="H4005" s="298">
        <v>1</v>
      </c>
      <c r="M4005" s="274"/>
    </row>
    <row r="4006" spans="2:13" ht="15" customHeight="1" x14ac:dyDescent="0.25">
      <c r="B4006" s="289">
        <v>4076</v>
      </c>
      <c r="C4006" s="261">
        <v>123</v>
      </c>
      <c r="D4006" s="244" t="s">
        <v>12</v>
      </c>
      <c r="E4006" s="263">
        <v>43</v>
      </c>
      <c r="F4006" s="294" t="s">
        <v>126</v>
      </c>
      <c r="G4006" s="294" t="s">
        <v>536</v>
      </c>
      <c r="H4006" s="298">
        <v>1</v>
      </c>
      <c r="M4006" s="274"/>
    </row>
    <row r="4007" spans="2:13" ht="15" customHeight="1" x14ac:dyDescent="0.25">
      <c r="B4007" s="289">
        <v>4077</v>
      </c>
      <c r="C4007" s="261">
        <v>123</v>
      </c>
      <c r="D4007" s="244" t="s">
        <v>12</v>
      </c>
      <c r="E4007" s="263">
        <v>86</v>
      </c>
      <c r="F4007" s="294" t="s">
        <v>126</v>
      </c>
      <c r="G4007" s="294" t="s">
        <v>537</v>
      </c>
      <c r="H4007" s="298">
        <v>1</v>
      </c>
      <c r="M4007" s="274"/>
    </row>
    <row r="4008" spans="2:13" ht="15" customHeight="1" x14ac:dyDescent="0.25">
      <c r="B4008" s="289">
        <v>4078</v>
      </c>
      <c r="C4008" s="261">
        <v>123</v>
      </c>
      <c r="D4008" s="244" t="s">
        <v>12</v>
      </c>
      <c r="E4008" s="263">
        <v>86</v>
      </c>
      <c r="F4008" s="294" t="s">
        <v>126</v>
      </c>
      <c r="G4008" s="294" t="s">
        <v>538</v>
      </c>
      <c r="H4008" s="298">
        <v>1</v>
      </c>
      <c r="M4008" s="274"/>
    </row>
    <row r="4009" spans="2:13" ht="15" customHeight="1" x14ac:dyDescent="0.25">
      <c r="B4009" s="289">
        <v>4079</v>
      </c>
      <c r="C4009" s="261">
        <v>123</v>
      </c>
      <c r="D4009" s="244" t="s">
        <v>12</v>
      </c>
      <c r="E4009" s="263">
        <v>52</v>
      </c>
      <c r="F4009" s="294" t="s">
        <v>126</v>
      </c>
      <c r="G4009" s="294" t="s">
        <v>539</v>
      </c>
      <c r="H4009" s="298">
        <v>1</v>
      </c>
      <c r="M4009" s="274"/>
    </row>
    <row r="4010" spans="2:13" ht="15" customHeight="1" x14ac:dyDescent="0.25">
      <c r="B4010" s="289">
        <v>4080</v>
      </c>
      <c r="C4010" s="261">
        <v>123</v>
      </c>
      <c r="D4010" s="244" t="s">
        <v>12</v>
      </c>
      <c r="E4010" s="263">
        <v>77</v>
      </c>
      <c r="F4010" s="294" t="s">
        <v>126</v>
      </c>
      <c r="G4010" s="294" t="s">
        <v>540</v>
      </c>
      <c r="H4010" s="298">
        <v>1</v>
      </c>
      <c r="M4010" s="274"/>
    </row>
    <row r="4011" spans="2:13" ht="15" customHeight="1" x14ac:dyDescent="0.25">
      <c r="B4011" s="289">
        <v>4081</v>
      </c>
      <c r="C4011" s="261">
        <v>122</v>
      </c>
      <c r="D4011" s="244" t="s">
        <v>11</v>
      </c>
      <c r="E4011" s="263">
        <v>1</v>
      </c>
      <c r="F4011" s="294" t="s">
        <v>426</v>
      </c>
      <c r="G4011" s="294" t="s">
        <v>126</v>
      </c>
      <c r="H4011" s="298">
        <v>1</v>
      </c>
      <c r="M4011" s="274"/>
    </row>
    <row r="4012" spans="2:13" ht="15" customHeight="1" x14ac:dyDescent="0.25">
      <c r="B4012" s="289">
        <v>4082</v>
      </c>
      <c r="C4012" s="261">
        <v>122</v>
      </c>
      <c r="D4012" s="244" t="s">
        <v>12</v>
      </c>
      <c r="E4012" s="263">
        <v>1</v>
      </c>
      <c r="F4012" s="294" t="s">
        <v>126</v>
      </c>
      <c r="G4012" s="294" t="s">
        <v>437</v>
      </c>
      <c r="H4012" s="298">
        <v>1</v>
      </c>
      <c r="M4012" s="274"/>
    </row>
    <row r="4013" spans="2:13" ht="15" customHeight="1" x14ac:dyDescent="0.25">
      <c r="B4013" s="289">
        <v>4083</v>
      </c>
      <c r="C4013" s="261">
        <v>123</v>
      </c>
      <c r="D4013" s="244" t="s">
        <v>11</v>
      </c>
      <c r="E4013" s="263">
        <v>3</v>
      </c>
      <c r="F4013" s="294" t="s">
        <v>528</v>
      </c>
      <c r="G4013" s="294" t="s">
        <v>126</v>
      </c>
      <c r="H4013" s="298">
        <v>1</v>
      </c>
      <c r="M4013" s="274"/>
    </row>
    <row r="4014" spans="2:13" ht="15" customHeight="1" x14ac:dyDescent="0.25">
      <c r="B4014" s="289">
        <v>4085</v>
      </c>
      <c r="C4014" s="261">
        <v>123</v>
      </c>
      <c r="D4014" s="244" t="s">
        <v>12</v>
      </c>
      <c r="E4014" s="263">
        <v>1</v>
      </c>
      <c r="F4014" s="294" t="s">
        <v>126</v>
      </c>
      <c r="G4014" s="294" t="s">
        <v>139</v>
      </c>
      <c r="H4014" s="298">
        <v>1</v>
      </c>
      <c r="M4014" s="274"/>
    </row>
    <row r="4015" spans="2:13" ht="15" customHeight="1" x14ac:dyDescent="0.25">
      <c r="B4015" s="289">
        <v>4086</v>
      </c>
      <c r="C4015" s="261">
        <v>123</v>
      </c>
      <c r="D4015" s="244" t="s">
        <v>12</v>
      </c>
      <c r="E4015" s="263">
        <v>1</v>
      </c>
      <c r="F4015" s="294" t="s">
        <v>126</v>
      </c>
      <c r="G4015" s="294" t="s">
        <v>139</v>
      </c>
      <c r="H4015" s="298">
        <v>1</v>
      </c>
      <c r="M4015" s="274"/>
    </row>
    <row r="4016" spans="2:13" ht="15" customHeight="1" x14ac:dyDescent="0.25">
      <c r="B4016" s="289">
        <v>4087</v>
      </c>
      <c r="C4016" s="261">
        <v>123</v>
      </c>
      <c r="D4016" s="244" t="s">
        <v>12</v>
      </c>
      <c r="E4016" s="263">
        <v>16</v>
      </c>
      <c r="F4016" s="294" t="s">
        <v>126</v>
      </c>
      <c r="G4016" s="294" t="s">
        <v>541</v>
      </c>
      <c r="H4016" s="298">
        <v>1</v>
      </c>
      <c r="M4016" s="274"/>
    </row>
    <row r="4017" spans="2:13" ht="15" customHeight="1" x14ac:dyDescent="0.25">
      <c r="B4017" s="289">
        <v>4088</v>
      </c>
      <c r="C4017" s="261">
        <v>123</v>
      </c>
      <c r="D4017" s="244" t="s">
        <v>12</v>
      </c>
      <c r="E4017" s="263">
        <v>16</v>
      </c>
      <c r="F4017" s="294" t="s">
        <v>126</v>
      </c>
      <c r="G4017" s="294" t="s">
        <v>541</v>
      </c>
      <c r="H4017" s="298">
        <v>1</v>
      </c>
      <c r="M4017" s="274"/>
    </row>
    <row r="4018" spans="2:13" ht="15" customHeight="1" x14ac:dyDescent="0.25">
      <c r="B4018" s="289">
        <v>4089</v>
      </c>
      <c r="C4018" s="261">
        <v>120</v>
      </c>
      <c r="D4018" s="244" t="s">
        <v>12</v>
      </c>
      <c r="E4018" s="263">
        <v>4</v>
      </c>
      <c r="F4018" s="294" t="s">
        <v>126</v>
      </c>
      <c r="G4018" s="294" t="s">
        <v>542</v>
      </c>
      <c r="H4018" s="298">
        <v>1</v>
      </c>
      <c r="M4018" s="274"/>
    </row>
    <row r="4019" spans="2:13" ht="15" customHeight="1" x14ac:dyDescent="0.25">
      <c r="B4019" s="289">
        <v>4089</v>
      </c>
      <c r="C4019" s="261">
        <v>123</v>
      </c>
      <c r="D4019" s="244" t="s">
        <v>12</v>
      </c>
      <c r="E4019" s="263">
        <v>47</v>
      </c>
      <c r="F4019" s="294" t="s">
        <v>126</v>
      </c>
      <c r="G4019" s="294" t="s">
        <v>543</v>
      </c>
      <c r="H4019" s="298">
        <v>1</v>
      </c>
      <c r="M4019" s="274"/>
    </row>
    <row r="4020" spans="2:13" ht="15" customHeight="1" x14ac:dyDescent="0.25">
      <c r="B4020" s="289">
        <v>4090</v>
      </c>
      <c r="C4020" s="261">
        <v>123</v>
      </c>
      <c r="D4020" s="244" t="s">
        <v>12</v>
      </c>
      <c r="E4020" s="263">
        <v>42</v>
      </c>
      <c r="F4020" s="294" t="s">
        <v>126</v>
      </c>
      <c r="G4020" s="294" t="s">
        <v>544</v>
      </c>
      <c r="H4020" s="298">
        <v>1</v>
      </c>
      <c r="M4020" s="274"/>
    </row>
    <row r="4021" spans="2:13" ht="15" customHeight="1" x14ac:dyDescent="0.25">
      <c r="B4021" s="289">
        <v>4091</v>
      </c>
      <c r="C4021" s="261">
        <v>123</v>
      </c>
      <c r="D4021" s="244" t="s">
        <v>12</v>
      </c>
      <c r="E4021" s="263">
        <v>42</v>
      </c>
      <c r="F4021" s="294" t="s">
        <v>126</v>
      </c>
      <c r="G4021" s="294" t="s">
        <v>545</v>
      </c>
      <c r="H4021" s="298">
        <v>1</v>
      </c>
      <c r="M4021" s="274"/>
    </row>
    <row r="4022" spans="2:13" ht="15" customHeight="1" x14ac:dyDescent="0.25">
      <c r="B4022" s="289">
        <v>4092</v>
      </c>
      <c r="C4022" s="261">
        <v>123</v>
      </c>
      <c r="D4022" s="244" t="s">
        <v>12</v>
      </c>
      <c r="E4022" s="263">
        <v>42</v>
      </c>
      <c r="F4022" s="294" t="s">
        <v>126</v>
      </c>
      <c r="G4022" s="294" t="s">
        <v>546</v>
      </c>
      <c r="H4022" s="298">
        <v>1</v>
      </c>
      <c r="M4022" s="274"/>
    </row>
    <row r="4023" spans="2:13" ht="15" customHeight="1" x14ac:dyDescent="0.25">
      <c r="B4023" s="289">
        <v>4093</v>
      </c>
      <c r="C4023" s="261">
        <v>123</v>
      </c>
      <c r="D4023" s="244" t="s">
        <v>12</v>
      </c>
      <c r="E4023" s="263">
        <v>42</v>
      </c>
      <c r="F4023" s="294" t="s">
        <v>126</v>
      </c>
      <c r="G4023" s="294" t="s">
        <v>547</v>
      </c>
      <c r="H4023" s="298">
        <v>1</v>
      </c>
      <c r="M4023" s="274"/>
    </row>
    <row r="4024" spans="2:13" ht="15" customHeight="1" x14ac:dyDescent="0.25">
      <c r="B4024" s="289">
        <v>4094</v>
      </c>
      <c r="C4024" s="261">
        <v>120</v>
      </c>
      <c r="D4024" s="244" t="s">
        <v>11</v>
      </c>
      <c r="E4024" s="263">
        <v>10</v>
      </c>
      <c r="F4024" s="294" t="s">
        <v>548</v>
      </c>
      <c r="G4024" s="294" t="s">
        <v>126</v>
      </c>
      <c r="H4024" s="298">
        <v>1</v>
      </c>
      <c r="M4024" s="274"/>
    </row>
    <row r="4025" spans="2:13" ht="15" customHeight="1" x14ac:dyDescent="0.25">
      <c r="B4025" s="289">
        <v>4095</v>
      </c>
      <c r="C4025" s="261">
        <v>123</v>
      </c>
      <c r="D4025" s="244" t="s">
        <v>12</v>
      </c>
      <c r="E4025" s="263">
        <v>57</v>
      </c>
      <c r="F4025" s="294" t="s">
        <v>126</v>
      </c>
      <c r="G4025" s="294" t="s">
        <v>549</v>
      </c>
      <c r="H4025" s="298">
        <v>1</v>
      </c>
      <c r="M4025" s="274"/>
    </row>
    <row r="4026" spans="2:13" ht="15" customHeight="1" x14ac:dyDescent="0.25">
      <c r="B4026" s="289">
        <v>4099</v>
      </c>
      <c r="C4026" s="261">
        <v>123</v>
      </c>
      <c r="D4026" s="244" t="s">
        <v>12</v>
      </c>
      <c r="E4026" s="263">
        <v>2</v>
      </c>
      <c r="F4026" s="294" t="s">
        <v>126</v>
      </c>
      <c r="G4026" s="294" t="s">
        <v>227</v>
      </c>
      <c r="H4026" s="298">
        <v>1</v>
      </c>
      <c r="M4026" s="274"/>
    </row>
    <row r="4027" spans="2:13" ht="15" customHeight="1" x14ac:dyDescent="0.25">
      <c r="B4027" s="289">
        <v>4100</v>
      </c>
      <c r="C4027" s="261">
        <v>125</v>
      </c>
      <c r="D4027" s="244" t="s">
        <v>11</v>
      </c>
      <c r="E4027" s="263">
        <v>8</v>
      </c>
      <c r="F4027" s="294" t="s">
        <v>550</v>
      </c>
      <c r="G4027" s="294" t="s">
        <v>126</v>
      </c>
      <c r="H4027" s="298">
        <v>1</v>
      </c>
      <c r="M4027" s="274"/>
    </row>
    <row r="4028" spans="2:13" ht="15" customHeight="1" x14ac:dyDescent="0.25">
      <c r="B4028" s="289">
        <v>4101</v>
      </c>
      <c r="C4028" s="261">
        <v>119</v>
      </c>
      <c r="D4028" s="244" t="s">
        <v>12</v>
      </c>
      <c r="E4028" s="263">
        <v>13</v>
      </c>
      <c r="F4028" s="294" t="s">
        <v>126</v>
      </c>
      <c r="G4028" s="294" t="s">
        <v>551</v>
      </c>
      <c r="H4028" s="298">
        <v>1</v>
      </c>
      <c r="M4028" s="274"/>
    </row>
    <row r="4029" spans="2:13" ht="15" customHeight="1" x14ac:dyDescent="0.25">
      <c r="B4029" s="289">
        <v>4101</v>
      </c>
      <c r="C4029" s="261">
        <v>129</v>
      </c>
      <c r="D4029" s="244" t="s">
        <v>12</v>
      </c>
      <c r="E4029" s="263">
        <v>4</v>
      </c>
      <c r="F4029" s="294" t="s">
        <v>126</v>
      </c>
      <c r="G4029" s="294" t="s">
        <v>552</v>
      </c>
      <c r="H4029" s="298">
        <v>1</v>
      </c>
      <c r="M4029" s="274"/>
    </row>
    <row r="4030" spans="2:13" ht="15" customHeight="1" x14ac:dyDescent="0.25">
      <c r="B4030" s="289">
        <v>4102</v>
      </c>
      <c r="C4030" s="261">
        <v>119</v>
      </c>
      <c r="D4030" s="244" t="s">
        <v>12</v>
      </c>
      <c r="E4030" s="263">
        <v>1</v>
      </c>
      <c r="F4030" s="294" t="s">
        <v>126</v>
      </c>
      <c r="G4030" s="294" t="s">
        <v>139</v>
      </c>
      <c r="H4030" s="298">
        <v>1</v>
      </c>
      <c r="M4030" s="274"/>
    </row>
    <row r="4031" spans="2:13" ht="15" customHeight="1" x14ac:dyDescent="0.25">
      <c r="B4031" s="289">
        <v>4102</v>
      </c>
      <c r="C4031" s="261">
        <v>122</v>
      </c>
      <c r="D4031" s="244" t="s">
        <v>11</v>
      </c>
      <c r="E4031" s="263">
        <v>20</v>
      </c>
      <c r="F4031" s="294" t="s">
        <v>553</v>
      </c>
      <c r="G4031" s="294" t="s">
        <v>126</v>
      </c>
      <c r="H4031" s="298">
        <v>1</v>
      </c>
      <c r="M4031" s="274"/>
    </row>
    <row r="4032" spans="2:13" ht="15" customHeight="1" x14ac:dyDescent="0.25">
      <c r="B4032" s="289">
        <v>4103</v>
      </c>
      <c r="C4032" s="261">
        <v>119</v>
      </c>
      <c r="D4032" s="244" t="s">
        <v>12</v>
      </c>
      <c r="E4032" s="263">
        <v>1</v>
      </c>
      <c r="F4032" s="294" t="s">
        <v>126</v>
      </c>
      <c r="G4032" s="294" t="s">
        <v>139</v>
      </c>
      <c r="H4032" s="298">
        <v>1</v>
      </c>
      <c r="M4032" s="274"/>
    </row>
    <row r="4033" spans="2:13" ht="15" customHeight="1" x14ac:dyDescent="0.25">
      <c r="B4033" s="289">
        <v>4103</v>
      </c>
      <c r="C4033" s="261">
        <v>122</v>
      </c>
      <c r="D4033" s="244" t="s">
        <v>11</v>
      </c>
      <c r="E4033" s="263">
        <v>8</v>
      </c>
      <c r="F4033" s="294" t="s">
        <v>554</v>
      </c>
      <c r="G4033" s="294" t="s">
        <v>126</v>
      </c>
      <c r="H4033" s="298">
        <v>1</v>
      </c>
      <c r="M4033" s="274"/>
    </row>
    <row r="4034" spans="2:13" ht="15" customHeight="1" x14ac:dyDescent="0.25">
      <c r="B4034" s="289">
        <v>4104</v>
      </c>
      <c r="C4034" s="261">
        <v>119</v>
      </c>
      <c r="D4034" s="244" t="s">
        <v>12</v>
      </c>
      <c r="E4034" s="263">
        <v>1</v>
      </c>
      <c r="F4034" s="294" t="s">
        <v>126</v>
      </c>
      <c r="G4034" s="294" t="s">
        <v>139</v>
      </c>
      <c r="H4034" s="298">
        <v>1</v>
      </c>
      <c r="M4034" s="274"/>
    </row>
    <row r="4035" spans="2:13" ht="15" customHeight="1" x14ac:dyDescent="0.25">
      <c r="B4035" s="289">
        <v>4104</v>
      </c>
      <c r="C4035" s="261">
        <v>123</v>
      </c>
      <c r="D4035" s="244" t="s">
        <v>12</v>
      </c>
      <c r="E4035" s="263">
        <v>86</v>
      </c>
      <c r="F4035" s="294" t="s">
        <v>126</v>
      </c>
      <c r="G4035" s="294" t="s">
        <v>555</v>
      </c>
      <c r="H4035" s="298">
        <v>1</v>
      </c>
      <c r="M4035" s="274"/>
    </row>
    <row r="4036" spans="2:13" ht="15" customHeight="1" x14ac:dyDescent="0.25">
      <c r="B4036" s="289">
        <v>4105</v>
      </c>
      <c r="C4036" s="261">
        <v>123</v>
      </c>
      <c r="D4036" s="244" t="s">
        <v>12</v>
      </c>
      <c r="E4036" s="263">
        <v>78</v>
      </c>
      <c r="F4036" s="294" t="s">
        <v>126</v>
      </c>
      <c r="G4036" s="294" t="s">
        <v>556</v>
      </c>
      <c r="H4036" s="298">
        <v>1</v>
      </c>
      <c r="M4036" s="274"/>
    </row>
    <row r="4037" spans="2:13" ht="15" customHeight="1" x14ac:dyDescent="0.25">
      <c r="B4037" s="289">
        <v>4106</v>
      </c>
      <c r="C4037" s="261">
        <v>123</v>
      </c>
      <c r="D4037" s="244" t="s">
        <v>12</v>
      </c>
      <c r="E4037" s="263">
        <v>88</v>
      </c>
      <c r="F4037" s="294" t="s">
        <v>126</v>
      </c>
      <c r="G4037" s="294" t="s">
        <v>557</v>
      </c>
      <c r="H4037" s="298">
        <v>1</v>
      </c>
      <c r="M4037" s="274"/>
    </row>
    <row r="4038" spans="2:13" ht="15" customHeight="1" x14ac:dyDescent="0.25">
      <c r="B4038" s="289">
        <v>4107</v>
      </c>
      <c r="C4038" s="261">
        <v>123</v>
      </c>
      <c r="D4038" s="244" t="s">
        <v>11</v>
      </c>
      <c r="E4038" s="263">
        <v>2</v>
      </c>
      <c r="F4038" s="294" t="s">
        <v>420</v>
      </c>
      <c r="G4038" s="294" t="s">
        <v>126</v>
      </c>
      <c r="H4038" s="298">
        <v>1</v>
      </c>
      <c r="M4038" s="274"/>
    </row>
    <row r="4039" spans="2:13" ht="15" customHeight="1" x14ac:dyDescent="0.25">
      <c r="B4039" s="289">
        <v>4108</v>
      </c>
      <c r="C4039" s="261">
        <v>119</v>
      </c>
      <c r="D4039" s="244" t="s">
        <v>11</v>
      </c>
      <c r="E4039" s="263">
        <v>1</v>
      </c>
      <c r="F4039" s="294" t="s">
        <v>426</v>
      </c>
      <c r="G4039" s="294" t="s">
        <v>126</v>
      </c>
      <c r="H4039" s="298">
        <v>1</v>
      </c>
      <c r="M4039" s="274"/>
    </row>
    <row r="4040" spans="2:13" ht="15" customHeight="1" x14ac:dyDescent="0.25">
      <c r="B4040" s="289">
        <v>4108</v>
      </c>
      <c r="C4040" s="261">
        <v>123</v>
      </c>
      <c r="D4040" s="244" t="s">
        <v>11</v>
      </c>
      <c r="E4040" s="263">
        <v>2</v>
      </c>
      <c r="F4040" s="294" t="s">
        <v>420</v>
      </c>
      <c r="G4040" s="294" t="s">
        <v>126</v>
      </c>
      <c r="H4040" s="298">
        <v>1</v>
      </c>
      <c r="M4040" s="274"/>
    </row>
    <row r="4041" spans="2:13" ht="15" customHeight="1" x14ac:dyDescent="0.25">
      <c r="B4041" s="289">
        <v>4109</v>
      </c>
      <c r="C4041" s="261">
        <v>118</v>
      </c>
      <c r="D4041" s="244" t="s">
        <v>12</v>
      </c>
      <c r="E4041" s="263">
        <v>38</v>
      </c>
      <c r="F4041" s="294" t="s">
        <v>126</v>
      </c>
      <c r="G4041" s="294" t="s">
        <v>558</v>
      </c>
      <c r="H4041" s="298">
        <v>1</v>
      </c>
      <c r="M4041" s="274"/>
    </row>
    <row r="4042" spans="2:13" ht="15" customHeight="1" x14ac:dyDescent="0.25">
      <c r="B4042" s="289">
        <v>4110</v>
      </c>
      <c r="C4042" s="261">
        <v>123</v>
      </c>
      <c r="D4042" s="244" t="s">
        <v>12</v>
      </c>
      <c r="E4042" s="263">
        <v>62</v>
      </c>
      <c r="F4042" s="294" t="s">
        <v>126</v>
      </c>
      <c r="G4042" s="294" t="s">
        <v>559</v>
      </c>
      <c r="H4042" s="298">
        <v>1</v>
      </c>
      <c r="M4042" s="274"/>
    </row>
    <row r="4043" spans="2:13" ht="15" customHeight="1" x14ac:dyDescent="0.25">
      <c r="B4043" s="289">
        <v>4111</v>
      </c>
      <c r="C4043" s="261">
        <v>123</v>
      </c>
      <c r="D4043" s="244" t="s">
        <v>12</v>
      </c>
      <c r="E4043" s="263">
        <v>62</v>
      </c>
      <c r="F4043" s="294" t="s">
        <v>126</v>
      </c>
      <c r="G4043" s="294" t="s">
        <v>559</v>
      </c>
      <c r="H4043" s="298">
        <v>1</v>
      </c>
      <c r="M4043" s="274"/>
    </row>
    <row r="4044" spans="2:13" ht="15" customHeight="1" x14ac:dyDescent="0.25">
      <c r="B4044" s="289">
        <v>4112</v>
      </c>
      <c r="C4044" s="261">
        <v>123</v>
      </c>
      <c r="D4044" s="244" t="s">
        <v>12</v>
      </c>
      <c r="E4044" s="263">
        <v>76</v>
      </c>
      <c r="F4044" s="294" t="s">
        <v>126</v>
      </c>
      <c r="G4044" s="294" t="s">
        <v>560</v>
      </c>
      <c r="H4044" s="298">
        <v>1</v>
      </c>
      <c r="M4044" s="274"/>
    </row>
    <row r="4045" spans="2:13" ht="15" customHeight="1" x14ac:dyDescent="0.25">
      <c r="B4045" s="289">
        <v>4113</v>
      </c>
      <c r="C4045" s="261">
        <v>127</v>
      </c>
      <c r="D4045" s="244" t="s">
        <v>12</v>
      </c>
      <c r="E4045" s="263">
        <v>17</v>
      </c>
      <c r="F4045" s="294" t="s">
        <v>126</v>
      </c>
      <c r="G4045" s="294" t="s">
        <v>561</v>
      </c>
      <c r="H4045" s="298">
        <v>1</v>
      </c>
      <c r="M4045" s="274"/>
    </row>
    <row r="4046" spans="2:13" ht="15" customHeight="1" x14ac:dyDescent="0.25">
      <c r="B4046" s="289">
        <v>4114</v>
      </c>
      <c r="C4046" s="261">
        <v>118</v>
      </c>
      <c r="D4046" s="244" t="s">
        <v>12</v>
      </c>
      <c r="E4046" s="263">
        <v>4</v>
      </c>
      <c r="F4046" s="294" t="s">
        <v>126</v>
      </c>
      <c r="G4046" s="294" t="s">
        <v>562</v>
      </c>
      <c r="H4046" s="298">
        <v>1</v>
      </c>
      <c r="M4046" s="274"/>
    </row>
    <row r="4047" spans="2:13" ht="15" customHeight="1" x14ac:dyDescent="0.25">
      <c r="B4047" s="289">
        <v>4114</v>
      </c>
      <c r="C4047" s="261">
        <v>123</v>
      </c>
      <c r="D4047" s="244" t="s">
        <v>12</v>
      </c>
      <c r="E4047" s="263">
        <v>5</v>
      </c>
      <c r="F4047" s="294" t="s">
        <v>126</v>
      </c>
      <c r="G4047" s="294" t="s">
        <v>563</v>
      </c>
      <c r="H4047" s="298">
        <v>1</v>
      </c>
      <c r="M4047" s="274"/>
    </row>
    <row r="4048" spans="2:13" ht="15" customHeight="1" x14ac:dyDescent="0.25">
      <c r="B4048" s="289">
        <v>4115</v>
      </c>
      <c r="C4048" s="261">
        <v>123</v>
      </c>
      <c r="D4048" s="244" t="s">
        <v>12</v>
      </c>
      <c r="E4048" s="263">
        <v>57</v>
      </c>
      <c r="F4048" s="294" t="s">
        <v>126</v>
      </c>
      <c r="G4048" s="294" t="s">
        <v>564</v>
      </c>
      <c r="H4048" s="298">
        <v>1</v>
      </c>
      <c r="M4048" s="274"/>
    </row>
    <row r="4049" spans="2:13" ht="15" customHeight="1" x14ac:dyDescent="0.25">
      <c r="B4049" s="289">
        <v>4116</v>
      </c>
      <c r="C4049" s="261">
        <v>139</v>
      </c>
      <c r="D4049" s="244" t="s">
        <v>12</v>
      </c>
      <c r="E4049" s="263">
        <v>47</v>
      </c>
      <c r="F4049" s="294" t="s">
        <v>126</v>
      </c>
      <c r="G4049" s="294" t="s">
        <v>565</v>
      </c>
      <c r="H4049" s="298">
        <v>1</v>
      </c>
      <c r="M4049" s="274"/>
    </row>
    <row r="4050" spans="2:13" ht="15" customHeight="1" x14ac:dyDescent="0.25">
      <c r="B4050" s="289">
        <v>4117</v>
      </c>
      <c r="C4050" s="261">
        <v>139</v>
      </c>
      <c r="D4050" s="244" t="s">
        <v>12</v>
      </c>
      <c r="E4050" s="263">
        <v>47</v>
      </c>
      <c r="F4050" s="294" t="s">
        <v>126</v>
      </c>
      <c r="G4050" s="294" t="s">
        <v>566</v>
      </c>
      <c r="H4050" s="298">
        <v>1</v>
      </c>
      <c r="M4050" s="274"/>
    </row>
    <row r="4051" spans="2:13" ht="15" customHeight="1" x14ac:dyDescent="0.25">
      <c r="B4051" s="289">
        <v>4118</v>
      </c>
      <c r="C4051" s="261">
        <v>123</v>
      </c>
      <c r="D4051" s="244" t="s">
        <v>12</v>
      </c>
      <c r="E4051" s="263">
        <v>1</v>
      </c>
      <c r="F4051" s="294" t="s">
        <v>126</v>
      </c>
      <c r="G4051" s="294" t="s">
        <v>139</v>
      </c>
      <c r="H4051" s="298">
        <v>1</v>
      </c>
      <c r="M4051" s="274"/>
    </row>
    <row r="4052" spans="2:13" ht="15" customHeight="1" x14ac:dyDescent="0.25">
      <c r="B4052" s="289">
        <v>4119</v>
      </c>
      <c r="C4052" s="261">
        <v>123</v>
      </c>
      <c r="D4052" s="244" t="s">
        <v>12</v>
      </c>
      <c r="E4052" s="263">
        <v>98</v>
      </c>
      <c r="F4052" s="294" t="s">
        <v>126</v>
      </c>
      <c r="G4052" s="294" t="s">
        <v>567</v>
      </c>
      <c r="H4052" s="298">
        <v>1</v>
      </c>
      <c r="M4052" s="274"/>
    </row>
    <row r="4053" spans="2:13" ht="15" customHeight="1" x14ac:dyDescent="0.25">
      <c r="B4053" s="289">
        <v>4120</v>
      </c>
      <c r="C4053" s="261">
        <v>118</v>
      </c>
      <c r="D4053" s="244" t="s">
        <v>11</v>
      </c>
      <c r="E4053" s="263">
        <v>2</v>
      </c>
      <c r="F4053" s="294" t="s">
        <v>454</v>
      </c>
      <c r="G4053" s="294" t="s">
        <v>126</v>
      </c>
      <c r="H4053" s="298">
        <v>1</v>
      </c>
      <c r="M4053" s="274"/>
    </row>
    <row r="4054" spans="2:13" ht="15" customHeight="1" x14ac:dyDescent="0.25">
      <c r="B4054" s="289">
        <v>4120</v>
      </c>
      <c r="C4054" s="261">
        <v>123</v>
      </c>
      <c r="D4054" s="244" t="s">
        <v>12</v>
      </c>
      <c r="E4054" s="263">
        <v>102</v>
      </c>
      <c r="F4054" s="294" t="s">
        <v>126</v>
      </c>
      <c r="G4054" s="294" t="s">
        <v>568</v>
      </c>
      <c r="H4054" s="298">
        <v>1</v>
      </c>
      <c r="M4054" s="274"/>
    </row>
    <row r="4055" spans="2:13" ht="15" customHeight="1" x14ac:dyDescent="0.25">
      <c r="B4055" s="289">
        <v>4121</v>
      </c>
      <c r="C4055" s="261">
        <v>118</v>
      </c>
      <c r="D4055" s="244" t="s">
        <v>11</v>
      </c>
      <c r="E4055" s="263">
        <v>2</v>
      </c>
      <c r="F4055" s="294" t="s">
        <v>454</v>
      </c>
      <c r="G4055" s="294" t="s">
        <v>126</v>
      </c>
      <c r="H4055" s="298">
        <v>1</v>
      </c>
      <c r="M4055" s="274"/>
    </row>
    <row r="4056" spans="2:13" ht="15" customHeight="1" x14ac:dyDescent="0.25">
      <c r="B4056" s="289">
        <v>4121</v>
      </c>
      <c r="C4056" s="261">
        <v>123</v>
      </c>
      <c r="D4056" s="244" t="s">
        <v>12</v>
      </c>
      <c r="E4056" s="263">
        <v>102</v>
      </c>
      <c r="F4056" s="294" t="s">
        <v>126</v>
      </c>
      <c r="G4056" s="294" t="s">
        <v>569</v>
      </c>
      <c r="H4056" s="298">
        <v>1</v>
      </c>
      <c r="M4056" s="274"/>
    </row>
    <row r="4057" spans="2:13" ht="15" customHeight="1" x14ac:dyDescent="0.25">
      <c r="B4057" s="289">
        <v>4122</v>
      </c>
      <c r="C4057" s="261">
        <v>118</v>
      </c>
      <c r="D4057" s="244" t="s">
        <v>11</v>
      </c>
      <c r="E4057" s="263">
        <v>2</v>
      </c>
      <c r="F4057" s="294" t="s">
        <v>454</v>
      </c>
      <c r="G4057" s="294" t="s">
        <v>126</v>
      </c>
      <c r="H4057" s="298">
        <v>1</v>
      </c>
      <c r="M4057" s="274"/>
    </row>
    <row r="4058" spans="2:13" ht="15" customHeight="1" x14ac:dyDescent="0.25">
      <c r="B4058" s="289">
        <v>4122</v>
      </c>
      <c r="C4058" s="261">
        <v>123</v>
      </c>
      <c r="D4058" s="244" t="s">
        <v>12</v>
      </c>
      <c r="E4058" s="263">
        <v>102</v>
      </c>
      <c r="F4058" s="294" t="s">
        <v>126</v>
      </c>
      <c r="G4058" s="294" t="s">
        <v>570</v>
      </c>
      <c r="H4058" s="298">
        <v>1</v>
      </c>
      <c r="M4058" s="274"/>
    </row>
    <row r="4059" spans="2:13" ht="15" customHeight="1" x14ac:dyDescent="0.25">
      <c r="B4059" s="289">
        <v>4123</v>
      </c>
      <c r="C4059" s="261">
        <v>123</v>
      </c>
      <c r="D4059" s="244" t="s">
        <v>12</v>
      </c>
      <c r="E4059" s="263">
        <v>78</v>
      </c>
      <c r="F4059" s="294" t="s">
        <v>126</v>
      </c>
      <c r="G4059" s="294" t="s">
        <v>518</v>
      </c>
      <c r="H4059" s="298">
        <v>1</v>
      </c>
      <c r="M4059" s="274"/>
    </row>
    <row r="4060" spans="2:13" ht="15" customHeight="1" x14ac:dyDescent="0.25">
      <c r="B4060" s="289">
        <v>4125</v>
      </c>
      <c r="C4060" s="261">
        <v>116</v>
      </c>
      <c r="D4060" s="244" t="s">
        <v>12</v>
      </c>
      <c r="E4060" s="263">
        <v>37</v>
      </c>
      <c r="F4060" s="294" t="s">
        <v>126</v>
      </c>
      <c r="G4060" s="294" t="s">
        <v>571</v>
      </c>
      <c r="H4060" s="298">
        <v>1</v>
      </c>
      <c r="M4060" s="274"/>
    </row>
    <row r="4061" spans="2:13" ht="15" customHeight="1" x14ac:dyDescent="0.25">
      <c r="B4061" s="289">
        <v>4126</v>
      </c>
      <c r="C4061" s="261">
        <v>116</v>
      </c>
      <c r="D4061" s="244" t="s">
        <v>12</v>
      </c>
      <c r="E4061" s="263">
        <v>6</v>
      </c>
      <c r="F4061" s="294" t="s">
        <v>126</v>
      </c>
      <c r="G4061" s="294" t="s">
        <v>328</v>
      </c>
      <c r="H4061" s="298">
        <v>1</v>
      </c>
      <c r="M4061" s="274"/>
    </row>
    <row r="4062" spans="2:13" ht="15" customHeight="1" x14ac:dyDescent="0.25">
      <c r="B4062" s="289">
        <v>4126</v>
      </c>
      <c r="C4062" s="261">
        <v>123</v>
      </c>
      <c r="D4062" s="244" t="s">
        <v>12</v>
      </c>
      <c r="E4062" s="263">
        <v>42</v>
      </c>
      <c r="F4062" s="294" t="s">
        <v>126</v>
      </c>
      <c r="G4062" s="294" t="s">
        <v>427</v>
      </c>
      <c r="H4062" s="298">
        <v>1</v>
      </c>
      <c r="M4062" s="274"/>
    </row>
    <row r="4063" spans="2:13" ht="15" customHeight="1" x14ac:dyDescent="0.25">
      <c r="B4063" s="289">
        <v>4127</v>
      </c>
      <c r="C4063" s="261">
        <v>116</v>
      </c>
      <c r="D4063" s="244" t="s">
        <v>12</v>
      </c>
      <c r="E4063" s="263">
        <v>39</v>
      </c>
      <c r="F4063" s="294" t="s">
        <v>126</v>
      </c>
      <c r="G4063" s="294" t="s">
        <v>572</v>
      </c>
      <c r="H4063" s="298">
        <v>1</v>
      </c>
      <c r="M4063" s="274"/>
    </row>
    <row r="4064" spans="2:13" ht="15" customHeight="1" x14ac:dyDescent="0.25">
      <c r="B4064" s="289">
        <v>4128</v>
      </c>
      <c r="C4064" s="261">
        <v>119</v>
      </c>
      <c r="D4064" s="244" t="s">
        <v>11</v>
      </c>
      <c r="E4064" s="263">
        <v>2</v>
      </c>
      <c r="F4064" s="294" t="s">
        <v>511</v>
      </c>
      <c r="G4064" s="294" t="s">
        <v>126</v>
      </c>
      <c r="H4064" s="298">
        <v>1</v>
      </c>
      <c r="M4064" s="274"/>
    </row>
    <row r="4065" spans="2:13" ht="15" customHeight="1" x14ac:dyDescent="0.25">
      <c r="B4065" s="289">
        <v>4129</v>
      </c>
      <c r="C4065" s="261">
        <v>123</v>
      </c>
      <c r="D4065" s="244" t="s">
        <v>12</v>
      </c>
      <c r="E4065" s="263">
        <v>1</v>
      </c>
      <c r="F4065" s="294" t="s">
        <v>126</v>
      </c>
      <c r="G4065" s="294" t="s">
        <v>437</v>
      </c>
      <c r="H4065" s="298">
        <v>1</v>
      </c>
      <c r="M4065" s="274"/>
    </row>
    <row r="4066" spans="2:13" ht="15" customHeight="1" x14ac:dyDescent="0.25">
      <c r="B4066" s="289">
        <v>4130</v>
      </c>
      <c r="C4066" s="261">
        <v>123</v>
      </c>
      <c r="D4066" s="244" t="s">
        <v>12</v>
      </c>
      <c r="E4066" s="263">
        <v>50</v>
      </c>
      <c r="F4066" s="294" t="s">
        <v>126</v>
      </c>
      <c r="G4066" s="294" t="s">
        <v>573</v>
      </c>
      <c r="H4066" s="298">
        <v>1</v>
      </c>
      <c r="M4066" s="274"/>
    </row>
    <row r="4067" spans="2:13" ht="15" customHeight="1" x14ac:dyDescent="0.25">
      <c r="B4067" s="289">
        <v>4131</v>
      </c>
      <c r="C4067" s="261">
        <v>123</v>
      </c>
      <c r="D4067" s="244" t="s">
        <v>12</v>
      </c>
      <c r="E4067" s="263">
        <v>69</v>
      </c>
      <c r="F4067" s="294" t="s">
        <v>126</v>
      </c>
      <c r="G4067" s="294" t="s">
        <v>574</v>
      </c>
      <c r="H4067" s="298">
        <v>1</v>
      </c>
      <c r="M4067" s="274"/>
    </row>
    <row r="4068" spans="2:13" ht="15" customHeight="1" x14ac:dyDescent="0.25">
      <c r="B4068" s="289">
        <v>4134</v>
      </c>
      <c r="C4068" s="261">
        <v>123</v>
      </c>
      <c r="D4068" s="244" t="s">
        <v>12</v>
      </c>
      <c r="E4068" s="263">
        <v>2</v>
      </c>
      <c r="F4068" s="294" t="s">
        <v>126</v>
      </c>
      <c r="G4068" s="294" t="s">
        <v>420</v>
      </c>
      <c r="H4068" s="298">
        <v>1</v>
      </c>
      <c r="M4068" s="274"/>
    </row>
    <row r="4069" spans="2:13" ht="15" customHeight="1" x14ac:dyDescent="0.25">
      <c r="B4069" s="289">
        <v>4136</v>
      </c>
      <c r="C4069" s="261">
        <v>117</v>
      </c>
      <c r="D4069" s="244" t="s">
        <v>11</v>
      </c>
      <c r="E4069" s="263">
        <v>6</v>
      </c>
      <c r="F4069" s="294" t="s">
        <v>506</v>
      </c>
      <c r="G4069" s="294" t="s">
        <v>126</v>
      </c>
      <c r="H4069" s="298">
        <v>1</v>
      </c>
      <c r="M4069" s="274"/>
    </row>
    <row r="4070" spans="2:13" ht="15" customHeight="1" x14ac:dyDescent="0.25">
      <c r="B4070" s="289">
        <v>4137</v>
      </c>
      <c r="C4070" s="261">
        <v>123</v>
      </c>
      <c r="D4070" s="244" t="s">
        <v>12</v>
      </c>
      <c r="E4070" s="263">
        <v>50</v>
      </c>
      <c r="F4070" s="294" t="s">
        <v>126</v>
      </c>
      <c r="G4070" s="294" t="s">
        <v>575</v>
      </c>
      <c r="H4070" s="298">
        <v>1</v>
      </c>
      <c r="M4070" s="274"/>
    </row>
    <row r="4071" spans="2:13" ht="15" customHeight="1" x14ac:dyDescent="0.25">
      <c r="B4071" s="289">
        <v>4138</v>
      </c>
      <c r="C4071" s="261">
        <v>123</v>
      </c>
      <c r="D4071" s="244" t="s">
        <v>11</v>
      </c>
      <c r="E4071" s="263">
        <v>1</v>
      </c>
      <c r="F4071" s="294" t="s">
        <v>139</v>
      </c>
      <c r="G4071" s="294" t="s">
        <v>126</v>
      </c>
      <c r="H4071" s="298">
        <v>1</v>
      </c>
      <c r="M4071" s="274"/>
    </row>
    <row r="4072" spans="2:13" ht="15" customHeight="1" x14ac:dyDescent="0.25">
      <c r="B4072" s="289">
        <v>4139</v>
      </c>
      <c r="C4072" s="261">
        <v>118</v>
      </c>
      <c r="D4072" s="244" t="s">
        <v>11</v>
      </c>
      <c r="E4072" s="263">
        <v>14</v>
      </c>
      <c r="F4072" s="294" t="s">
        <v>576</v>
      </c>
      <c r="G4072" s="294" t="s">
        <v>126</v>
      </c>
      <c r="H4072" s="298">
        <v>1</v>
      </c>
      <c r="M4072" s="274"/>
    </row>
    <row r="4073" spans="2:13" ht="15" customHeight="1" x14ac:dyDescent="0.25">
      <c r="B4073" s="289">
        <v>4140</v>
      </c>
      <c r="C4073" s="261">
        <v>121</v>
      </c>
      <c r="D4073" s="244" t="s">
        <v>11</v>
      </c>
      <c r="E4073" s="263">
        <v>2</v>
      </c>
      <c r="F4073" s="294" t="s">
        <v>441</v>
      </c>
      <c r="G4073" s="294" t="s">
        <v>126</v>
      </c>
      <c r="H4073" s="298">
        <v>1</v>
      </c>
      <c r="M4073" s="274"/>
    </row>
    <row r="4074" spans="2:13" ht="15" customHeight="1" x14ac:dyDescent="0.25">
      <c r="B4074" s="289">
        <v>4141</v>
      </c>
      <c r="C4074" s="261">
        <v>123</v>
      </c>
      <c r="D4074" s="244" t="s">
        <v>12</v>
      </c>
      <c r="E4074" s="263">
        <v>1</v>
      </c>
      <c r="F4074" s="294" t="s">
        <v>126</v>
      </c>
      <c r="G4074" s="294" t="s">
        <v>437</v>
      </c>
      <c r="H4074" s="298">
        <v>1</v>
      </c>
      <c r="M4074" s="274"/>
    </row>
    <row r="4075" spans="2:13" ht="15" customHeight="1" x14ac:dyDescent="0.25">
      <c r="B4075" s="289">
        <v>4143</v>
      </c>
      <c r="C4075" s="261">
        <v>123</v>
      </c>
      <c r="D4075" s="244" t="s">
        <v>12</v>
      </c>
      <c r="E4075" s="263">
        <v>2</v>
      </c>
      <c r="F4075" s="294" t="s">
        <v>126</v>
      </c>
      <c r="G4075" s="294" t="s">
        <v>420</v>
      </c>
      <c r="H4075" s="298">
        <v>1</v>
      </c>
      <c r="M4075" s="274"/>
    </row>
    <row r="4076" spans="2:13" ht="15" customHeight="1" x14ac:dyDescent="0.25">
      <c r="B4076" s="289">
        <v>4144</v>
      </c>
      <c r="C4076" s="261">
        <v>116</v>
      </c>
      <c r="D4076" s="244" t="s">
        <v>12</v>
      </c>
      <c r="E4076" s="263">
        <v>4</v>
      </c>
      <c r="F4076" s="294" t="s">
        <v>126</v>
      </c>
      <c r="G4076" s="294" t="s">
        <v>577</v>
      </c>
      <c r="H4076" s="298">
        <v>1</v>
      </c>
      <c r="M4076" s="274"/>
    </row>
    <row r="4077" spans="2:13" ht="15" customHeight="1" x14ac:dyDescent="0.25">
      <c r="B4077" s="289">
        <v>4144</v>
      </c>
      <c r="C4077" s="261">
        <v>138</v>
      </c>
      <c r="D4077" s="244" t="s">
        <v>11</v>
      </c>
      <c r="E4077" s="263">
        <v>2</v>
      </c>
      <c r="F4077" s="294" t="s">
        <v>431</v>
      </c>
      <c r="G4077" s="294" t="s">
        <v>126</v>
      </c>
      <c r="H4077" s="298">
        <v>1</v>
      </c>
      <c r="M4077" s="274"/>
    </row>
    <row r="4078" spans="2:13" ht="15" customHeight="1" x14ac:dyDescent="0.25">
      <c r="B4078" s="289">
        <v>4145</v>
      </c>
      <c r="C4078" s="261">
        <v>123</v>
      </c>
      <c r="D4078" s="244" t="s">
        <v>12</v>
      </c>
      <c r="E4078" s="263">
        <v>75</v>
      </c>
      <c r="F4078" s="294" t="s">
        <v>126</v>
      </c>
      <c r="G4078" s="294" t="s">
        <v>578</v>
      </c>
      <c r="H4078" s="298">
        <v>1</v>
      </c>
      <c r="M4078" s="274"/>
    </row>
    <row r="4079" spans="2:13" ht="15" customHeight="1" x14ac:dyDescent="0.25">
      <c r="B4079" s="289">
        <v>4146</v>
      </c>
      <c r="C4079" s="261">
        <v>123</v>
      </c>
      <c r="D4079" s="244" t="s">
        <v>12</v>
      </c>
      <c r="E4079" s="263">
        <v>75</v>
      </c>
      <c r="F4079" s="294" t="s">
        <v>126</v>
      </c>
      <c r="G4079" s="294" t="s">
        <v>579</v>
      </c>
      <c r="H4079" s="298">
        <v>1</v>
      </c>
      <c r="M4079" s="274"/>
    </row>
    <row r="4080" spans="2:13" ht="15" customHeight="1" x14ac:dyDescent="0.25">
      <c r="B4080" s="289">
        <v>4147</v>
      </c>
      <c r="C4080" s="261">
        <v>123</v>
      </c>
      <c r="D4080" s="244" t="s">
        <v>12</v>
      </c>
      <c r="E4080" s="263">
        <v>75</v>
      </c>
      <c r="F4080" s="294" t="s">
        <v>126</v>
      </c>
      <c r="G4080" s="294" t="s">
        <v>580</v>
      </c>
      <c r="H4080" s="298">
        <v>1</v>
      </c>
      <c r="M4080" s="274"/>
    </row>
    <row r="4081" spans="2:13" ht="15" customHeight="1" x14ac:dyDescent="0.25">
      <c r="B4081" s="289">
        <v>4148</v>
      </c>
      <c r="C4081" s="261">
        <v>123</v>
      </c>
      <c r="D4081" s="244" t="s">
        <v>11</v>
      </c>
      <c r="E4081" s="263">
        <v>3</v>
      </c>
      <c r="F4081" s="294" t="s">
        <v>528</v>
      </c>
      <c r="G4081" s="294" t="s">
        <v>126</v>
      </c>
      <c r="H4081" s="298">
        <v>1</v>
      </c>
      <c r="M4081" s="274"/>
    </row>
    <row r="4082" spans="2:13" ht="15" customHeight="1" x14ac:dyDescent="0.25">
      <c r="B4082" s="289">
        <v>4150</v>
      </c>
      <c r="C4082" s="261">
        <v>116</v>
      </c>
      <c r="D4082" s="244" t="s">
        <v>11</v>
      </c>
      <c r="E4082" s="263">
        <v>7</v>
      </c>
      <c r="F4082" s="294" t="s">
        <v>581</v>
      </c>
      <c r="G4082" s="294" t="s">
        <v>126</v>
      </c>
      <c r="H4082" s="298">
        <v>1</v>
      </c>
      <c r="M4082" s="274"/>
    </row>
    <row r="4083" spans="2:13" ht="15" customHeight="1" x14ac:dyDescent="0.25">
      <c r="B4083" s="289">
        <v>4151</v>
      </c>
      <c r="C4083" s="261">
        <v>123</v>
      </c>
      <c r="D4083" s="244" t="s">
        <v>12</v>
      </c>
      <c r="E4083" s="263">
        <v>15</v>
      </c>
      <c r="F4083" s="294" t="s">
        <v>126</v>
      </c>
      <c r="G4083" s="294" t="s">
        <v>582</v>
      </c>
      <c r="H4083" s="298">
        <v>1</v>
      </c>
      <c r="M4083" s="274"/>
    </row>
    <row r="4084" spans="2:13" ht="15" customHeight="1" x14ac:dyDescent="0.25">
      <c r="B4084" s="289">
        <v>4152</v>
      </c>
      <c r="C4084" s="261">
        <v>123</v>
      </c>
      <c r="D4084" s="244" t="s">
        <v>12</v>
      </c>
      <c r="E4084" s="263">
        <v>1</v>
      </c>
      <c r="F4084" s="294" t="s">
        <v>126</v>
      </c>
      <c r="G4084" s="294" t="s">
        <v>437</v>
      </c>
      <c r="H4084" s="298">
        <v>1</v>
      </c>
      <c r="M4084" s="274"/>
    </row>
    <row r="4085" spans="2:13" ht="15" customHeight="1" x14ac:dyDescent="0.25">
      <c r="B4085" s="289">
        <v>4154</v>
      </c>
      <c r="C4085" s="261">
        <v>123</v>
      </c>
      <c r="D4085" s="244" t="s">
        <v>12</v>
      </c>
      <c r="E4085" s="263">
        <v>1</v>
      </c>
      <c r="F4085" s="294" t="s">
        <v>126</v>
      </c>
      <c r="G4085" s="294" t="s">
        <v>139</v>
      </c>
      <c r="H4085" s="298">
        <v>1</v>
      </c>
      <c r="M4085" s="274"/>
    </row>
    <row r="4086" spans="2:13" ht="15" customHeight="1" x14ac:dyDescent="0.25">
      <c r="B4086" s="289">
        <v>4155</v>
      </c>
      <c r="C4086" s="261">
        <v>115</v>
      </c>
      <c r="D4086" s="244" t="s">
        <v>12</v>
      </c>
      <c r="E4086" s="263">
        <v>20</v>
      </c>
      <c r="F4086" s="294" t="s">
        <v>126</v>
      </c>
      <c r="G4086" s="294" t="s">
        <v>583</v>
      </c>
      <c r="H4086" s="298">
        <v>1</v>
      </c>
      <c r="M4086" s="274"/>
    </row>
    <row r="4087" spans="2:13" ht="15" customHeight="1" x14ac:dyDescent="0.25">
      <c r="B4087" s="289">
        <v>4156</v>
      </c>
      <c r="C4087" s="261">
        <v>115</v>
      </c>
      <c r="D4087" s="244" t="s">
        <v>11</v>
      </c>
      <c r="E4087" s="263">
        <v>8</v>
      </c>
      <c r="F4087" s="294" t="s">
        <v>584</v>
      </c>
      <c r="G4087" s="294" t="s">
        <v>126</v>
      </c>
      <c r="H4087" s="298">
        <v>1</v>
      </c>
      <c r="M4087" s="274"/>
    </row>
    <row r="4088" spans="2:13" ht="15" customHeight="1" x14ac:dyDescent="0.25">
      <c r="B4088" s="289">
        <v>4157</v>
      </c>
      <c r="C4088" s="261">
        <v>122</v>
      </c>
      <c r="D4088" s="244" t="s">
        <v>11</v>
      </c>
      <c r="E4088" s="263">
        <v>1</v>
      </c>
      <c r="F4088" s="294" t="s">
        <v>426</v>
      </c>
      <c r="G4088" s="294" t="s">
        <v>126</v>
      </c>
      <c r="H4088" s="298">
        <v>1</v>
      </c>
      <c r="M4088" s="274"/>
    </row>
    <row r="4089" spans="2:13" ht="15" customHeight="1" x14ac:dyDescent="0.25">
      <c r="B4089" s="289">
        <v>4158</v>
      </c>
      <c r="C4089" s="261">
        <v>123</v>
      </c>
      <c r="D4089" s="244" t="s">
        <v>12</v>
      </c>
      <c r="E4089" s="263">
        <v>33</v>
      </c>
      <c r="F4089" s="294" t="s">
        <v>126</v>
      </c>
      <c r="G4089" s="294" t="s">
        <v>585</v>
      </c>
      <c r="H4089" s="298">
        <v>1</v>
      </c>
      <c r="M4089" s="274"/>
    </row>
    <row r="4090" spans="2:13" ht="15" customHeight="1" x14ac:dyDescent="0.25">
      <c r="B4090" s="289">
        <v>4159</v>
      </c>
      <c r="C4090" s="261">
        <v>123</v>
      </c>
      <c r="D4090" s="244" t="s">
        <v>12</v>
      </c>
      <c r="E4090" s="263">
        <v>1</v>
      </c>
      <c r="F4090" s="294" t="s">
        <v>126</v>
      </c>
      <c r="G4090" s="294" t="s">
        <v>426</v>
      </c>
      <c r="H4090" s="298">
        <v>1</v>
      </c>
      <c r="M4090" s="274"/>
    </row>
    <row r="4091" spans="2:13" ht="15" customHeight="1" x14ac:dyDescent="0.25">
      <c r="B4091" s="289">
        <v>4160</v>
      </c>
      <c r="C4091" s="261">
        <v>114</v>
      </c>
      <c r="D4091" s="244" t="s">
        <v>12</v>
      </c>
      <c r="E4091" s="263">
        <v>46</v>
      </c>
      <c r="F4091" s="294" t="s">
        <v>126</v>
      </c>
      <c r="G4091" s="294" t="s">
        <v>586</v>
      </c>
      <c r="H4091" s="298">
        <v>1</v>
      </c>
      <c r="M4091" s="274"/>
    </row>
    <row r="4092" spans="2:13" ht="15" customHeight="1" x14ac:dyDescent="0.25">
      <c r="B4092" s="289">
        <v>4161</v>
      </c>
      <c r="C4092" s="261">
        <v>119</v>
      </c>
      <c r="D4092" s="244" t="s">
        <v>12</v>
      </c>
      <c r="E4092" s="263">
        <v>2</v>
      </c>
      <c r="F4092" s="294" t="s">
        <v>126</v>
      </c>
      <c r="G4092" s="294" t="s">
        <v>587</v>
      </c>
      <c r="H4092" s="298">
        <v>1</v>
      </c>
      <c r="M4092" s="274"/>
    </row>
    <row r="4093" spans="2:13" ht="15" customHeight="1" x14ac:dyDescent="0.25">
      <c r="B4093" s="289">
        <v>4161</v>
      </c>
      <c r="C4093" s="261">
        <v>123</v>
      </c>
      <c r="D4093" s="244" t="s">
        <v>12</v>
      </c>
      <c r="E4093" s="263">
        <v>55</v>
      </c>
      <c r="F4093" s="294" t="s">
        <v>126</v>
      </c>
      <c r="G4093" s="294" t="s">
        <v>588</v>
      </c>
      <c r="H4093" s="298">
        <v>1</v>
      </c>
      <c r="M4093" s="274"/>
    </row>
    <row r="4094" spans="2:13" ht="15" customHeight="1" x14ac:dyDescent="0.25">
      <c r="B4094" s="289">
        <v>4162</v>
      </c>
      <c r="C4094" s="261">
        <v>116</v>
      </c>
      <c r="D4094" s="244" t="s">
        <v>11</v>
      </c>
      <c r="E4094" s="263">
        <v>18</v>
      </c>
      <c r="F4094" s="294" t="s">
        <v>469</v>
      </c>
      <c r="G4094" s="294" t="s">
        <v>126</v>
      </c>
      <c r="H4094" s="298">
        <v>1</v>
      </c>
      <c r="M4094" s="274"/>
    </row>
    <row r="4095" spans="2:13" ht="15" customHeight="1" x14ac:dyDescent="0.25">
      <c r="B4095" s="289">
        <v>4163</v>
      </c>
      <c r="C4095" s="261">
        <v>120</v>
      </c>
      <c r="D4095" s="244" t="s">
        <v>11</v>
      </c>
      <c r="E4095" s="263">
        <v>8</v>
      </c>
      <c r="F4095" s="294" t="s">
        <v>589</v>
      </c>
      <c r="G4095" s="294" t="s">
        <v>126</v>
      </c>
      <c r="H4095" s="298">
        <v>1</v>
      </c>
      <c r="M4095" s="274"/>
    </row>
    <row r="4096" spans="2:13" ht="15" customHeight="1" x14ac:dyDescent="0.25">
      <c r="B4096" s="289">
        <v>4164</v>
      </c>
      <c r="C4096" s="261">
        <v>123</v>
      </c>
      <c r="D4096" s="244" t="s">
        <v>12</v>
      </c>
      <c r="E4096" s="263">
        <v>73</v>
      </c>
      <c r="F4096" s="294" t="s">
        <v>126</v>
      </c>
      <c r="G4096" s="294" t="s">
        <v>590</v>
      </c>
      <c r="H4096" s="298">
        <v>1</v>
      </c>
      <c r="M4096" s="274"/>
    </row>
    <row r="4097" spans="2:13" ht="15" customHeight="1" x14ac:dyDescent="0.25">
      <c r="B4097" s="289">
        <v>4166</v>
      </c>
      <c r="C4097" s="261">
        <v>117</v>
      </c>
      <c r="D4097" s="244" t="s">
        <v>11</v>
      </c>
      <c r="E4097" s="263">
        <v>3</v>
      </c>
      <c r="F4097" s="294" t="s">
        <v>591</v>
      </c>
      <c r="G4097" s="294" t="s">
        <v>126</v>
      </c>
      <c r="H4097" s="298">
        <v>1</v>
      </c>
      <c r="M4097" s="274"/>
    </row>
    <row r="4098" spans="2:13" ht="15" customHeight="1" x14ac:dyDescent="0.25">
      <c r="B4098" s="289">
        <v>4167</v>
      </c>
      <c r="C4098" s="261">
        <v>114</v>
      </c>
      <c r="D4098" s="244" t="s">
        <v>12</v>
      </c>
      <c r="E4098" s="263">
        <v>39</v>
      </c>
      <c r="F4098" s="294" t="s">
        <v>126</v>
      </c>
      <c r="G4098" s="294" t="s">
        <v>461</v>
      </c>
      <c r="H4098" s="298">
        <v>1</v>
      </c>
      <c r="M4098" s="274"/>
    </row>
    <row r="4099" spans="2:13" ht="15" customHeight="1" x14ac:dyDescent="0.25">
      <c r="B4099" s="289">
        <v>4168</v>
      </c>
      <c r="C4099" s="261">
        <v>115</v>
      </c>
      <c r="D4099" s="244" t="s">
        <v>11</v>
      </c>
      <c r="E4099" s="263">
        <v>13</v>
      </c>
      <c r="F4099" s="294" t="s">
        <v>592</v>
      </c>
      <c r="G4099" s="294" t="s">
        <v>126</v>
      </c>
      <c r="H4099" s="298">
        <v>1</v>
      </c>
      <c r="M4099" s="274"/>
    </row>
    <row r="4100" spans="2:13" ht="15" customHeight="1" x14ac:dyDescent="0.25">
      <c r="B4100" s="289">
        <v>4168</v>
      </c>
      <c r="C4100" s="261">
        <v>134</v>
      </c>
      <c r="D4100" s="244" t="s">
        <v>11</v>
      </c>
      <c r="E4100" s="263">
        <v>7</v>
      </c>
      <c r="F4100" s="294" t="s">
        <v>593</v>
      </c>
      <c r="G4100" s="294" t="s">
        <v>126</v>
      </c>
      <c r="H4100" s="298">
        <v>1</v>
      </c>
      <c r="M4100" s="274"/>
    </row>
    <row r="4101" spans="2:13" ht="15" customHeight="1" x14ac:dyDescent="0.25">
      <c r="B4101" s="289">
        <v>4169</v>
      </c>
      <c r="C4101" s="261">
        <v>123</v>
      </c>
      <c r="D4101" s="244" t="s">
        <v>11</v>
      </c>
      <c r="E4101" s="263">
        <v>9</v>
      </c>
      <c r="F4101" s="294" t="s">
        <v>436</v>
      </c>
      <c r="G4101" s="294" t="s">
        <v>126</v>
      </c>
      <c r="H4101" s="298">
        <v>1</v>
      </c>
      <c r="M4101" s="274"/>
    </row>
    <row r="4102" spans="2:13" ht="15" customHeight="1" x14ac:dyDescent="0.25">
      <c r="B4102" s="289">
        <v>4170</v>
      </c>
      <c r="C4102" s="261">
        <v>123</v>
      </c>
      <c r="D4102" s="244" t="s">
        <v>12</v>
      </c>
      <c r="E4102" s="263">
        <v>1</v>
      </c>
      <c r="F4102" s="294" t="s">
        <v>126</v>
      </c>
      <c r="G4102" s="294" t="s">
        <v>437</v>
      </c>
      <c r="H4102" s="298">
        <v>1</v>
      </c>
      <c r="M4102" s="274"/>
    </row>
    <row r="4103" spans="2:13" ht="15" customHeight="1" x14ac:dyDescent="0.25">
      <c r="B4103" s="289">
        <v>4171</v>
      </c>
      <c r="C4103" s="261">
        <v>123</v>
      </c>
      <c r="D4103" s="244" t="s">
        <v>12</v>
      </c>
      <c r="E4103" s="263">
        <v>1</v>
      </c>
      <c r="F4103" s="294" t="s">
        <v>126</v>
      </c>
      <c r="G4103" s="294" t="s">
        <v>437</v>
      </c>
      <c r="H4103" s="298">
        <v>1</v>
      </c>
      <c r="M4103" s="274"/>
    </row>
    <row r="4104" spans="2:13" ht="15" customHeight="1" x14ac:dyDescent="0.25">
      <c r="B4104" s="289">
        <v>4172</v>
      </c>
      <c r="C4104" s="261">
        <v>118</v>
      </c>
      <c r="D4104" s="244" t="s">
        <v>11</v>
      </c>
      <c r="E4104" s="263">
        <v>5</v>
      </c>
      <c r="F4104" s="294" t="s">
        <v>453</v>
      </c>
      <c r="G4104" s="294" t="s">
        <v>126</v>
      </c>
      <c r="H4104" s="298">
        <v>1</v>
      </c>
      <c r="M4104" s="274"/>
    </row>
    <row r="4105" spans="2:13" ht="15" customHeight="1" x14ac:dyDescent="0.25">
      <c r="B4105" s="289">
        <v>4173</v>
      </c>
      <c r="C4105" s="261">
        <v>114</v>
      </c>
      <c r="D4105" s="244" t="s">
        <v>12</v>
      </c>
      <c r="E4105" s="263">
        <v>3</v>
      </c>
      <c r="F4105" s="294" t="s">
        <v>126</v>
      </c>
      <c r="G4105" s="294" t="s">
        <v>594</v>
      </c>
      <c r="H4105" s="298">
        <v>1</v>
      </c>
      <c r="M4105" s="274"/>
    </row>
    <row r="4106" spans="2:13" ht="15" customHeight="1" x14ac:dyDescent="0.25">
      <c r="B4106" s="289">
        <v>4173</v>
      </c>
      <c r="C4106" s="261">
        <v>117</v>
      </c>
      <c r="D4106" s="244" t="s">
        <v>12</v>
      </c>
      <c r="E4106" s="263">
        <v>5</v>
      </c>
      <c r="F4106" s="294" t="s">
        <v>126</v>
      </c>
      <c r="G4106" s="294" t="s">
        <v>595</v>
      </c>
      <c r="H4106" s="298">
        <v>1</v>
      </c>
      <c r="M4106" s="274"/>
    </row>
    <row r="4107" spans="2:13" ht="15" customHeight="1" x14ac:dyDescent="0.25">
      <c r="B4107" s="289">
        <v>4173</v>
      </c>
      <c r="C4107" s="261">
        <v>123</v>
      </c>
      <c r="D4107" s="244" t="s">
        <v>12</v>
      </c>
      <c r="E4107" s="263">
        <v>87</v>
      </c>
      <c r="F4107" s="294" t="s">
        <v>126</v>
      </c>
      <c r="G4107" s="294" t="s">
        <v>596</v>
      </c>
      <c r="H4107" s="298">
        <v>1</v>
      </c>
      <c r="M4107" s="274"/>
    </row>
    <row r="4108" spans="2:13" ht="15" customHeight="1" x14ac:dyDescent="0.25">
      <c r="B4108" s="289">
        <v>4174</v>
      </c>
      <c r="C4108" s="261">
        <v>123</v>
      </c>
      <c r="D4108" s="244" t="s">
        <v>12</v>
      </c>
      <c r="E4108" s="263">
        <v>24</v>
      </c>
      <c r="F4108" s="294" t="s">
        <v>126</v>
      </c>
      <c r="G4108" s="294" t="s">
        <v>597</v>
      </c>
      <c r="H4108" s="298">
        <v>1</v>
      </c>
      <c r="M4108" s="274"/>
    </row>
    <row r="4109" spans="2:13" ht="15" customHeight="1" x14ac:dyDescent="0.25">
      <c r="B4109" s="289">
        <v>4174</v>
      </c>
      <c r="C4109" s="261">
        <v>137</v>
      </c>
      <c r="D4109" s="244" t="s">
        <v>12</v>
      </c>
      <c r="E4109" s="263">
        <v>11</v>
      </c>
      <c r="F4109" s="294" t="s">
        <v>126</v>
      </c>
      <c r="G4109" s="294" t="s">
        <v>598</v>
      </c>
      <c r="H4109" s="298">
        <v>1</v>
      </c>
      <c r="M4109" s="274"/>
    </row>
    <row r="4110" spans="2:13" ht="15" customHeight="1" x14ac:dyDescent="0.25">
      <c r="B4110" s="289">
        <v>4175</v>
      </c>
      <c r="C4110" s="261">
        <v>115</v>
      </c>
      <c r="D4110" s="244" t="s">
        <v>11</v>
      </c>
      <c r="E4110" s="263">
        <v>28</v>
      </c>
      <c r="F4110" s="294" t="s">
        <v>599</v>
      </c>
      <c r="G4110" s="294" t="s">
        <v>126</v>
      </c>
      <c r="H4110" s="298">
        <v>1</v>
      </c>
      <c r="M4110" s="274"/>
    </row>
    <row r="4111" spans="2:13" ht="15" customHeight="1" x14ac:dyDescent="0.25">
      <c r="B4111" s="289">
        <v>4177</v>
      </c>
      <c r="C4111" s="261">
        <v>123</v>
      </c>
      <c r="D4111" s="244" t="s">
        <v>12</v>
      </c>
      <c r="E4111" s="263">
        <v>2</v>
      </c>
      <c r="F4111" s="294" t="s">
        <v>126</v>
      </c>
      <c r="G4111" s="294" t="s">
        <v>454</v>
      </c>
      <c r="H4111" s="298">
        <v>1</v>
      </c>
      <c r="M4111" s="274"/>
    </row>
    <row r="4112" spans="2:13" ht="15" customHeight="1" x14ac:dyDescent="0.25">
      <c r="B4112" s="289">
        <v>4179</v>
      </c>
      <c r="C4112" s="261">
        <v>116</v>
      </c>
      <c r="D4112" s="244" t="s">
        <v>11</v>
      </c>
      <c r="E4112" s="263">
        <v>4</v>
      </c>
      <c r="F4112" s="294" t="s">
        <v>457</v>
      </c>
      <c r="G4112" s="294" t="s">
        <v>126</v>
      </c>
      <c r="H4112" s="298">
        <v>1</v>
      </c>
      <c r="M4112" s="274"/>
    </row>
    <row r="4113" spans="2:13" ht="15" customHeight="1" x14ac:dyDescent="0.25">
      <c r="B4113" s="289">
        <v>4180</v>
      </c>
      <c r="C4113" s="261">
        <v>122</v>
      </c>
      <c r="D4113" s="244" t="s">
        <v>12</v>
      </c>
      <c r="E4113" s="263">
        <v>2</v>
      </c>
      <c r="F4113" s="294" t="s">
        <v>126</v>
      </c>
      <c r="G4113" s="294" t="s">
        <v>441</v>
      </c>
      <c r="H4113" s="298">
        <v>1</v>
      </c>
      <c r="M4113" s="274"/>
    </row>
    <row r="4114" spans="2:13" ht="15" customHeight="1" x14ac:dyDescent="0.25">
      <c r="B4114" s="289">
        <v>4180</v>
      </c>
      <c r="C4114" s="261">
        <v>134</v>
      </c>
      <c r="D4114" s="244" t="s">
        <v>12</v>
      </c>
      <c r="E4114" s="263">
        <v>5</v>
      </c>
      <c r="F4114" s="294" t="s">
        <v>126</v>
      </c>
      <c r="G4114" s="294" t="s">
        <v>600</v>
      </c>
      <c r="H4114" s="298">
        <v>1</v>
      </c>
      <c r="M4114" s="274"/>
    </row>
    <row r="4115" spans="2:13" ht="15" customHeight="1" x14ac:dyDescent="0.25">
      <c r="B4115" s="289">
        <v>4181</v>
      </c>
      <c r="C4115" s="261">
        <v>123</v>
      </c>
      <c r="D4115" s="244" t="s">
        <v>11</v>
      </c>
      <c r="E4115" s="263">
        <v>9</v>
      </c>
      <c r="F4115" s="294" t="s">
        <v>436</v>
      </c>
      <c r="G4115" s="294" t="s">
        <v>126</v>
      </c>
      <c r="H4115" s="298">
        <v>1</v>
      </c>
      <c r="M4115" s="274"/>
    </row>
    <row r="4116" spans="2:13" ht="15" customHeight="1" x14ac:dyDescent="0.25">
      <c r="B4116" s="289">
        <v>4182</v>
      </c>
      <c r="C4116" s="261">
        <v>115</v>
      </c>
      <c r="D4116" s="244" t="s">
        <v>11</v>
      </c>
      <c r="E4116" s="263">
        <v>8</v>
      </c>
      <c r="F4116" s="294" t="s">
        <v>584</v>
      </c>
      <c r="G4116" s="294" t="s">
        <v>126</v>
      </c>
      <c r="H4116" s="298">
        <v>1</v>
      </c>
      <c r="M4116" s="274"/>
    </row>
    <row r="4117" spans="2:13" ht="15" customHeight="1" x14ac:dyDescent="0.25">
      <c r="B4117" s="289">
        <v>4183</v>
      </c>
      <c r="C4117" s="261">
        <v>123</v>
      </c>
      <c r="D4117" s="244" t="s">
        <v>12</v>
      </c>
      <c r="E4117" s="263">
        <v>25</v>
      </c>
      <c r="F4117" s="294" t="s">
        <v>126</v>
      </c>
      <c r="G4117" s="294" t="s">
        <v>601</v>
      </c>
      <c r="H4117" s="298">
        <v>1</v>
      </c>
      <c r="M4117" s="274"/>
    </row>
    <row r="4118" spans="2:13" ht="15" customHeight="1" x14ac:dyDescent="0.25">
      <c r="B4118" s="289">
        <v>4184</v>
      </c>
      <c r="C4118" s="261">
        <v>123</v>
      </c>
      <c r="D4118" s="244" t="s">
        <v>12</v>
      </c>
      <c r="E4118" s="263">
        <v>59</v>
      </c>
      <c r="F4118" s="294" t="s">
        <v>126</v>
      </c>
      <c r="G4118" s="294" t="s">
        <v>602</v>
      </c>
      <c r="H4118" s="298">
        <v>1</v>
      </c>
      <c r="M4118" s="274"/>
    </row>
    <row r="4119" spans="2:13" ht="15" customHeight="1" x14ac:dyDescent="0.25">
      <c r="B4119" s="289">
        <v>4185</v>
      </c>
      <c r="C4119" s="261">
        <v>120</v>
      </c>
      <c r="D4119" s="244" t="s">
        <v>12</v>
      </c>
      <c r="E4119" s="263">
        <v>2</v>
      </c>
      <c r="F4119" s="294" t="s">
        <v>126</v>
      </c>
      <c r="G4119" s="294" t="s">
        <v>341</v>
      </c>
      <c r="H4119" s="298">
        <v>1</v>
      </c>
      <c r="M4119" s="274"/>
    </row>
    <row r="4120" spans="2:13" ht="15" customHeight="1" x14ac:dyDescent="0.25">
      <c r="B4120" s="289">
        <v>4185</v>
      </c>
      <c r="C4120" s="261">
        <v>123</v>
      </c>
      <c r="D4120" s="244" t="s">
        <v>12</v>
      </c>
      <c r="E4120" s="263">
        <v>44</v>
      </c>
      <c r="F4120" s="294" t="s">
        <v>126</v>
      </c>
      <c r="G4120" s="294" t="s">
        <v>603</v>
      </c>
      <c r="H4120" s="298">
        <v>1</v>
      </c>
      <c r="M4120" s="274"/>
    </row>
    <row r="4121" spans="2:13" ht="15" customHeight="1" x14ac:dyDescent="0.25">
      <c r="B4121" s="289">
        <v>4186</v>
      </c>
      <c r="C4121" s="261">
        <v>123</v>
      </c>
      <c r="D4121" s="244" t="s">
        <v>12</v>
      </c>
      <c r="E4121" s="263">
        <v>2</v>
      </c>
      <c r="F4121" s="294" t="s">
        <v>126</v>
      </c>
      <c r="G4121" s="294" t="s">
        <v>587</v>
      </c>
      <c r="H4121" s="298">
        <v>1</v>
      </c>
      <c r="M4121" s="274"/>
    </row>
    <row r="4122" spans="2:13" ht="15" customHeight="1" x14ac:dyDescent="0.25">
      <c r="B4122" s="289">
        <v>4187</v>
      </c>
      <c r="C4122" s="261">
        <v>122</v>
      </c>
      <c r="D4122" s="244" t="s">
        <v>11</v>
      </c>
      <c r="E4122" s="263">
        <v>1</v>
      </c>
      <c r="F4122" s="294" t="s">
        <v>426</v>
      </c>
      <c r="G4122" s="294" t="s">
        <v>126</v>
      </c>
      <c r="H4122" s="298">
        <v>1</v>
      </c>
      <c r="M4122" s="274"/>
    </row>
    <row r="4123" spans="2:13" ht="15" customHeight="1" x14ac:dyDescent="0.25">
      <c r="B4123" s="289">
        <v>4188</v>
      </c>
      <c r="C4123" s="261">
        <v>123</v>
      </c>
      <c r="D4123" s="244" t="s">
        <v>11</v>
      </c>
      <c r="E4123" s="263">
        <v>9</v>
      </c>
      <c r="F4123" s="294" t="s">
        <v>436</v>
      </c>
      <c r="G4123" s="294" t="s">
        <v>126</v>
      </c>
      <c r="H4123" s="298">
        <v>1</v>
      </c>
      <c r="M4123" s="274"/>
    </row>
    <row r="4124" spans="2:13" ht="15" customHeight="1" x14ac:dyDescent="0.25">
      <c r="B4124" s="289">
        <v>4189</v>
      </c>
      <c r="C4124" s="261">
        <v>123</v>
      </c>
      <c r="D4124" s="244" t="s">
        <v>12</v>
      </c>
      <c r="E4124" s="263">
        <v>2</v>
      </c>
      <c r="F4124" s="294" t="s">
        <v>126</v>
      </c>
      <c r="G4124" s="294" t="s">
        <v>441</v>
      </c>
      <c r="H4124" s="298">
        <v>1</v>
      </c>
      <c r="M4124" s="274"/>
    </row>
    <row r="4125" spans="2:13" ht="15" customHeight="1" x14ac:dyDescent="0.25">
      <c r="B4125" s="289">
        <v>4190</v>
      </c>
      <c r="C4125" s="261">
        <v>123</v>
      </c>
      <c r="D4125" s="244" t="s">
        <v>12</v>
      </c>
      <c r="E4125" s="263">
        <v>1</v>
      </c>
      <c r="F4125" s="294" t="s">
        <v>126</v>
      </c>
      <c r="G4125" s="294" t="s">
        <v>426</v>
      </c>
      <c r="H4125" s="298">
        <v>1</v>
      </c>
      <c r="M4125" s="274"/>
    </row>
    <row r="4126" spans="2:13" ht="15" customHeight="1" x14ac:dyDescent="0.25">
      <c r="B4126" s="289">
        <v>4192</v>
      </c>
      <c r="C4126" s="261">
        <v>123</v>
      </c>
      <c r="D4126" s="244" t="s">
        <v>12</v>
      </c>
      <c r="E4126" s="263">
        <v>1</v>
      </c>
      <c r="F4126" s="294" t="s">
        <v>126</v>
      </c>
      <c r="G4126" s="294" t="s">
        <v>139</v>
      </c>
      <c r="H4126" s="298">
        <v>1</v>
      </c>
      <c r="M4126" s="274"/>
    </row>
    <row r="4127" spans="2:13" ht="15" customHeight="1" x14ac:dyDescent="0.25">
      <c r="B4127" s="289">
        <v>4195</v>
      </c>
      <c r="C4127" s="261">
        <v>112</v>
      </c>
      <c r="D4127" s="244" t="s">
        <v>12</v>
      </c>
      <c r="E4127" s="263">
        <v>43</v>
      </c>
      <c r="F4127" s="294" t="s">
        <v>126</v>
      </c>
      <c r="G4127" s="294" t="s">
        <v>604</v>
      </c>
      <c r="H4127" s="298">
        <v>1</v>
      </c>
      <c r="M4127" s="274"/>
    </row>
    <row r="4128" spans="2:13" ht="15" customHeight="1" x14ac:dyDescent="0.25">
      <c r="B4128" s="289">
        <v>4196</v>
      </c>
      <c r="C4128" s="261">
        <v>116</v>
      </c>
      <c r="D4128" s="244" t="s">
        <v>11</v>
      </c>
      <c r="E4128" s="263">
        <v>12</v>
      </c>
      <c r="F4128" s="294" t="s">
        <v>451</v>
      </c>
      <c r="G4128" s="294" t="s">
        <v>126</v>
      </c>
      <c r="H4128" s="298">
        <v>1</v>
      </c>
      <c r="M4128" s="274"/>
    </row>
    <row r="4129" spans="2:13" ht="15" customHeight="1" x14ac:dyDescent="0.25">
      <c r="B4129" s="289">
        <v>4197</v>
      </c>
      <c r="C4129" s="261">
        <v>123</v>
      </c>
      <c r="D4129" s="244" t="s">
        <v>12</v>
      </c>
      <c r="E4129" s="263">
        <v>75</v>
      </c>
      <c r="F4129" s="294" t="s">
        <v>126</v>
      </c>
      <c r="G4129" s="294" t="s">
        <v>605</v>
      </c>
      <c r="H4129" s="298">
        <v>1</v>
      </c>
      <c r="M4129" s="274"/>
    </row>
    <row r="4130" spans="2:13" ht="15" customHeight="1" x14ac:dyDescent="0.25">
      <c r="B4130" s="289">
        <v>4198</v>
      </c>
      <c r="C4130" s="261">
        <v>112</v>
      </c>
      <c r="D4130" s="244" t="s">
        <v>11</v>
      </c>
      <c r="E4130" s="263">
        <v>10</v>
      </c>
      <c r="F4130" s="294" t="s">
        <v>606</v>
      </c>
      <c r="G4130" s="294" t="s">
        <v>126</v>
      </c>
      <c r="H4130" s="298">
        <v>1</v>
      </c>
      <c r="M4130" s="274"/>
    </row>
    <row r="4131" spans="2:13" ht="15" customHeight="1" x14ac:dyDescent="0.25">
      <c r="B4131" s="289">
        <v>4199</v>
      </c>
      <c r="C4131" s="261">
        <v>113</v>
      </c>
      <c r="D4131" s="244" t="s">
        <v>11</v>
      </c>
      <c r="E4131" s="263">
        <v>10</v>
      </c>
      <c r="F4131" s="294" t="s">
        <v>496</v>
      </c>
      <c r="G4131" s="294" t="s">
        <v>126</v>
      </c>
      <c r="H4131" s="298">
        <v>1</v>
      </c>
      <c r="M4131" s="274"/>
    </row>
    <row r="4132" spans="2:13" ht="15" customHeight="1" x14ac:dyDescent="0.25">
      <c r="B4132" s="289">
        <v>4200</v>
      </c>
      <c r="C4132" s="261">
        <v>120</v>
      </c>
      <c r="D4132" s="244" t="s">
        <v>11</v>
      </c>
      <c r="E4132" s="263">
        <v>26</v>
      </c>
      <c r="F4132" s="294" t="s">
        <v>607</v>
      </c>
      <c r="G4132" s="294" t="s">
        <v>126</v>
      </c>
      <c r="H4132" s="298">
        <v>1</v>
      </c>
      <c r="M4132" s="274"/>
    </row>
    <row r="4133" spans="2:13" ht="15" customHeight="1" x14ac:dyDescent="0.25">
      <c r="B4133" s="289">
        <v>4201</v>
      </c>
      <c r="C4133" s="261">
        <v>122</v>
      </c>
      <c r="D4133" s="244" t="s">
        <v>12</v>
      </c>
      <c r="E4133" s="263">
        <v>2</v>
      </c>
      <c r="F4133" s="294" t="s">
        <v>126</v>
      </c>
      <c r="G4133" s="294" t="s">
        <v>441</v>
      </c>
      <c r="H4133" s="298">
        <v>1</v>
      </c>
      <c r="M4133" s="274"/>
    </row>
    <row r="4134" spans="2:13" ht="15" customHeight="1" x14ac:dyDescent="0.25">
      <c r="B4134" s="289">
        <v>4202</v>
      </c>
      <c r="C4134" s="261">
        <v>123</v>
      </c>
      <c r="D4134" s="244" t="s">
        <v>12</v>
      </c>
      <c r="E4134" s="263">
        <v>4</v>
      </c>
      <c r="F4134" s="294" t="s">
        <v>126</v>
      </c>
      <c r="G4134" s="294" t="s">
        <v>462</v>
      </c>
      <c r="H4134" s="298">
        <v>1</v>
      </c>
      <c r="M4134" s="274"/>
    </row>
    <row r="4135" spans="2:13" ht="15" customHeight="1" x14ac:dyDescent="0.25">
      <c r="B4135" s="289">
        <v>4203</v>
      </c>
      <c r="C4135" s="261">
        <v>123</v>
      </c>
      <c r="D4135" s="244" t="s">
        <v>12</v>
      </c>
      <c r="E4135" s="263">
        <v>1</v>
      </c>
      <c r="F4135" s="294" t="s">
        <v>126</v>
      </c>
      <c r="G4135" s="294" t="s">
        <v>235</v>
      </c>
      <c r="H4135" s="298">
        <v>1</v>
      </c>
      <c r="M4135" s="274"/>
    </row>
    <row r="4136" spans="2:13" ht="15" customHeight="1" x14ac:dyDescent="0.25">
      <c r="B4136" s="289">
        <v>4204</v>
      </c>
      <c r="C4136" s="261">
        <v>123</v>
      </c>
      <c r="D4136" s="244" t="s">
        <v>12</v>
      </c>
      <c r="E4136" s="263">
        <v>43</v>
      </c>
      <c r="F4136" s="294" t="s">
        <v>126</v>
      </c>
      <c r="G4136" s="294" t="s">
        <v>608</v>
      </c>
      <c r="H4136" s="298">
        <v>1</v>
      </c>
      <c r="M4136" s="274"/>
    </row>
    <row r="4137" spans="2:13" ht="15" customHeight="1" x14ac:dyDescent="0.25">
      <c r="B4137" s="289">
        <v>4205</v>
      </c>
      <c r="C4137" s="261">
        <v>125</v>
      </c>
      <c r="D4137" s="244" t="s">
        <v>11</v>
      </c>
      <c r="E4137" s="263">
        <v>6</v>
      </c>
      <c r="F4137" s="294" t="s">
        <v>609</v>
      </c>
      <c r="G4137" s="294" t="s">
        <v>126</v>
      </c>
      <c r="H4137" s="298">
        <v>1</v>
      </c>
      <c r="M4137" s="274"/>
    </row>
    <row r="4138" spans="2:13" ht="15" customHeight="1" x14ac:dyDescent="0.25">
      <c r="B4138" s="289">
        <v>4206</v>
      </c>
      <c r="C4138" s="261">
        <v>123</v>
      </c>
      <c r="D4138" s="244" t="s">
        <v>12</v>
      </c>
      <c r="E4138" s="263">
        <v>87</v>
      </c>
      <c r="F4138" s="294" t="s">
        <v>126</v>
      </c>
      <c r="G4138" s="294" t="s">
        <v>610</v>
      </c>
      <c r="H4138" s="298">
        <v>1</v>
      </c>
      <c r="M4138" s="274"/>
    </row>
    <row r="4139" spans="2:13" ht="15" customHeight="1" x14ac:dyDescent="0.25">
      <c r="B4139" s="289">
        <v>4208</v>
      </c>
      <c r="C4139" s="261">
        <v>116</v>
      </c>
      <c r="D4139" s="244" t="s">
        <v>11</v>
      </c>
      <c r="E4139" s="263">
        <v>11</v>
      </c>
      <c r="F4139" s="294" t="s">
        <v>473</v>
      </c>
      <c r="G4139" s="294" t="s">
        <v>126</v>
      </c>
      <c r="H4139" s="298">
        <v>1</v>
      </c>
      <c r="M4139" s="274"/>
    </row>
    <row r="4140" spans="2:13" ht="15" customHeight="1" x14ac:dyDescent="0.25">
      <c r="B4140" s="289">
        <v>4209</v>
      </c>
      <c r="C4140" s="261">
        <v>115</v>
      </c>
      <c r="D4140" s="244" t="s">
        <v>11</v>
      </c>
      <c r="E4140" s="263">
        <v>4</v>
      </c>
      <c r="F4140" s="294" t="s">
        <v>462</v>
      </c>
      <c r="G4140" s="294" t="s">
        <v>126</v>
      </c>
      <c r="H4140" s="298">
        <v>1</v>
      </c>
      <c r="M4140" s="274"/>
    </row>
    <row r="4141" spans="2:13" ht="15" customHeight="1" x14ac:dyDescent="0.25">
      <c r="B4141" s="289">
        <v>4210</v>
      </c>
      <c r="C4141" s="261">
        <v>122</v>
      </c>
      <c r="D4141" s="244" t="s">
        <v>11</v>
      </c>
      <c r="E4141" s="263">
        <v>8</v>
      </c>
      <c r="F4141" s="294" t="s">
        <v>554</v>
      </c>
      <c r="G4141" s="294" t="s">
        <v>126</v>
      </c>
      <c r="H4141" s="298">
        <v>1</v>
      </c>
      <c r="M4141" s="274"/>
    </row>
    <row r="4142" spans="2:13" ht="15" customHeight="1" x14ac:dyDescent="0.25">
      <c r="B4142" s="289">
        <v>4211</v>
      </c>
      <c r="C4142" s="261">
        <v>123</v>
      </c>
      <c r="D4142" s="244" t="s">
        <v>12</v>
      </c>
      <c r="E4142" s="263">
        <v>1</v>
      </c>
      <c r="F4142" s="294" t="s">
        <v>126</v>
      </c>
      <c r="G4142" s="294" t="s">
        <v>235</v>
      </c>
      <c r="H4142" s="298">
        <v>1</v>
      </c>
      <c r="M4142" s="274"/>
    </row>
    <row r="4143" spans="2:13" ht="15" customHeight="1" x14ac:dyDescent="0.25">
      <c r="B4143" s="289">
        <v>4212</v>
      </c>
      <c r="C4143" s="261">
        <v>123</v>
      </c>
      <c r="D4143" s="244" t="s">
        <v>12</v>
      </c>
      <c r="E4143" s="263">
        <v>1</v>
      </c>
      <c r="F4143" s="294" t="s">
        <v>126</v>
      </c>
      <c r="G4143" s="294" t="s">
        <v>426</v>
      </c>
      <c r="H4143" s="298">
        <v>1</v>
      </c>
      <c r="M4143" s="274"/>
    </row>
    <row r="4144" spans="2:13" ht="15" customHeight="1" x14ac:dyDescent="0.25">
      <c r="B4144" s="289">
        <v>4213</v>
      </c>
      <c r="C4144" s="261">
        <v>115</v>
      </c>
      <c r="D4144" s="244" t="s">
        <v>11</v>
      </c>
      <c r="E4144" s="263">
        <v>1</v>
      </c>
      <c r="F4144" s="294" t="s">
        <v>235</v>
      </c>
      <c r="G4144" s="294" t="s">
        <v>126</v>
      </c>
      <c r="H4144" s="298">
        <v>1</v>
      </c>
      <c r="M4144" s="274"/>
    </row>
    <row r="4145" spans="2:13" ht="15" customHeight="1" x14ac:dyDescent="0.25">
      <c r="B4145" s="289">
        <v>4213</v>
      </c>
      <c r="C4145" s="261">
        <v>123</v>
      </c>
      <c r="D4145" s="244" t="s">
        <v>12</v>
      </c>
      <c r="E4145" s="263">
        <v>60</v>
      </c>
      <c r="F4145" s="294" t="s">
        <v>126</v>
      </c>
      <c r="G4145" s="294" t="s">
        <v>611</v>
      </c>
      <c r="H4145" s="298">
        <v>1</v>
      </c>
      <c r="M4145" s="274"/>
    </row>
    <row r="4146" spans="2:13" ht="15" customHeight="1" x14ac:dyDescent="0.25">
      <c r="B4146" s="289">
        <v>4214</v>
      </c>
      <c r="C4146" s="261">
        <v>115</v>
      </c>
      <c r="D4146" s="244" t="s">
        <v>11</v>
      </c>
      <c r="E4146" s="263">
        <v>1</v>
      </c>
      <c r="F4146" s="294" t="s">
        <v>235</v>
      </c>
      <c r="G4146" s="294" t="s">
        <v>126</v>
      </c>
      <c r="H4146" s="298">
        <v>1</v>
      </c>
      <c r="M4146" s="274"/>
    </row>
    <row r="4147" spans="2:13" ht="15" customHeight="1" x14ac:dyDescent="0.25">
      <c r="B4147" s="289">
        <v>4214</v>
      </c>
      <c r="C4147" s="261">
        <v>123</v>
      </c>
      <c r="D4147" s="244" t="s">
        <v>12</v>
      </c>
      <c r="E4147" s="263">
        <v>60</v>
      </c>
      <c r="F4147" s="294" t="s">
        <v>126</v>
      </c>
      <c r="G4147" s="294" t="s">
        <v>612</v>
      </c>
      <c r="H4147" s="298">
        <v>1</v>
      </c>
      <c r="M4147" s="274"/>
    </row>
    <row r="4148" spans="2:13" ht="15" customHeight="1" x14ac:dyDescent="0.25">
      <c r="B4148" s="289">
        <v>4216</v>
      </c>
      <c r="C4148" s="261">
        <v>121</v>
      </c>
      <c r="D4148" s="244" t="s">
        <v>11</v>
      </c>
      <c r="E4148" s="263">
        <v>2</v>
      </c>
      <c r="F4148" s="294" t="s">
        <v>441</v>
      </c>
      <c r="G4148" s="294" t="s">
        <v>126</v>
      </c>
      <c r="H4148" s="298">
        <v>1</v>
      </c>
      <c r="M4148" s="274"/>
    </row>
    <row r="4149" spans="2:13" ht="15" customHeight="1" x14ac:dyDescent="0.25">
      <c r="B4149" s="289">
        <v>4217</v>
      </c>
      <c r="C4149" s="261">
        <v>123</v>
      </c>
      <c r="D4149" s="244" t="s">
        <v>12</v>
      </c>
      <c r="E4149" s="263">
        <v>24</v>
      </c>
      <c r="F4149" s="294" t="s">
        <v>126</v>
      </c>
      <c r="G4149" s="294" t="s">
        <v>613</v>
      </c>
      <c r="H4149" s="298">
        <v>1</v>
      </c>
      <c r="M4149" s="274"/>
    </row>
    <row r="4150" spans="2:13" ht="15" customHeight="1" x14ac:dyDescent="0.25">
      <c r="B4150" s="289">
        <v>4217</v>
      </c>
      <c r="C4150" s="261">
        <v>128</v>
      </c>
      <c r="D4150" s="244" t="s">
        <v>12</v>
      </c>
      <c r="E4150" s="263">
        <v>2</v>
      </c>
      <c r="F4150" s="294" t="s">
        <v>126</v>
      </c>
      <c r="G4150" s="294" t="s">
        <v>227</v>
      </c>
      <c r="H4150" s="298">
        <v>1</v>
      </c>
      <c r="M4150" s="274"/>
    </row>
    <row r="4151" spans="2:13" ht="15" customHeight="1" x14ac:dyDescent="0.25">
      <c r="B4151" s="289">
        <v>4217</v>
      </c>
      <c r="C4151" s="261">
        <v>137</v>
      </c>
      <c r="D4151" s="244" t="s">
        <v>12</v>
      </c>
      <c r="E4151" s="263">
        <v>2</v>
      </c>
      <c r="F4151" s="294" t="s">
        <v>126</v>
      </c>
      <c r="G4151" s="294" t="s">
        <v>454</v>
      </c>
      <c r="H4151" s="298">
        <v>1</v>
      </c>
      <c r="M4151" s="274"/>
    </row>
    <row r="4152" spans="2:13" ht="15" customHeight="1" x14ac:dyDescent="0.25">
      <c r="B4152" s="289">
        <v>4219</v>
      </c>
      <c r="C4152" s="261">
        <v>123</v>
      </c>
      <c r="D4152" s="244" t="s">
        <v>12</v>
      </c>
      <c r="E4152" s="263">
        <v>98</v>
      </c>
      <c r="F4152" s="294" t="s">
        <v>126</v>
      </c>
      <c r="G4152" s="294" t="s">
        <v>614</v>
      </c>
      <c r="H4152" s="298">
        <v>1</v>
      </c>
      <c r="M4152" s="274"/>
    </row>
    <row r="4153" spans="2:13" ht="15" customHeight="1" x14ac:dyDescent="0.25">
      <c r="B4153" s="289">
        <v>4221</v>
      </c>
      <c r="C4153" s="261">
        <v>114</v>
      </c>
      <c r="D4153" s="244" t="s">
        <v>12</v>
      </c>
      <c r="E4153" s="263">
        <v>46</v>
      </c>
      <c r="F4153" s="294" t="s">
        <v>126</v>
      </c>
      <c r="G4153" s="294" t="s">
        <v>586</v>
      </c>
      <c r="H4153" s="298">
        <v>1</v>
      </c>
      <c r="M4153" s="274"/>
    </row>
    <row r="4154" spans="2:13" ht="15" customHeight="1" x14ac:dyDescent="0.25">
      <c r="B4154" s="289">
        <v>4222</v>
      </c>
      <c r="C4154" s="261">
        <v>123</v>
      </c>
      <c r="D4154" s="244" t="s">
        <v>12</v>
      </c>
      <c r="E4154" s="263">
        <v>76</v>
      </c>
      <c r="F4154" s="294" t="s">
        <v>126</v>
      </c>
      <c r="G4154" s="294" t="s">
        <v>615</v>
      </c>
      <c r="H4154" s="298">
        <v>1</v>
      </c>
      <c r="M4154" s="274"/>
    </row>
    <row r="4155" spans="2:13" ht="15" customHeight="1" x14ac:dyDescent="0.25">
      <c r="B4155" s="289">
        <v>4223</v>
      </c>
      <c r="C4155" s="261">
        <v>108</v>
      </c>
      <c r="D4155" s="244" t="s">
        <v>11</v>
      </c>
      <c r="E4155" s="263">
        <v>23</v>
      </c>
      <c r="F4155" s="294" t="s">
        <v>616</v>
      </c>
      <c r="G4155" s="294" t="s">
        <v>126</v>
      </c>
      <c r="H4155" s="298">
        <v>1</v>
      </c>
      <c r="M4155" s="274"/>
    </row>
    <row r="4156" spans="2:13" ht="15" customHeight="1" x14ac:dyDescent="0.25">
      <c r="B4156" s="289">
        <v>4225</v>
      </c>
      <c r="C4156" s="261">
        <v>132</v>
      </c>
      <c r="D4156" s="244" t="s">
        <v>11</v>
      </c>
      <c r="E4156" s="263">
        <v>1</v>
      </c>
      <c r="F4156" s="294" t="s">
        <v>437</v>
      </c>
      <c r="G4156" s="294" t="s">
        <v>126</v>
      </c>
      <c r="H4156" s="298">
        <v>1</v>
      </c>
      <c r="M4156" s="274"/>
    </row>
    <row r="4157" spans="2:13" ht="15" customHeight="1" x14ac:dyDescent="0.25">
      <c r="B4157" s="289">
        <v>4226</v>
      </c>
      <c r="C4157" s="261">
        <v>123</v>
      </c>
      <c r="D4157" s="244" t="s">
        <v>12</v>
      </c>
      <c r="E4157" s="263">
        <v>1</v>
      </c>
      <c r="F4157" s="294" t="s">
        <v>126</v>
      </c>
      <c r="G4157" s="294" t="s">
        <v>139</v>
      </c>
      <c r="H4157" s="298">
        <v>1</v>
      </c>
      <c r="M4157" s="274"/>
    </row>
    <row r="4158" spans="2:13" ht="15" customHeight="1" x14ac:dyDescent="0.25">
      <c r="B4158" s="289">
        <v>4228</v>
      </c>
      <c r="C4158" s="261">
        <v>107</v>
      </c>
      <c r="D4158" s="244" t="s">
        <v>11</v>
      </c>
      <c r="E4158" s="263">
        <v>22</v>
      </c>
      <c r="F4158" s="294" t="s">
        <v>617</v>
      </c>
      <c r="G4158" s="294" t="s">
        <v>126</v>
      </c>
      <c r="H4158" s="298">
        <v>1</v>
      </c>
      <c r="M4158" s="274"/>
    </row>
    <row r="4159" spans="2:13" ht="15" customHeight="1" x14ac:dyDescent="0.25">
      <c r="B4159" s="289">
        <v>4230</v>
      </c>
      <c r="C4159" s="261">
        <v>119</v>
      </c>
      <c r="D4159" s="244" t="s">
        <v>11</v>
      </c>
      <c r="E4159" s="263">
        <v>1</v>
      </c>
      <c r="F4159" s="294" t="s">
        <v>426</v>
      </c>
      <c r="G4159" s="294" t="s">
        <v>126</v>
      </c>
      <c r="H4159" s="298">
        <v>1</v>
      </c>
      <c r="M4159" s="274"/>
    </row>
    <row r="4160" spans="2:13" ht="15" customHeight="1" x14ac:dyDescent="0.25">
      <c r="B4160" s="289">
        <v>4231</v>
      </c>
      <c r="C4160" s="261">
        <v>123</v>
      </c>
      <c r="D4160" s="244" t="s">
        <v>12</v>
      </c>
      <c r="E4160" s="263">
        <v>22</v>
      </c>
      <c r="F4160" s="294" t="s">
        <v>126</v>
      </c>
      <c r="G4160" s="294" t="s">
        <v>618</v>
      </c>
      <c r="H4160" s="298">
        <v>1</v>
      </c>
      <c r="M4160" s="274"/>
    </row>
    <row r="4161" spans="2:13" ht="15" customHeight="1" x14ac:dyDescent="0.25">
      <c r="B4161" s="289">
        <v>4233</v>
      </c>
      <c r="C4161" s="261">
        <v>123</v>
      </c>
      <c r="D4161" s="244" t="s">
        <v>12</v>
      </c>
      <c r="E4161" s="263">
        <v>1</v>
      </c>
      <c r="F4161" s="294" t="s">
        <v>126</v>
      </c>
      <c r="G4161" s="294" t="s">
        <v>139</v>
      </c>
      <c r="H4161" s="298">
        <v>1</v>
      </c>
      <c r="M4161" s="274"/>
    </row>
    <row r="4162" spans="2:13" ht="15" customHeight="1" x14ac:dyDescent="0.25">
      <c r="B4162" s="289">
        <v>4234</v>
      </c>
      <c r="C4162" s="261">
        <v>121</v>
      </c>
      <c r="D4162" s="244" t="s">
        <v>11</v>
      </c>
      <c r="E4162" s="263">
        <v>2</v>
      </c>
      <c r="F4162" s="294" t="s">
        <v>441</v>
      </c>
      <c r="G4162" s="294" t="s">
        <v>126</v>
      </c>
      <c r="H4162" s="298">
        <v>1</v>
      </c>
      <c r="M4162" s="274"/>
    </row>
    <row r="4163" spans="2:13" ht="15" customHeight="1" x14ac:dyDescent="0.25">
      <c r="B4163" s="289">
        <v>4236</v>
      </c>
      <c r="C4163" s="261">
        <v>123</v>
      </c>
      <c r="D4163" s="244" t="s">
        <v>12</v>
      </c>
      <c r="E4163" s="263">
        <v>2</v>
      </c>
      <c r="F4163" s="294" t="s">
        <v>126</v>
      </c>
      <c r="G4163" s="294" t="s">
        <v>233</v>
      </c>
      <c r="H4163" s="298">
        <v>1</v>
      </c>
      <c r="M4163" s="274"/>
    </row>
    <row r="4164" spans="2:13" ht="15" customHeight="1" x14ac:dyDescent="0.25">
      <c r="B4164" s="289">
        <v>4237</v>
      </c>
      <c r="C4164" s="261">
        <v>104</v>
      </c>
      <c r="D4164" s="244" t="s">
        <v>12</v>
      </c>
      <c r="E4164" s="263">
        <v>25</v>
      </c>
      <c r="F4164" s="294" t="s">
        <v>126</v>
      </c>
      <c r="G4164" s="294" t="s">
        <v>619</v>
      </c>
      <c r="H4164" s="298">
        <v>1</v>
      </c>
      <c r="M4164" s="274"/>
    </row>
    <row r="4165" spans="2:13" ht="15" customHeight="1" x14ac:dyDescent="0.25">
      <c r="B4165" s="289">
        <v>4238</v>
      </c>
      <c r="C4165" s="261">
        <v>110</v>
      </c>
      <c r="D4165" s="244" t="s">
        <v>11</v>
      </c>
      <c r="E4165" s="263">
        <v>13</v>
      </c>
      <c r="F4165" s="294" t="s">
        <v>483</v>
      </c>
      <c r="G4165" s="294" t="s">
        <v>126</v>
      </c>
      <c r="H4165" s="298">
        <v>1</v>
      </c>
      <c r="M4165" s="274"/>
    </row>
    <row r="4166" spans="2:13" ht="15" customHeight="1" x14ac:dyDescent="0.25">
      <c r="B4166" s="289">
        <v>4239</v>
      </c>
      <c r="C4166" s="261">
        <v>120</v>
      </c>
      <c r="D4166" s="244" t="s">
        <v>11</v>
      </c>
      <c r="E4166" s="263">
        <v>1</v>
      </c>
      <c r="F4166" s="294" t="s">
        <v>235</v>
      </c>
      <c r="G4166" s="294" t="s">
        <v>126</v>
      </c>
      <c r="H4166" s="298">
        <v>1</v>
      </c>
      <c r="M4166" s="274"/>
    </row>
    <row r="4167" spans="2:13" ht="15" customHeight="1" x14ac:dyDescent="0.25">
      <c r="B4167" s="289">
        <v>4240</v>
      </c>
      <c r="C4167" s="261">
        <v>123</v>
      </c>
      <c r="D4167" s="244" t="s">
        <v>12</v>
      </c>
      <c r="E4167" s="263">
        <v>2</v>
      </c>
      <c r="F4167" s="294" t="s">
        <v>126</v>
      </c>
      <c r="G4167" s="294" t="s">
        <v>441</v>
      </c>
      <c r="H4167" s="298">
        <v>1</v>
      </c>
      <c r="M4167" s="274"/>
    </row>
    <row r="4168" spans="2:13" ht="15" customHeight="1" x14ac:dyDescent="0.25">
      <c r="B4168" s="289">
        <v>4241</v>
      </c>
      <c r="C4168" s="261">
        <v>123</v>
      </c>
      <c r="D4168" s="244" t="s">
        <v>12</v>
      </c>
      <c r="E4168" s="263">
        <v>1</v>
      </c>
      <c r="F4168" s="294" t="s">
        <v>126</v>
      </c>
      <c r="G4168" s="294" t="s">
        <v>426</v>
      </c>
      <c r="H4168" s="298">
        <v>1</v>
      </c>
      <c r="M4168" s="274"/>
    </row>
    <row r="4169" spans="2:13" ht="15" customHeight="1" x14ac:dyDescent="0.25">
      <c r="B4169" s="289">
        <v>4243</v>
      </c>
      <c r="C4169" s="261">
        <v>108</v>
      </c>
      <c r="D4169" s="244" t="s">
        <v>11</v>
      </c>
      <c r="E4169" s="263">
        <v>23</v>
      </c>
      <c r="F4169" s="294" t="s">
        <v>616</v>
      </c>
      <c r="G4169" s="294" t="s">
        <v>126</v>
      </c>
      <c r="H4169" s="298">
        <v>1</v>
      </c>
      <c r="M4169" s="274"/>
    </row>
    <row r="4170" spans="2:13" ht="15" customHeight="1" x14ac:dyDescent="0.25">
      <c r="B4170" s="289">
        <v>4244</v>
      </c>
      <c r="C4170" s="261">
        <v>110</v>
      </c>
      <c r="D4170" s="244" t="s">
        <v>11</v>
      </c>
      <c r="E4170" s="263">
        <v>18</v>
      </c>
      <c r="F4170" s="294" t="s">
        <v>620</v>
      </c>
      <c r="G4170" s="294" t="s">
        <v>126</v>
      </c>
      <c r="H4170" s="298">
        <v>1</v>
      </c>
      <c r="M4170" s="274"/>
    </row>
    <row r="4171" spans="2:13" ht="15" customHeight="1" x14ac:dyDescent="0.25">
      <c r="B4171" s="289">
        <v>4245</v>
      </c>
      <c r="C4171" s="261">
        <v>123</v>
      </c>
      <c r="D4171" s="244" t="s">
        <v>12</v>
      </c>
      <c r="E4171" s="263">
        <v>1</v>
      </c>
      <c r="F4171" s="294" t="s">
        <v>126</v>
      </c>
      <c r="G4171" s="294" t="s">
        <v>437</v>
      </c>
      <c r="H4171" s="298">
        <v>1</v>
      </c>
      <c r="M4171" s="274"/>
    </row>
    <row r="4172" spans="2:13" ht="15" customHeight="1" x14ac:dyDescent="0.25">
      <c r="B4172" s="289">
        <v>4246</v>
      </c>
      <c r="C4172" s="261">
        <v>123</v>
      </c>
      <c r="D4172" s="244" t="s">
        <v>11</v>
      </c>
      <c r="E4172" s="263">
        <v>9</v>
      </c>
      <c r="F4172" s="294" t="s">
        <v>436</v>
      </c>
      <c r="G4172" s="294" t="s">
        <v>126</v>
      </c>
      <c r="H4172" s="298">
        <v>1</v>
      </c>
      <c r="M4172" s="274"/>
    </row>
    <row r="4173" spans="2:13" ht="15" customHeight="1" x14ac:dyDescent="0.25">
      <c r="B4173" s="289">
        <v>4247</v>
      </c>
      <c r="C4173" s="261">
        <v>123</v>
      </c>
      <c r="D4173" s="244" t="s">
        <v>12</v>
      </c>
      <c r="E4173" s="263">
        <v>101</v>
      </c>
      <c r="F4173" s="294" t="s">
        <v>126</v>
      </c>
      <c r="G4173" s="294" t="s">
        <v>621</v>
      </c>
      <c r="H4173" s="298">
        <v>1</v>
      </c>
      <c r="M4173" s="274"/>
    </row>
    <row r="4174" spans="2:13" ht="15" customHeight="1" x14ac:dyDescent="0.25">
      <c r="B4174" s="289">
        <v>4248</v>
      </c>
      <c r="C4174" s="261">
        <v>123</v>
      </c>
      <c r="D4174" s="244" t="s">
        <v>12</v>
      </c>
      <c r="E4174" s="263">
        <v>1</v>
      </c>
      <c r="F4174" s="294" t="s">
        <v>126</v>
      </c>
      <c r="G4174" s="294" t="s">
        <v>437</v>
      </c>
      <c r="H4174" s="298">
        <v>1</v>
      </c>
      <c r="M4174" s="274"/>
    </row>
    <row r="4175" spans="2:13" ht="15" customHeight="1" x14ac:dyDescent="0.25">
      <c r="B4175" s="289">
        <v>4249</v>
      </c>
      <c r="C4175" s="261">
        <v>123</v>
      </c>
      <c r="D4175" s="244" t="s">
        <v>12</v>
      </c>
      <c r="E4175" s="263">
        <v>1</v>
      </c>
      <c r="F4175" s="294" t="s">
        <v>126</v>
      </c>
      <c r="G4175" s="294" t="s">
        <v>426</v>
      </c>
      <c r="H4175" s="298">
        <v>1</v>
      </c>
      <c r="M4175" s="274"/>
    </row>
    <row r="4176" spans="2:13" ht="15" customHeight="1" x14ac:dyDescent="0.25">
      <c r="B4176" s="289">
        <v>4252</v>
      </c>
      <c r="C4176" s="261">
        <v>123</v>
      </c>
      <c r="D4176" s="244" t="s">
        <v>12</v>
      </c>
      <c r="E4176" s="263">
        <v>1</v>
      </c>
      <c r="F4176" s="294" t="s">
        <v>126</v>
      </c>
      <c r="G4176" s="294" t="s">
        <v>139</v>
      </c>
      <c r="H4176" s="298">
        <v>1</v>
      </c>
      <c r="M4176" s="274"/>
    </row>
    <row r="4177" spans="2:13" ht="15" customHeight="1" x14ac:dyDescent="0.25">
      <c r="B4177" s="289">
        <v>4254</v>
      </c>
      <c r="C4177" s="261">
        <v>102</v>
      </c>
      <c r="D4177" s="244" t="s">
        <v>12</v>
      </c>
      <c r="E4177" s="263">
        <v>5</v>
      </c>
      <c r="F4177" s="294" t="s">
        <v>126</v>
      </c>
      <c r="G4177" s="294" t="s">
        <v>622</v>
      </c>
      <c r="H4177" s="298">
        <v>1</v>
      </c>
      <c r="M4177" s="274"/>
    </row>
    <row r="4178" spans="2:13" ht="15" customHeight="1" x14ac:dyDescent="0.25">
      <c r="B4178" s="289">
        <v>4254</v>
      </c>
      <c r="C4178" s="261">
        <v>120</v>
      </c>
      <c r="D4178" s="244" t="s">
        <v>11</v>
      </c>
      <c r="E4178" s="263">
        <v>8</v>
      </c>
      <c r="F4178" s="294" t="s">
        <v>589</v>
      </c>
      <c r="G4178" s="294" t="s">
        <v>126</v>
      </c>
      <c r="H4178" s="298">
        <v>1</v>
      </c>
      <c r="M4178" s="274"/>
    </row>
    <row r="4179" spans="2:13" ht="15" customHeight="1" x14ac:dyDescent="0.25">
      <c r="B4179" s="289">
        <v>4255</v>
      </c>
      <c r="C4179" s="261">
        <v>113</v>
      </c>
      <c r="D4179" s="244" t="s">
        <v>12</v>
      </c>
      <c r="E4179" s="263">
        <v>3</v>
      </c>
      <c r="F4179" s="294" t="s">
        <v>126</v>
      </c>
      <c r="G4179" s="294" t="s">
        <v>623</v>
      </c>
      <c r="H4179" s="298">
        <v>1</v>
      </c>
      <c r="M4179" s="274"/>
    </row>
    <row r="4180" spans="2:13" ht="15" customHeight="1" x14ac:dyDescent="0.25">
      <c r="B4180" s="289">
        <v>4255</v>
      </c>
      <c r="C4180" s="261">
        <v>123</v>
      </c>
      <c r="D4180" s="244" t="s">
        <v>12</v>
      </c>
      <c r="E4180" s="263">
        <v>71</v>
      </c>
      <c r="F4180" s="294" t="s">
        <v>126</v>
      </c>
      <c r="G4180" s="294" t="s">
        <v>624</v>
      </c>
      <c r="H4180" s="298">
        <v>1</v>
      </c>
      <c r="M4180" s="274"/>
    </row>
    <row r="4181" spans="2:13" ht="15" customHeight="1" x14ac:dyDescent="0.25">
      <c r="B4181" s="289">
        <v>4256</v>
      </c>
      <c r="C4181" s="261">
        <v>122</v>
      </c>
      <c r="D4181" s="244" t="s">
        <v>12</v>
      </c>
      <c r="E4181" s="263">
        <v>1</v>
      </c>
      <c r="F4181" s="294" t="s">
        <v>126</v>
      </c>
      <c r="G4181" s="294" t="s">
        <v>437</v>
      </c>
      <c r="H4181" s="298">
        <v>1</v>
      </c>
      <c r="M4181" s="274"/>
    </row>
    <row r="4182" spans="2:13" ht="15" customHeight="1" x14ac:dyDescent="0.25">
      <c r="B4182" s="289">
        <v>4257</v>
      </c>
      <c r="C4182" s="261">
        <v>123</v>
      </c>
      <c r="D4182" s="244" t="s">
        <v>12</v>
      </c>
      <c r="E4182" s="263">
        <v>48</v>
      </c>
      <c r="F4182" s="294" t="s">
        <v>126</v>
      </c>
      <c r="G4182" s="294" t="s">
        <v>425</v>
      </c>
      <c r="H4182" s="298">
        <v>1</v>
      </c>
      <c r="M4182" s="274"/>
    </row>
    <row r="4183" spans="2:13" ht="15" customHeight="1" x14ac:dyDescent="0.25">
      <c r="B4183" s="289">
        <v>4258</v>
      </c>
      <c r="C4183" s="261">
        <v>106</v>
      </c>
      <c r="D4183" s="244" t="s">
        <v>11</v>
      </c>
      <c r="E4183" s="263">
        <v>2</v>
      </c>
      <c r="F4183" s="294" t="s">
        <v>587</v>
      </c>
      <c r="G4183" s="294" t="s">
        <v>126</v>
      </c>
      <c r="H4183" s="298">
        <v>1</v>
      </c>
      <c r="M4183" s="274"/>
    </row>
    <row r="4184" spans="2:13" ht="15" customHeight="1" x14ac:dyDescent="0.25">
      <c r="B4184" s="289">
        <v>4258</v>
      </c>
      <c r="C4184" s="261">
        <v>123</v>
      </c>
      <c r="D4184" s="244" t="s">
        <v>12</v>
      </c>
      <c r="E4184" s="263">
        <v>30</v>
      </c>
      <c r="F4184" s="294" t="s">
        <v>126</v>
      </c>
      <c r="G4184" s="294" t="s">
        <v>625</v>
      </c>
      <c r="H4184" s="298">
        <v>1</v>
      </c>
      <c r="M4184" s="274"/>
    </row>
    <row r="4185" spans="2:13" ht="15" customHeight="1" x14ac:dyDescent="0.25">
      <c r="B4185" s="289">
        <v>4259</v>
      </c>
      <c r="C4185" s="261">
        <v>123</v>
      </c>
      <c r="D4185" s="244" t="s">
        <v>12</v>
      </c>
      <c r="E4185" s="263">
        <v>99</v>
      </c>
      <c r="F4185" s="294" t="s">
        <v>126</v>
      </c>
      <c r="G4185" s="294" t="s">
        <v>626</v>
      </c>
      <c r="H4185" s="298">
        <v>1</v>
      </c>
      <c r="M4185" s="274"/>
    </row>
    <row r="4186" spans="2:13" ht="15" customHeight="1" x14ac:dyDescent="0.25">
      <c r="B4186" s="289">
        <v>4260</v>
      </c>
      <c r="C4186" s="261">
        <v>123</v>
      </c>
      <c r="D4186" s="244" t="s">
        <v>12</v>
      </c>
      <c r="E4186" s="263">
        <v>50</v>
      </c>
      <c r="F4186" s="294" t="s">
        <v>126</v>
      </c>
      <c r="G4186" s="294" t="s">
        <v>627</v>
      </c>
      <c r="H4186" s="298">
        <v>1</v>
      </c>
      <c r="M4186" s="274"/>
    </row>
    <row r="4187" spans="2:13" ht="15" customHeight="1" x14ac:dyDescent="0.25">
      <c r="B4187" s="289">
        <v>4261</v>
      </c>
      <c r="C4187" s="261">
        <v>123</v>
      </c>
      <c r="D4187" s="244" t="s">
        <v>12</v>
      </c>
      <c r="E4187" s="263">
        <v>2</v>
      </c>
      <c r="F4187" s="294" t="s">
        <v>126</v>
      </c>
      <c r="G4187" s="294" t="s">
        <v>454</v>
      </c>
      <c r="H4187" s="298">
        <v>1</v>
      </c>
      <c r="M4187" s="274"/>
    </row>
    <row r="4188" spans="2:13" ht="15" customHeight="1" x14ac:dyDescent="0.25">
      <c r="B4188" s="289">
        <v>4262</v>
      </c>
      <c r="C4188" s="261">
        <v>119</v>
      </c>
      <c r="D4188" s="244" t="s">
        <v>11</v>
      </c>
      <c r="E4188" s="263">
        <v>1</v>
      </c>
      <c r="F4188" s="294" t="s">
        <v>426</v>
      </c>
      <c r="G4188" s="294" t="s">
        <v>126</v>
      </c>
      <c r="H4188" s="298">
        <v>1</v>
      </c>
      <c r="M4188" s="274"/>
    </row>
    <row r="4189" spans="2:13" ht="15" customHeight="1" x14ac:dyDescent="0.25">
      <c r="B4189" s="289">
        <v>4263</v>
      </c>
      <c r="C4189" s="261">
        <v>122</v>
      </c>
      <c r="D4189" s="244" t="s">
        <v>11</v>
      </c>
      <c r="E4189" s="263">
        <v>1</v>
      </c>
      <c r="F4189" s="294" t="s">
        <v>426</v>
      </c>
      <c r="G4189" s="294" t="s">
        <v>126</v>
      </c>
      <c r="H4189" s="298">
        <v>1</v>
      </c>
      <c r="M4189" s="274"/>
    </row>
    <row r="4190" spans="2:13" ht="15" customHeight="1" x14ac:dyDescent="0.25">
      <c r="B4190" s="289">
        <v>4264</v>
      </c>
      <c r="C4190" s="261">
        <v>104</v>
      </c>
      <c r="D4190" s="244" t="s">
        <v>11</v>
      </c>
      <c r="E4190" s="263">
        <v>19</v>
      </c>
      <c r="F4190" s="294" t="s">
        <v>628</v>
      </c>
      <c r="G4190" s="294" t="s">
        <v>126</v>
      </c>
      <c r="H4190" s="298">
        <v>1</v>
      </c>
      <c r="M4190" s="274"/>
    </row>
    <row r="4191" spans="2:13" ht="15" customHeight="1" x14ac:dyDescent="0.25">
      <c r="B4191" s="289">
        <v>4265</v>
      </c>
      <c r="C4191" s="261">
        <v>123</v>
      </c>
      <c r="D4191" s="244" t="s">
        <v>12</v>
      </c>
      <c r="E4191" s="263">
        <v>48</v>
      </c>
      <c r="F4191" s="294" t="s">
        <v>126</v>
      </c>
      <c r="G4191" s="294" t="s">
        <v>425</v>
      </c>
      <c r="H4191" s="298">
        <v>1</v>
      </c>
      <c r="M4191" s="274"/>
    </row>
    <row r="4192" spans="2:13" ht="15" customHeight="1" x14ac:dyDescent="0.25">
      <c r="B4192" s="289">
        <v>4267</v>
      </c>
      <c r="C4192" s="261">
        <v>122</v>
      </c>
      <c r="D4192" s="244" t="s">
        <v>11</v>
      </c>
      <c r="E4192" s="263">
        <v>8</v>
      </c>
      <c r="F4192" s="294" t="s">
        <v>554</v>
      </c>
      <c r="G4192" s="294" t="s">
        <v>126</v>
      </c>
      <c r="H4192" s="298">
        <v>1</v>
      </c>
      <c r="M4192" s="274"/>
    </row>
    <row r="4193" spans="2:13" ht="15" customHeight="1" x14ac:dyDescent="0.25">
      <c r="B4193" s="289">
        <v>4268</v>
      </c>
      <c r="C4193" s="261">
        <v>123</v>
      </c>
      <c r="D4193" s="244" t="s">
        <v>12</v>
      </c>
      <c r="E4193" s="263">
        <v>88</v>
      </c>
      <c r="F4193" s="294" t="s">
        <v>126</v>
      </c>
      <c r="G4193" s="294" t="s">
        <v>629</v>
      </c>
      <c r="H4193" s="298">
        <v>1</v>
      </c>
      <c r="M4193" s="274"/>
    </row>
    <row r="4194" spans="2:13" ht="15" customHeight="1" x14ac:dyDescent="0.25">
      <c r="B4194" s="289">
        <v>4269</v>
      </c>
      <c r="C4194" s="261">
        <v>123</v>
      </c>
      <c r="D4194" s="244" t="s">
        <v>12</v>
      </c>
      <c r="E4194" s="263">
        <v>66</v>
      </c>
      <c r="F4194" s="294" t="s">
        <v>126</v>
      </c>
      <c r="G4194" s="294" t="s">
        <v>630</v>
      </c>
      <c r="H4194" s="298">
        <v>1</v>
      </c>
      <c r="M4194" s="274"/>
    </row>
    <row r="4195" spans="2:13" ht="15" customHeight="1" x14ac:dyDescent="0.25">
      <c r="B4195" s="289">
        <v>4270</v>
      </c>
      <c r="C4195" s="261">
        <v>123</v>
      </c>
      <c r="D4195" s="244" t="s">
        <v>12</v>
      </c>
      <c r="E4195" s="263">
        <v>60</v>
      </c>
      <c r="F4195" s="294" t="s">
        <v>126</v>
      </c>
      <c r="G4195" s="294" t="s">
        <v>631</v>
      </c>
      <c r="H4195" s="298">
        <v>1</v>
      </c>
      <c r="M4195" s="274"/>
    </row>
    <row r="4196" spans="2:13" ht="15" customHeight="1" x14ac:dyDescent="0.25">
      <c r="B4196" s="289">
        <v>4271</v>
      </c>
      <c r="C4196" s="261">
        <v>123</v>
      </c>
      <c r="D4196" s="244" t="s">
        <v>12</v>
      </c>
      <c r="E4196" s="263">
        <v>76</v>
      </c>
      <c r="F4196" s="294" t="s">
        <v>126</v>
      </c>
      <c r="G4196" s="294" t="s">
        <v>632</v>
      </c>
      <c r="H4196" s="298">
        <v>1</v>
      </c>
      <c r="M4196" s="274"/>
    </row>
    <row r="4197" spans="2:13" ht="15" customHeight="1" x14ac:dyDescent="0.25">
      <c r="B4197" s="289">
        <v>4272</v>
      </c>
      <c r="C4197" s="261">
        <v>123</v>
      </c>
      <c r="D4197" s="244" t="s">
        <v>12</v>
      </c>
      <c r="E4197" s="263">
        <v>92</v>
      </c>
      <c r="F4197" s="294" t="s">
        <v>126</v>
      </c>
      <c r="G4197" s="294" t="s">
        <v>633</v>
      </c>
      <c r="H4197" s="298">
        <v>1</v>
      </c>
      <c r="M4197" s="274"/>
    </row>
    <row r="4198" spans="2:13" ht="15" customHeight="1" x14ac:dyDescent="0.25">
      <c r="B4198" s="289">
        <v>4273</v>
      </c>
      <c r="C4198" s="261">
        <v>123</v>
      </c>
      <c r="D4198" s="244" t="s">
        <v>12</v>
      </c>
      <c r="E4198" s="263">
        <v>48</v>
      </c>
      <c r="F4198" s="294" t="s">
        <v>126</v>
      </c>
      <c r="G4198" s="294" t="s">
        <v>634</v>
      </c>
      <c r="H4198" s="298">
        <v>1</v>
      </c>
      <c r="M4198" s="274"/>
    </row>
    <row r="4199" spans="2:13" ht="15" customHeight="1" x14ac:dyDescent="0.25">
      <c r="B4199" s="289">
        <v>4274</v>
      </c>
      <c r="C4199" s="261">
        <v>123</v>
      </c>
      <c r="D4199" s="244" t="s">
        <v>12</v>
      </c>
      <c r="E4199" s="263">
        <v>2</v>
      </c>
      <c r="F4199" s="294" t="s">
        <v>126</v>
      </c>
      <c r="G4199" s="294" t="s">
        <v>441</v>
      </c>
      <c r="H4199" s="298">
        <v>1</v>
      </c>
      <c r="M4199" s="274"/>
    </row>
    <row r="4200" spans="2:13" ht="15" customHeight="1" x14ac:dyDescent="0.25">
      <c r="B4200" s="289">
        <v>4275</v>
      </c>
      <c r="C4200" s="261">
        <v>123</v>
      </c>
      <c r="D4200" s="244" t="s">
        <v>12</v>
      </c>
      <c r="E4200" s="263">
        <v>33</v>
      </c>
      <c r="F4200" s="294" t="s">
        <v>126</v>
      </c>
      <c r="G4200" s="294" t="s">
        <v>635</v>
      </c>
      <c r="H4200" s="298">
        <v>1</v>
      </c>
      <c r="M4200" s="274"/>
    </row>
    <row r="4201" spans="2:13" ht="15" customHeight="1" x14ac:dyDescent="0.25">
      <c r="B4201" s="289">
        <v>4276</v>
      </c>
      <c r="C4201" s="261">
        <v>123</v>
      </c>
      <c r="D4201" s="244" t="s">
        <v>12</v>
      </c>
      <c r="E4201" s="263">
        <v>1</v>
      </c>
      <c r="F4201" s="294" t="s">
        <v>126</v>
      </c>
      <c r="G4201" s="294" t="s">
        <v>437</v>
      </c>
      <c r="H4201" s="298">
        <v>1</v>
      </c>
      <c r="M4201" s="274"/>
    </row>
    <row r="4202" spans="2:13" ht="15" customHeight="1" x14ac:dyDescent="0.25">
      <c r="B4202" s="289">
        <v>4277</v>
      </c>
      <c r="C4202" s="261">
        <v>123</v>
      </c>
      <c r="D4202" s="244" t="s">
        <v>12</v>
      </c>
      <c r="E4202" s="263">
        <v>1</v>
      </c>
      <c r="F4202" s="294" t="s">
        <v>126</v>
      </c>
      <c r="G4202" s="294" t="s">
        <v>437</v>
      </c>
      <c r="H4202" s="298">
        <v>1</v>
      </c>
      <c r="M4202" s="274"/>
    </row>
    <row r="4203" spans="2:13" ht="15" customHeight="1" x14ac:dyDescent="0.25">
      <c r="B4203" s="289">
        <v>4278</v>
      </c>
      <c r="C4203" s="261">
        <v>123</v>
      </c>
      <c r="D4203" s="244" t="s">
        <v>12</v>
      </c>
      <c r="E4203" s="263">
        <v>4</v>
      </c>
      <c r="F4203" s="294" t="s">
        <v>126</v>
      </c>
      <c r="G4203" s="294" t="s">
        <v>636</v>
      </c>
      <c r="H4203" s="298">
        <v>1</v>
      </c>
      <c r="M4203" s="274"/>
    </row>
    <row r="4204" spans="2:13" ht="15" customHeight="1" x14ac:dyDescent="0.25">
      <c r="B4204" s="289">
        <v>4279</v>
      </c>
      <c r="C4204" s="261">
        <v>123</v>
      </c>
      <c r="D4204" s="244" t="s">
        <v>12</v>
      </c>
      <c r="E4204" s="263">
        <v>38</v>
      </c>
      <c r="F4204" s="294" t="s">
        <v>126</v>
      </c>
      <c r="G4204" s="294" t="s">
        <v>637</v>
      </c>
      <c r="H4204" s="298">
        <v>1</v>
      </c>
      <c r="M4204" s="274"/>
    </row>
    <row r="4205" spans="2:13" ht="15" customHeight="1" x14ac:dyDescent="0.25">
      <c r="B4205" s="289">
        <v>4280</v>
      </c>
      <c r="C4205" s="261">
        <v>123</v>
      </c>
      <c r="D4205" s="244" t="s">
        <v>12</v>
      </c>
      <c r="E4205" s="263">
        <v>1</v>
      </c>
      <c r="F4205" s="294" t="s">
        <v>126</v>
      </c>
      <c r="G4205" s="294" t="s">
        <v>139</v>
      </c>
      <c r="H4205" s="298">
        <v>1</v>
      </c>
      <c r="M4205" s="274"/>
    </row>
    <row r="4206" spans="2:13" ht="15" customHeight="1" x14ac:dyDescent="0.25">
      <c r="B4206" s="289">
        <v>4281</v>
      </c>
      <c r="C4206" s="261">
        <v>112</v>
      </c>
      <c r="D4206" s="244" t="s">
        <v>11</v>
      </c>
      <c r="E4206" s="263">
        <v>2</v>
      </c>
      <c r="F4206" s="294" t="s">
        <v>431</v>
      </c>
      <c r="G4206" s="294" t="s">
        <v>126</v>
      </c>
      <c r="H4206" s="298">
        <v>1</v>
      </c>
      <c r="M4206" s="274"/>
    </row>
    <row r="4207" spans="2:13" ht="15" customHeight="1" x14ac:dyDescent="0.25">
      <c r="B4207" s="289">
        <v>4281</v>
      </c>
      <c r="C4207" s="261">
        <v>123</v>
      </c>
      <c r="D4207" s="244" t="s">
        <v>12</v>
      </c>
      <c r="E4207" s="263">
        <v>57</v>
      </c>
      <c r="F4207" s="294" t="s">
        <v>126</v>
      </c>
      <c r="G4207" s="294" t="s">
        <v>638</v>
      </c>
      <c r="H4207" s="298">
        <v>1</v>
      </c>
      <c r="M4207" s="274"/>
    </row>
    <row r="4208" spans="2:13" ht="15" customHeight="1" x14ac:dyDescent="0.25">
      <c r="B4208" s="289">
        <v>4282</v>
      </c>
      <c r="C4208" s="261">
        <v>123</v>
      </c>
      <c r="D4208" s="244" t="s">
        <v>12</v>
      </c>
      <c r="E4208" s="263">
        <v>96</v>
      </c>
      <c r="F4208" s="294" t="s">
        <v>126</v>
      </c>
      <c r="G4208" s="294" t="s">
        <v>639</v>
      </c>
      <c r="H4208" s="298">
        <v>1</v>
      </c>
      <c r="M4208" s="274"/>
    </row>
    <row r="4209" spans="2:13" ht="15" customHeight="1" x14ac:dyDescent="0.25">
      <c r="B4209" s="289">
        <v>4283</v>
      </c>
      <c r="C4209" s="261">
        <v>123</v>
      </c>
      <c r="D4209" s="244" t="s">
        <v>12</v>
      </c>
      <c r="E4209" s="263">
        <v>100</v>
      </c>
      <c r="F4209" s="294" t="s">
        <v>126</v>
      </c>
      <c r="G4209" s="294" t="s">
        <v>640</v>
      </c>
      <c r="H4209" s="298">
        <v>1</v>
      </c>
      <c r="M4209" s="274"/>
    </row>
    <row r="4210" spans="2:13" ht="15" customHeight="1" x14ac:dyDescent="0.25">
      <c r="B4210" s="289">
        <v>4284</v>
      </c>
      <c r="C4210" s="261">
        <v>123</v>
      </c>
      <c r="D4210" s="244" t="s">
        <v>12</v>
      </c>
      <c r="E4210" s="263">
        <v>84</v>
      </c>
      <c r="F4210" s="294" t="s">
        <v>126</v>
      </c>
      <c r="G4210" s="294" t="s">
        <v>641</v>
      </c>
      <c r="H4210" s="298">
        <v>1</v>
      </c>
      <c r="M4210" s="274"/>
    </row>
    <row r="4211" spans="2:13" ht="15" customHeight="1" x14ac:dyDescent="0.25">
      <c r="B4211" s="289">
        <v>4285</v>
      </c>
      <c r="C4211" s="261">
        <v>123</v>
      </c>
      <c r="D4211" s="244" t="s">
        <v>12</v>
      </c>
      <c r="E4211" s="263">
        <v>84</v>
      </c>
      <c r="F4211" s="294" t="s">
        <v>126</v>
      </c>
      <c r="G4211" s="294" t="s">
        <v>642</v>
      </c>
      <c r="H4211" s="298">
        <v>1</v>
      </c>
      <c r="M4211" s="274"/>
    </row>
    <row r="4212" spans="2:13" ht="15" customHeight="1" x14ac:dyDescent="0.25">
      <c r="B4212" s="289">
        <v>4286</v>
      </c>
      <c r="C4212" s="261">
        <v>123</v>
      </c>
      <c r="D4212" s="244" t="s">
        <v>12</v>
      </c>
      <c r="E4212" s="263">
        <v>1</v>
      </c>
      <c r="F4212" s="294" t="s">
        <v>126</v>
      </c>
      <c r="G4212" s="294" t="s">
        <v>139</v>
      </c>
      <c r="H4212" s="298">
        <v>1</v>
      </c>
      <c r="M4212" s="274"/>
    </row>
    <row r="4213" spans="2:13" ht="15" customHeight="1" x14ac:dyDescent="0.25">
      <c r="B4213" s="289">
        <v>4287</v>
      </c>
      <c r="C4213" s="261">
        <v>118</v>
      </c>
      <c r="D4213" s="244" t="s">
        <v>11</v>
      </c>
      <c r="E4213" s="263">
        <v>5</v>
      </c>
      <c r="F4213" s="294" t="s">
        <v>453</v>
      </c>
      <c r="G4213" s="294" t="s">
        <v>126</v>
      </c>
      <c r="H4213" s="298">
        <v>1</v>
      </c>
      <c r="M4213" s="274"/>
    </row>
    <row r="4214" spans="2:13" ht="15" customHeight="1" x14ac:dyDescent="0.25">
      <c r="B4214" s="289">
        <v>4288</v>
      </c>
      <c r="C4214" s="261">
        <v>123</v>
      </c>
      <c r="D4214" s="244" t="s">
        <v>12</v>
      </c>
      <c r="E4214" s="263">
        <v>100</v>
      </c>
      <c r="F4214" s="294" t="s">
        <v>126</v>
      </c>
      <c r="G4214" s="294" t="s">
        <v>643</v>
      </c>
      <c r="H4214" s="298">
        <v>1</v>
      </c>
      <c r="M4214" s="274"/>
    </row>
    <row r="4215" spans="2:13" ht="15" customHeight="1" x14ac:dyDescent="0.25">
      <c r="B4215" s="289">
        <v>4289</v>
      </c>
      <c r="C4215" s="261">
        <v>123</v>
      </c>
      <c r="D4215" s="244" t="s">
        <v>12</v>
      </c>
      <c r="E4215" s="263">
        <v>86</v>
      </c>
      <c r="F4215" s="294" t="s">
        <v>126</v>
      </c>
      <c r="G4215" s="294" t="s">
        <v>644</v>
      </c>
      <c r="H4215" s="298">
        <v>1</v>
      </c>
      <c r="M4215" s="274"/>
    </row>
    <row r="4216" spans="2:13" ht="15" customHeight="1" x14ac:dyDescent="0.25">
      <c r="B4216" s="289">
        <v>4290</v>
      </c>
      <c r="C4216" s="261">
        <v>123</v>
      </c>
      <c r="D4216" s="244" t="s">
        <v>12</v>
      </c>
      <c r="E4216" s="263">
        <v>1</v>
      </c>
      <c r="F4216" s="294" t="s">
        <v>126</v>
      </c>
      <c r="G4216" s="294" t="s">
        <v>437</v>
      </c>
      <c r="H4216" s="298">
        <v>1</v>
      </c>
      <c r="M4216" s="274"/>
    </row>
    <row r="4217" spans="2:13" ht="15" customHeight="1" x14ac:dyDescent="0.25">
      <c r="B4217" s="289">
        <v>4291</v>
      </c>
      <c r="C4217" s="261">
        <v>127</v>
      </c>
      <c r="D4217" s="244" t="s">
        <v>12</v>
      </c>
      <c r="E4217" s="263">
        <v>16</v>
      </c>
      <c r="F4217" s="294" t="s">
        <v>126</v>
      </c>
      <c r="G4217" s="294" t="s">
        <v>645</v>
      </c>
      <c r="H4217" s="298">
        <v>1</v>
      </c>
      <c r="M4217" s="274"/>
    </row>
    <row r="4218" spans="2:13" ht="15" customHeight="1" x14ac:dyDescent="0.25">
      <c r="B4218" s="289">
        <v>4293</v>
      </c>
      <c r="C4218" s="261">
        <v>107</v>
      </c>
      <c r="D4218" s="244" t="s">
        <v>12</v>
      </c>
      <c r="E4218" s="263">
        <v>17</v>
      </c>
      <c r="F4218" s="294" t="s">
        <v>126</v>
      </c>
      <c r="G4218" s="294" t="s">
        <v>501</v>
      </c>
      <c r="H4218" s="298">
        <v>1</v>
      </c>
      <c r="M4218" s="274"/>
    </row>
    <row r="4219" spans="2:13" ht="15" customHeight="1" x14ac:dyDescent="0.25">
      <c r="B4219" s="289">
        <v>4293</v>
      </c>
      <c r="C4219" s="261">
        <v>123</v>
      </c>
      <c r="D4219" s="244" t="s">
        <v>12</v>
      </c>
      <c r="E4219" s="263">
        <v>39</v>
      </c>
      <c r="F4219" s="294" t="s">
        <v>126</v>
      </c>
      <c r="G4219" s="294" t="s">
        <v>646</v>
      </c>
      <c r="H4219" s="298">
        <v>1</v>
      </c>
      <c r="M4219" s="274"/>
    </row>
    <row r="4220" spans="2:13" ht="15" customHeight="1" x14ac:dyDescent="0.25">
      <c r="B4220" s="289">
        <v>4294</v>
      </c>
      <c r="C4220" s="261">
        <v>123</v>
      </c>
      <c r="D4220" s="244" t="s">
        <v>12</v>
      </c>
      <c r="E4220" s="263">
        <v>98</v>
      </c>
      <c r="F4220" s="294" t="s">
        <v>126</v>
      </c>
      <c r="G4220" s="294" t="s">
        <v>647</v>
      </c>
      <c r="H4220" s="298">
        <v>1</v>
      </c>
      <c r="M4220" s="274"/>
    </row>
    <row r="4221" spans="2:13" ht="15" customHeight="1" x14ac:dyDescent="0.25">
      <c r="B4221" s="289">
        <v>4295</v>
      </c>
      <c r="C4221" s="261">
        <v>123</v>
      </c>
      <c r="D4221" s="244" t="s">
        <v>12</v>
      </c>
      <c r="E4221" s="263">
        <v>3</v>
      </c>
      <c r="F4221" s="294" t="s">
        <v>126</v>
      </c>
      <c r="G4221" s="294" t="s">
        <v>648</v>
      </c>
      <c r="H4221" s="298">
        <v>1</v>
      </c>
      <c r="M4221" s="274"/>
    </row>
    <row r="4222" spans="2:13" ht="15" customHeight="1" x14ac:dyDescent="0.25">
      <c r="B4222" s="289">
        <v>4296</v>
      </c>
      <c r="C4222" s="261">
        <v>123</v>
      </c>
      <c r="D4222" s="244" t="s">
        <v>12</v>
      </c>
      <c r="E4222" s="263">
        <v>54</v>
      </c>
      <c r="F4222" s="294" t="s">
        <v>126</v>
      </c>
      <c r="G4222" s="294" t="s">
        <v>649</v>
      </c>
      <c r="H4222" s="298">
        <v>1</v>
      </c>
      <c r="M4222" s="274"/>
    </row>
    <row r="4223" spans="2:13" ht="15" customHeight="1" x14ac:dyDescent="0.25">
      <c r="B4223" s="289">
        <v>4297</v>
      </c>
      <c r="C4223" s="261">
        <v>123</v>
      </c>
      <c r="D4223" s="244" t="s">
        <v>12</v>
      </c>
      <c r="E4223" s="263">
        <v>56</v>
      </c>
      <c r="F4223" s="294" t="s">
        <v>126</v>
      </c>
      <c r="G4223" s="294" t="s">
        <v>650</v>
      </c>
      <c r="H4223" s="298">
        <v>1</v>
      </c>
      <c r="M4223" s="274"/>
    </row>
    <row r="4224" spans="2:13" ht="15" customHeight="1" x14ac:dyDescent="0.25">
      <c r="B4224" s="289">
        <v>4298</v>
      </c>
      <c r="C4224" s="261">
        <v>123</v>
      </c>
      <c r="D4224" s="244" t="s">
        <v>12</v>
      </c>
      <c r="E4224" s="263">
        <v>8</v>
      </c>
      <c r="F4224" s="294" t="s">
        <v>126</v>
      </c>
      <c r="G4224" s="294" t="s">
        <v>584</v>
      </c>
      <c r="H4224" s="298">
        <v>1</v>
      </c>
      <c r="M4224" s="274"/>
    </row>
    <row r="4225" spans="2:13" ht="15" customHeight="1" x14ac:dyDescent="0.25">
      <c r="B4225" s="289">
        <v>4299</v>
      </c>
      <c r="C4225" s="261">
        <v>123</v>
      </c>
      <c r="D4225" s="244" t="s">
        <v>12</v>
      </c>
      <c r="E4225" s="263">
        <v>61</v>
      </c>
      <c r="F4225" s="294" t="s">
        <v>126</v>
      </c>
      <c r="G4225" s="294" t="s">
        <v>651</v>
      </c>
      <c r="H4225" s="298">
        <v>1</v>
      </c>
      <c r="M4225" s="274"/>
    </row>
    <row r="4226" spans="2:13" ht="15" customHeight="1" x14ac:dyDescent="0.25">
      <c r="B4226" s="289">
        <v>4299</v>
      </c>
      <c r="C4226" s="261">
        <v>132</v>
      </c>
      <c r="D4226" s="244" t="s">
        <v>12</v>
      </c>
      <c r="E4226" s="263">
        <v>2</v>
      </c>
      <c r="F4226" s="294" t="s">
        <v>126</v>
      </c>
      <c r="G4226" s="294" t="s">
        <v>227</v>
      </c>
      <c r="H4226" s="298">
        <v>1</v>
      </c>
      <c r="M4226" s="274"/>
    </row>
    <row r="4227" spans="2:13" ht="15" customHeight="1" x14ac:dyDescent="0.25">
      <c r="B4227" s="289">
        <v>4300</v>
      </c>
      <c r="C4227" s="261">
        <v>123</v>
      </c>
      <c r="D4227" s="244" t="s">
        <v>12</v>
      </c>
      <c r="E4227" s="263">
        <v>61</v>
      </c>
      <c r="F4227" s="294" t="s">
        <v>126</v>
      </c>
      <c r="G4227" s="294" t="s">
        <v>652</v>
      </c>
      <c r="H4227" s="298">
        <v>1</v>
      </c>
      <c r="M4227" s="274"/>
    </row>
    <row r="4228" spans="2:13" ht="15" customHeight="1" x14ac:dyDescent="0.25">
      <c r="B4228" s="289">
        <v>4300</v>
      </c>
      <c r="C4228" s="261">
        <v>130</v>
      </c>
      <c r="D4228" s="244" t="s">
        <v>12</v>
      </c>
      <c r="E4228" s="263">
        <v>2</v>
      </c>
      <c r="F4228" s="294" t="s">
        <v>126</v>
      </c>
      <c r="G4228" s="294" t="s">
        <v>227</v>
      </c>
      <c r="H4228" s="298">
        <v>1</v>
      </c>
      <c r="M4228" s="274"/>
    </row>
    <row r="4229" spans="2:13" ht="15" customHeight="1" x14ac:dyDescent="0.25">
      <c r="B4229" s="289">
        <v>4301</v>
      </c>
      <c r="C4229" s="261">
        <v>121</v>
      </c>
      <c r="D4229" s="244" t="s">
        <v>12</v>
      </c>
      <c r="E4229" s="263">
        <v>3</v>
      </c>
      <c r="F4229" s="294" t="s">
        <v>126</v>
      </c>
      <c r="G4229" s="294" t="s">
        <v>253</v>
      </c>
      <c r="H4229" s="298">
        <v>1</v>
      </c>
      <c r="M4229" s="274"/>
    </row>
    <row r="4230" spans="2:13" ht="15" customHeight="1" x14ac:dyDescent="0.25">
      <c r="B4230" s="289">
        <v>4302</v>
      </c>
      <c r="C4230" s="261">
        <v>123</v>
      </c>
      <c r="D4230" s="244" t="s">
        <v>12</v>
      </c>
      <c r="E4230" s="263">
        <v>59</v>
      </c>
      <c r="F4230" s="294" t="s">
        <v>126</v>
      </c>
      <c r="G4230" s="294" t="s">
        <v>653</v>
      </c>
      <c r="H4230" s="298">
        <v>1</v>
      </c>
      <c r="M4230" s="274"/>
    </row>
    <row r="4231" spans="2:13" ht="15" customHeight="1" x14ac:dyDescent="0.25">
      <c r="B4231" s="289">
        <v>4303</v>
      </c>
      <c r="C4231" s="261">
        <v>123</v>
      </c>
      <c r="D4231" s="244" t="s">
        <v>12</v>
      </c>
      <c r="E4231" s="263">
        <v>59</v>
      </c>
      <c r="F4231" s="294" t="s">
        <v>126</v>
      </c>
      <c r="G4231" s="294" t="s">
        <v>654</v>
      </c>
      <c r="H4231" s="298">
        <v>1</v>
      </c>
      <c r="M4231" s="274"/>
    </row>
    <row r="4232" spans="2:13" ht="15" customHeight="1" x14ac:dyDescent="0.25">
      <c r="B4232" s="289">
        <v>4304</v>
      </c>
      <c r="C4232" s="261">
        <v>123</v>
      </c>
      <c r="D4232" s="244" t="s">
        <v>12</v>
      </c>
      <c r="E4232" s="263">
        <v>59</v>
      </c>
      <c r="F4232" s="294" t="s">
        <v>126</v>
      </c>
      <c r="G4232" s="294" t="s">
        <v>655</v>
      </c>
      <c r="H4232" s="298">
        <v>1</v>
      </c>
      <c r="M4232" s="274"/>
    </row>
    <row r="4233" spans="2:13" ht="15" customHeight="1" x14ac:dyDescent="0.25">
      <c r="B4233" s="289">
        <v>4305</v>
      </c>
      <c r="C4233" s="261">
        <v>123</v>
      </c>
      <c r="D4233" s="244" t="s">
        <v>12</v>
      </c>
      <c r="E4233" s="263">
        <v>80</v>
      </c>
      <c r="F4233" s="294" t="s">
        <v>126</v>
      </c>
      <c r="G4233" s="294" t="s">
        <v>656</v>
      </c>
      <c r="H4233" s="298">
        <v>1</v>
      </c>
      <c r="M4233" s="274"/>
    </row>
    <row r="4234" spans="2:13" ht="15" customHeight="1" x14ac:dyDescent="0.25">
      <c r="B4234" s="289">
        <v>4306</v>
      </c>
      <c r="C4234" s="261">
        <v>123</v>
      </c>
      <c r="D4234" s="244" t="s">
        <v>11</v>
      </c>
      <c r="E4234" s="263">
        <v>3</v>
      </c>
      <c r="F4234" s="294" t="s">
        <v>528</v>
      </c>
      <c r="G4234" s="294" t="s">
        <v>126</v>
      </c>
      <c r="H4234" s="298">
        <v>1</v>
      </c>
      <c r="M4234" s="274"/>
    </row>
    <row r="4235" spans="2:13" ht="15" customHeight="1" x14ac:dyDescent="0.25">
      <c r="B4235" s="289">
        <v>4307</v>
      </c>
      <c r="C4235" s="261">
        <v>123</v>
      </c>
      <c r="D4235" s="244" t="s">
        <v>12</v>
      </c>
      <c r="E4235" s="263">
        <v>1</v>
      </c>
      <c r="F4235" s="294" t="s">
        <v>126</v>
      </c>
      <c r="G4235" s="294" t="s">
        <v>235</v>
      </c>
      <c r="H4235" s="298">
        <v>1</v>
      </c>
      <c r="M4235" s="274"/>
    </row>
    <row r="4236" spans="2:13" ht="15" customHeight="1" x14ac:dyDescent="0.25">
      <c r="B4236" s="289">
        <v>4308</v>
      </c>
      <c r="C4236" s="261">
        <v>123</v>
      </c>
      <c r="D4236" s="244" t="s">
        <v>12</v>
      </c>
      <c r="E4236" s="263">
        <v>67</v>
      </c>
      <c r="F4236" s="294" t="s">
        <v>126</v>
      </c>
      <c r="G4236" s="294" t="s">
        <v>657</v>
      </c>
      <c r="H4236" s="298">
        <v>1</v>
      </c>
      <c r="M4236" s="274"/>
    </row>
    <row r="4237" spans="2:13" ht="15" customHeight="1" x14ac:dyDescent="0.25">
      <c r="B4237" s="289">
        <v>4311</v>
      </c>
      <c r="C4237" s="261">
        <v>123</v>
      </c>
      <c r="D4237" s="244" t="s">
        <v>12</v>
      </c>
      <c r="E4237" s="263">
        <v>54</v>
      </c>
      <c r="F4237" s="294" t="s">
        <v>126</v>
      </c>
      <c r="G4237" s="294" t="s">
        <v>658</v>
      </c>
      <c r="H4237" s="298">
        <v>1</v>
      </c>
      <c r="M4237" s="274"/>
    </row>
    <row r="4238" spans="2:13" ht="15" customHeight="1" x14ac:dyDescent="0.25">
      <c r="B4238" s="289">
        <v>4312</v>
      </c>
      <c r="C4238" s="261">
        <v>123</v>
      </c>
      <c r="D4238" s="244" t="s">
        <v>12</v>
      </c>
      <c r="E4238" s="263">
        <v>21</v>
      </c>
      <c r="F4238" s="294" t="s">
        <v>126</v>
      </c>
      <c r="G4238" s="294" t="s">
        <v>659</v>
      </c>
      <c r="H4238" s="298">
        <v>1</v>
      </c>
      <c r="M4238" s="274"/>
    </row>
    <row r="4239" spans="2:13" ht="15" customHeight="1" x14ac:dyDescent="0.25">
      <c r="B4239" s="289">
        <v>4312</v>
      </c>
      <c r="C4239" s="261">
        <v>128</v>
      </c>
      <c r="D4239" s="244" t="s">
        <v>12</v>
      </c>
      <c r="E4239" s="263">
        <v>4</v>
      </c>
      <c r="F4239" s="294" t="s">
        <v>126</v>
      </c>
      <c r="G4239" s="294" t="s">
        <v>660</v>
      </c>
      <c r="H4239" s="298">
        <v>1</v>
      </c>
      <c r="M4239" s="274"/>
    </row>
    <row r="4240" spans="2:13" ht="15" customHeight="1" x14ac:dyDescent="0.25">
      <c r="B4240" s="289">
        <v>4313</v>
      </c>
      <c r="C4240" s="261">
        <v>123</v>
      </c>
      <c r="D4240" s="244" t="s">
        <v>12</v>
      </c>
      <c r="E4240" s="263">
        <v>2</v>
      </c>
      <c r="F4240" s="294" t="s">
        <v>126</v>
      </c>
      <c r="G4240" s="294" t="s">
        <v>420</v>
      </c>
      <c r="H4240" s="298">
        <v>1</v>
      </c>
      <c r="M4240" s="274"/>
    </row>
    <row r="4241" spans="2:13" ht="15" customHeight="1" x14ac:dyDescent="0.25">
      <c r="B4241" s="289">
        <v>4314</v>
      </c>
      <c r="C4241" s="261">
        <v>123</v>
      </c>
      <c r="D4241" s="244" t="s">
        <v>12</v>
      </c>
      <c r="E4241" s="263">
        <v>1</v>
      </c>
      <c r="F4241" s="294" t="s">
        <v>126</v>
      </c>
      <c r="G4241" s="294" t="s">
        <v>139</v>
      </c>
      <c r="H4241" s="298">
        <v>1</v>
      </c>
      <c r="M4241" s="274"/>
    </row>
    <row r="4242" spans="2:13" ht="15" customHeight="1" x14ac:dyDescent="0.25">
      <c r="B4242" s="289">
        <v>4316</v>
      </c>
      <c r="C4242" s="261">
        <v>123</v>
      </c>
      <c r="D4242" s="244" t="s">
        <v>12</v>
      </c>
      <c r="E4242" s="263">
        <v>94</v>
      </c>
      <c r="F4242" s="294" t="s">
        <v>126</v>
      </c>
      <c r="G4242" s="294" t="s">
        <v>661</v>
      </c>
      <c r="H4242" s="298">
        <v>1</v>
      </c>
      <c r="M4242" s="274"/>
    </row>
    <row r="4243" spans="2:13" ht="15" customHeight="1" x14ac:dyDescent="0.25">
      <c r="B4243" s="289">
        <v>4319</v>
      </c>
      <c r="C4243" s="261">
        <v>109</v>
      </c>
      <c r="D4243" s="244" t="s">
        <v>12</v>
      </c>
      <c r="E4243" s="263">
        <v>3</v>
      </c>
      <c r="F4243" s="294" t="s">
        <v>126</v>
      </c>
      <c r="G4243" s="294" t="s">
        <v>528</v>
      </c>
      <c r="H4243" s="298">
        <v>1</v>
      </c>
      <c r="M4243" s="274"/>
    </row>
    <row r="4244" spans="2:13" ht="15" customHeight="1" x14ac:dyDescent="0.25">
      <c r="B4244" s="289">
        <v>4319</v>
      </c>
      <c r="C4244" s="261">
        <v>123</v>
      </c>
      <c r="D4244" s="244" t="s">
        <v>12</v>
      </c>
      <c r="E4244" s="263">
        <v>4</v>
      </c>
      <c r="F4244" s="294" t="s">
        <v>126</v>
      </c>
      <c r="G4244" s="294" t="s">
        <v>542</v>
      </c>
      <c r="H4244" s="298">
        <v>1</v>
      </c>
      <c r="M4244" s="274"/>
    </row>
    <row r="4245" spans="2:13" ht="15" customHeight="1" x14ac:dyDescent="0.25">
      <c r="B4245" s="289">
        <v>4320</v>
      </c>
      <c r="C4245" s="261">
        <v>123</v>
      </c>
      <c r="D4245" s="244" t="s">
        <v>12</v>
      </c>
      <c r="E4245" s="263">
        <v>73</v>
      </c>
      <c r="F4245" s="294" t="s">
        <v>126</v>
      </c>
      <c r="G4245" s="294" t="s">
        <v>662</v>
      </c>
      <c r="H4245" s="298">
        <v>1</v>
      </c>
      <c r="M4245" s="274"/>
    </row>
    <row r="4246" spans="2:13" ht="15" customHeight="1" x14ac:dyDescent="0.25">
      <c r="B4246" s="289">
        <v>4321</v>
      </c>
      <c r="C4246" s="261">
        <v>123</v>
      </c>
      <c r="D4246" s="244" t="s">
        <v>12</v>
      </c>
      <c r="E4246" s="263">
        <v>90</v>
      </c>
      <c r="F4246" s="294" t="s">
        <v>126</v>
      </c>
      <c r="G4246" s="294" t="s">
        <v>663</v>
      </c>
      <c r="H4246" s="298">
        <v>1</v>
      </c>
      <c r="M4246" s="274"/>
    </row>
    <row r="4247" spans="2:13" ht="15" customHeight="1" x14ac:dyDescent="0.25">
      <c r="B4247" s="289">
        <v>4322</v>
      </c>
      <c r="C4247" s="261">
        <v>123</v>
      </c>
      <c r="D4247" s="244" t="s">
        <v>12</v>
      </c>
      <c r="E4247" s="263">
        <v>1</v>
      </c>
      <c r="F4247" s="294" t="s">
        <v>126</v>
      </c>
      <c r="G4247" s="294" t="s">
        <v>235</v>
      </c>
      <c r="H4247" s="298">
        <v>1</v>
      </c>
      <c r="M4247" s="274"/>
    </row>
    <row r="4248" spans="2:13" ht="15" customHeight="1" x14ac:dyDescent="0.25">
      <c r="B4248" s="289">
        <v>4324</v>
      </c>
      <c r="C4248" s="261">
        <v>106</v>
      </c>
      <c r="D4248" s="244" t="s">
        <v>11</v>
      </c>
      <c r="E4248" s="263">
        <v>1</v>
      </c>
      <c r="F4248" s="294" t="s">
        <v>235</v>
      </c>
      <c r="G4248" s="294" t="s">
        <v>126</v>
      </c>
      <c r="H4248" s="298">
        <v>1</v>
      </c>
      <c r="M4248" s="274"/>
    </row>
    <row r="4249" spans="2:13" ht="15" customHeight="1" x14ac:dyDescent="0.25">
      <c r="B4249" s="289">
        <v>4324</v>
      </c>
      <c r="C4249" s="261">
        <v>112</v>
      </c>
      <c r="D4249" s="244" t="s">
        <v>11</v>
      </c>
      <c r="E4249" s="263">
        <v>32</v>
      </c>
      <c r="F4249" s="294" t="s">
        <v>664</v>
      </c>
      <c r="G4249" s="294" t="s">
        <v>126</v>
      </c>
      <c r="H4249" s="298">
        <v>1</v>
      </c>
      <c r="M4249" s="274"/>
    </row>
    <row r="4250" spans="2:13" ht="15" customHeight="1" x14ac:dyDescent="0.25">
      <c r="B4250" s="289">
        <v>4325</v>
      </c>
      <c r="C4250" s="261">
        <v>123</v>
      </c>
      <c r="D4250" s="244" t="s">
        <v>12</v>
      </c>
      <c r="E4250" s="263">
        <v>41</v>
      </c>
      <c r="F4250" s="294" t="s">
        <v>126</v>
      </c>
      <c r="G4250" s="294" t="s">
        <v>665</v>
      </c>
      <c r="H4250" s="298">
        <v>1</v>
      </c>
      <c r="M4250" s="274"/>
    </row>
    <row r="4251" spans="2:13" ht="15" customHeight="1" x14ac:dyDescent="0.25">
      <c r="B4251" s="289">
        <v>4326</v>
      </c>
      <c r="C4251" s="261">
        <v>120</v>
      </c>
      <c r="D4251" s="244" t="s">
        <v>11</v>
      </c>
      <c r="E4251" s="263">
        <v>3</v>
      </c>
      <c r="F4251" s="294" t="s">
        <v>463</v>
      </c>
      <c r="G4251" s="294" t="s">
        <v>126</v>
      </c>
      <c r="H4251" s="298">
        <v>1</v>
      </c>
      <c r="M4251" s="274"/>
    </row>
    <row r="4252" spans="2:13" ht="15" customHeight="1" x14ac:dyDescent="0.25">
      <c r="B4252" s="289">
        <v>4327</v>
      </c>
      <c r="C4252" s="261">
        <v>123</v>
      </c>
      <c r="D4252" s="244" t="s">
        <v>12</v>
      </c>
      <c r="E4252" s="263">
        <v>81</v>
      </c>
      <c r="F4252" s="294" t="s">
        <v>126</v>
      </c>
      <c r="G4252" s="294" t="s">
        <v>666</v>
      </c>
      <c r="H4252" s="298">
        <v>1</v>
      </c>
      <c r="M4252" s="274"/>
    </row>
    <row r="4253" spans="2:13" ht="15" customHeight="1" x14ac:dyDescent="0.25">
      <c r="B4253" s="289">
        <v>4328</v>
      </c>
      <c r="C4253" s="261">
        <v>123</v>
      </c>
      <c r="D4253" s="244" t="s">
        <v>12</v>
      </c>
      <c r="E4253" s="263">
        <v>93</v>
      </c>
      <c r="F4253" s="294" t="s">
        <v>126</v>
      </c>
      <c r="G4253" s="294" t="s">
        <v>667</v>
      </c>
      <c r="H4253" s="298">
        <v>1</v>
      </c>
      <c r="M4253" s="274"/>
    </row>
    <row r="4254" spans="2:13" ht="15" customHeight="1" x14ac:dyDescent="0.25">
      <c r="B4254" s="289">
        <v>4329</v>
      </c>
      <c r="C4254" s="261">
        <v>123</v>
      </c>
      <c r="D4254" s="244" t="s">
        <v>12</v>
      </c>
      <c r="E4254" s="263">
        <v>21</v>
      </c>
      <c r="F4254" s="294" t="s">
        <v>126</v>
      </c>
      <c r="G4254" s="294" t="s">
        <v>668</v>
      </c>
      <c r="H4254" s="298">
        <v>1</v>
      </c>
      <c r="M4254" s="274"/>
    </row>
    <row r="4255" spans="2:13" ht="15" customHeight="1" x14ac:dyDescent="0.25">
      <c r="B4255" s="289">
        <v>4330</v>
      </c>
      <c r="C4255" s="261">
        <v>123</v>
      </c>
      <c r="D4255" s="244" t="s">
        <v>12</v>
      </c>
      <c r="E4255" s="263">
        <v>48</v>
      </c>
      <c r="F4255" s="294" t="s">
        <v>126</v>
      </c>
      <c r="G4255" s="294" t="s">
        <v>669</v>
      </c>
      <c r="H4255" s="298">
        <v>1</v>
      </c>
      <c r="M4255" s="274"/>
    </row>
    <row r="4256" spans="2:13" ht="15" customHeight="1" x14ac:dyDescent="0.25">
      <c r="B4256" s="289">
        <v>4331</v>
      </c>
      <c r="C4256" s="261">
        <v>108</v>
      </c>
      <c r="D4256" s="244" t="s">
        <v>11</v>
      </c>
      <c r="E4256" s="263">
        <v>36</v>
      </c>
      <c r="F4256" s="294" t="s">
        <v>670</v>
      </c>
      <c r="G4256" s="294" t="s">
        <v>126</v>
      </c>
      <c r="H4256" s="298">
        <v>1</v>
      </c>
      <c r="M4256" s="274"/>
    </row>
    <row r="4257" spans="2:13" ht="15" customHeight="1" x14ac:dyDescent="0.25">
      <c r="B4257" s="289">
        <v>4332</v>
      </c>
      <c r="C4257" s="261">
        <v>123</v>
      </c>
      <c r="D4257" s="244" t="s">
        <v>12</v>
      </c>
      <c r="E4257" s="263">
        <v>1</v>
      </c>
      <c r="F4257" s="294" t="s">
        <v>126</v>
      </c>
      <c r="G4257" s="294" t="s">
        <v>426</v>
      </c>
      <c r="H4257" s="298">
        <v>1</v>
      </c>
      <c r="M4257" s="274"/>
    </row>
    <row r="4258" spans="2:13" ht="15" customHeight="1" x14ac:dyDescent="0.25">
      <c r="B4258" s="289">
        <v>4333</v>
      </c>
      <c r="C4258" s="261">
        <v>123</v>
      </c>
      <c r="D4258" s="244" t="s">
        <v>11</v>
      </c>
      <c r="E4258" s="263">
        <v>9</v>
      </c>
      <c r="F4258" s="294" t="s">
        <v>436</v>
      </c>
      <c r="G4258" s="294" t="s">
        <v>126</v>
      </c>
      <c r="H4258" s="298">
        <v>1</v>
      </c>
      <c r="M4258" s="274"/>
    </row>
    <row r="4259" spans="2:13" ht="15" customHeight="1" x14ac:dyDescent="0.25">
      <c r="B4259" s="289">
        <v>4335</v>
      </c>
      <c r="C4259" s="261">
        <v>123</v>
      </c>
      <c r="D4259" s="244" t="s">
        <v>12</v>
      </c>
      <c r="E4259" s="263">
        <v>1</v>
      </c>
      <c r="F4259" s="294" t="s">
        <v>126</v>
      </c>
      <c r="G4259" s="294" t="s">
        <v>139</v>
      </c>
      <c r="H4259" s="298">
        <v>1</v>
      </c>
      <c r="M4259" s="274"/>
    </row>
    <row r="4260" spans="2:13" ht="15" customHeight="1" x14ac:dyDescent="0.25">
      <c r="B4260" s="289">
        <v>4338</v>
      </c>
      <c r="C4260" s="261">
        <v>122</v>
      </c>
      <c r="D4260" s="244" t="s">
        <v>11</v>
      </c>
      <c r="E4260" s="263">
        <v>1</v>
      </c>
      <c r="F4260" s="294" t="s">
        <v>426</v>
      </c>
      <c r="G4260" s="294" t="s">
        <v>126</v>
      </c>
      <c r="H4260" s="298">
        <v>1</v>
      </c>
      <c r="M4260" s="274"/>
    </row>
    <row r="4261" spans="2:13" ht="15" customHeight="1" x14ac:dyDescent="0.25">
      <c r="B4261" s="289">
        <v>4339</v>
      </c>
      <c r="C4261" s="261">
        <v>108</v>
      </c>
      <c r="D4261" s="244" t="s">
        <v>12</v>
      </c>
      <c r="E4261" s="263">
        <v>27</v>
      </c>
      <c r="F4261" s="294" t="s">
        <v>126</v>
      </c>
      <c r="G4261" s="294" t="s">
        <v>671</v>
      </c>
      <c r="H4261" s="298">
        <v>1</v>
      </c>
      <c r="M4261" s="274"/>
    </row>
    <row r="4262" spans="2:13" ht="15" customHeight="1" x14ac:dyDescent="0.25">
      <c r="B4262" s="289">
        <v>4340</v>
      </c>
      <c r="C4262" s="261">
        <v>123</v>
      </c>
      <c r="D4262" s="244" t="s">
        <v>12</v>
      </c>
      <c r="E4262" s="263">
        <v>41</v>
      </c>
      <c r="F4262" s="294" t="s">
        <v>126</v>
      </c>
      <c r="G4262" s="294" t="s">
        <v>510</v>
      </c>
      <c r="H4262" s="298">
        <v>1</v>
      </c>
      <c r="M4262" s="274"/>
    </row>
    <row r="4263" spans="2:13" ht="15" customHeight="1" x14ac:dyDescent="0.25">
      <c r="B4263" s="289">
        <v>4341</v>
      </c>
      <c r="C4263" s="261">
        <v>123</v>
      </c>
      <c r="D4263" s="244" t="s">
        <v>12</v>
      </c>
      <c r="E4263" s="263">
        <v>57</v>
      </c>
      <c r="F4263" s="294" t="s">
        <v>126</v>
      </c>
      <c r="G4263" s="294" t="s">
        <v>672</v>
      </c>
      <c r="H4263" s="298">
        <v>1</v>
      </c>
      <c r="M4263" s="274"/>
    </row>
    <row r="4264" spans="2:13" ht="15" customHeight="1" x14ac:dyDescent="0.25">
      <c r="B4264" s="289">
        <v>4342</v>
      </c>
      <c r="C4264" s="261">
        <v>123</v>
      </c>
      <c r="D4264" s="244" t="s">
        <v>12</v>
      </c>
      <c r="E4264" s="263">
        <v>71</v>
      </c>
      <c r="F4264" s="294" t="s">
        <v>126</v>
      </c>
      <c r="G4264" s="294" t="s">
        <v>673</v>
      </c>
      <c r="H4264" s="298">
        <v>1</v>
      </c>
      <c r="M4264" s="274"/>
    </row>
    <row r="4265" spans="2:13" ht="15" customHeight="1" x14ac:dyDescent="0.25">
      <c r="B4265" s="289">
        <v>4343</v>
      </c>
      <c r="C4265" s="261">
        <v>123</v>
      </c>
      <c r="D4265" s="244" t="s">
        <v>12</v>
      </c>
      <c r="E4265" s="263">
        <v>85</v>
      </c>
      <c r="F4265" s="294" t="s">
        <v>126</v>
      </c>
      <c r="G4265" s="294" t="s">
        <v>674</v>
      </c>
      <c r="H4265" s="298">
        <v>1</v>
      </c>
      <c r="M4265" s="274"/>
    </row>
    <row r="4266" spans="2:13" ht="15" customHeight="1" x14ac:dyDescent="0.25">
      <c r="B4266" s="289">
        <v>4344</v>
      </c>
      <c r="C4266" s="261">
        <v>123</v>
      </c>
      <c r="D4266" s="244" t="s">
        <v>12</v>
      </c>
      <c r="E4266" s="263">
        <v>47</v>
      </c>
      <c r="F4266" s="294" t="s">
        <v>126</v>
      </c>
      <c r="G4266" s="294" t="s">
        <v>675</v>
      </c>
      <c r="H4266" s="298">
        <v>1</v>
      </c>
      <c r="M4266" s="274"/>
    </row>
    <row r="4267" spans="2:13" ht="15" customHeight="1" x14ac:dyDescent="0.25">
      <c r="B4267" s="289">
        <v>4345</v>
      </c>
      <c r="C4267" s="261">
        <v>123</v>
      </c>
      <c r="D4267" s="244" t="s">
        <v>12</v>
      </c>
      <c r="E4267" s="263">
        <v>86</v>
      </c>
      <c r="F4267" s="294" t="s">
        <v>126</v>
      </c>
      <c r="G4267" s="294" t="s">
        <v>676</v>
      </c>
      <c r="H4267" s="298">
        <v>1</v>
      </c>
      <c r="M4267" s="274"/>
    </row>
    <row r="4268" spans="2:13" ht="15" customHeight="1" x14ac:dyDescent="0.25">
      <c r="B4268" s="289">
        <v>4346</v>
      </c>
      <c r="C4268" s="261">
        <v>123</v>
      </c>
      <c r="D4268" s="244" t="s">
        <v>12</v>
      </c>
      <c r="E4268" s="263">
        <v>47</v>
      </c>
      <c r="F4268" s="294" t="s">
        <v>126</v>
      </c>
      <c r="G4268" s="294" t="s">
        <v>543</v>
      </c>
      <c r="H4268" s="298">
        <v>1</v>
      </c>
      <c r="M4268" s="274"/>
    </row>
    <row r="4269" spans="2:13" ht="15" customHeight="1" x14ac:dyDescent="0.25">
      <c r="B4269" s="289">
        <v>4348</v>
      </c>
      <c r="C4269" s="261">
        <v>123</v>
      </c>
      <c r="D4269" s="244" t="s">
        <v>12</v>
      </c>
      <c r="E4269" s="263">
        <v>101</v>
      </c>
      <c r="F4269" s="294" t="s">
        <v>126</v>
      </c>
      <c r="G4269" s="294" t="s">
        <v>677</v>
      </c>
      <c r="H4269" s="298">
        <v>1</v>
      </c>
      <c r="M4269" s="274"/>
    </row>
    <row r="4270" spans="2:13" ht="15" customHeight="1" x14ac:dyDescent="0.25">
      <c r="B4270" s="289">
        <v>4349</v>
      </c>
      <c r="C4270" s="261">
        <v>123</v>
      </c>
      <c r="D4270" s="244" t="s">
        <v>12</v>
      </c>
      <c r="E4270" s="263">
        <v>64</v>
      </c>
      <c r="F4270" s="294" t="s">
        <v>126</v>
      </c>
      <c r="G4270" s="294" t="s">
        <v>678</v>
      </c>
      <c r="H4270" s="298">
        <v>1</v>
      </c>
      <c r="M4270" s="274"/>
    </row>
    <row r="4271" spans="2:13" ht="15" customHeight="1" x14ac:dyDescent="0.25">
      <c r="B4271" s="289">
        <v>4350</v>
      </c>
      <c r="C4271" s="261">
        <v>123</v>
      </c>
      <c r="D4271" s="244" t="s">
        <v>12</v>
      </c>
      <c r="E4271" s="263">
        <v>60</v>
      </c>
      <c r="F4271" s="294" t="s">
        <v>126</v>
      </c>
      <c r="G4271" s="294" t="s">
        <v>679</v>
      </c>
      <c r="H4271" s="298">
        <v>1</v>
      </c>
      <c r="M4271" s="274"/>
    </row>
    <row r="4272" spans="2:13" ht="15" customHeight="1" x14ac:dyDescent="0.25">
      <c r="B4272" s="289">
        <v>4351</v>
      </c>
      <c r="C4272" s="261">
        <v>123</v>
      </c>
      <c r="D4272" s="244" t="s">
        <v>12</v>
      </c>
      <c r="E4272" s="263">
        <v>1</v>
      </c>
      <c r="F4272" s="294" t="s">
        <v>126</v>
      </c>
      <c r="G4272" s="294" t="s">
        <v>139</v>
      </c>
      <c r="H4272" s="298">
        <v>1</v>
      </c>
      <c r="M4272" s="274"/>
    </row>
    <row r="4273" spans="2:13" ht="15" customHeight="1" x14ac:dyDescent="0.25">
      <c r="B4273" s="289">
        <v>4352</v>
      </c>
      <c r="C4273" s="261">
        <v>123</v>
      </c>
      <c r="D4273" s="244" t="s">
        <v>12</v>
      </c>
      <c r="E4273" s="263">
        <v>49</v>
      </c>
      <c r="F4273" s="294" t="s">
        <v>126</v>
      </c>
      <c r="G4273" s="294" t="s">
        <v>680</v>
      </c>
      <c r="H4273" s="298">
        <v>1</v>
      </c>
      <c r="M4273" s="274"/>
    </row>
    <row r="4274" spans="2:13" ht="15" customHeight="1" x14ac:dyDescent="0.25">
      <c r="B4274" s="289">
        <v>4353</v>
      </c>
      <c r="C4274" s="261">
        <v>123</v>
      </c>
      <c r="D4274" s="244" t="s">
        <v>12</v>
      </c>
      <c r="E4274" s="263">
        <v>14</v>
      </c>
      <c r="F4274" s="294" t="s">
        <v>126</v>
      </c>
      <c r="G4274" s="294" t="s">
        <v>681</v>
      </c>
      <c r="H4274" s="298">
        <v>1</v>
      </c>
      <c r="M4274" s="274"/>
    </row>
    <row r="4275" spans="2:13" ht="15" customHeight="1" x14ac:dyDescent="0.25">
      <c r="B4275" s="289">
        <v>4356</v>
      </c>
      <c r="C4275" s="261">
        <v>123</v>
      </c>
      <c r="D4275" s="244" t="s">
        <v>11</v>
      </c>
      <c r="E4275" s="263">
        <v>11</v>
      </c>
      <c r="F4275" s="294" t="s">
        <v>460</v>
      </c>
      <c r="G4275" s="294" t="s">
        <v>126</v>
      </c>
      <c r="H4275" s="298">
        <v>1</v>
      </c>
      <c r="M4275" s="274"/>
    </row>
    <row r="4276" spans="2:13" ht="15" customHeight="1" x14ac:dyDescent="0.25">
      <c r="B4276" s="289">
        <v>4357</v>
      </c>
      <c r="C4276" s="261">
        <v>123</v>
      </c>
      <c r="D4276" s="244" t="s">
        <v>12</v>
      </c>
      <c r="E4276" s="263">
        <v>4</v>
      </c>
      <c r="F4276" s="294" t="s">
        <v>126</v>
      </c>
      <c r="G4276" s="294" t="s">
        <v>682</v>
      </c>
      <c r="H4276" s="298">
        <v>1</v>
      </c>
      <c r="M4276" s="274"/>
    </row>
    <row r="4277" spans="2:13" ht="15" customHeight="1" x14ac:dyDescent="0.25">
      <c r="B4277" s="289">
        <v>4358</v>
      </c>
      <c r="C4277" s="261">
        <v>123</v>
      </c>
      <c r="D4277" s="244" t="s">
        <v>12</v>
      </c>
      <c r="E4277" s="263">
        <v>25</v>
      </c>
      <c r="F4277" s="294" t="s">
        <v>126</v>
      </c>
      <c r="G4277" s="294" t="s">
        <v>683</v>
      </c>
      <c r="H4277" s="298">
        <v>1</v>
      </c>
      <c r="M4277" s="274"/>
    </row>
    <row r="4278" spans="2:13" ht="15" customHeight="1" x14ac:dyDescent="0.25">
      <c r="B4278" s="289">
        <v>4359</v>
      </c>
      <c r="C4278" s="261">
        <v>113</v>
      </c>
      <c r="D4278" s="244" t="s">
        <v>12</v>
      </c>
      <c r="E4278" s="263">
        <v>3</v>
      </c>
      <c r="F4278" s="294" t="s">
        <v>126</v>
      </c>
      <c r="G4278" s="294" t="s">
        <v>684</v>
      </c>
      <c r="H4278" s="298">
        <v>1</v>
      </c>
      <c r="M4278" s="274"/>
    </row>
    <row r="4279" spans="2:13" ht="15" customHeight="1" x14ac:dyDescent="0.25">
      <c r="B4279" s="289">
        <v>4359</v>
      </c>
      <c r="C4279" s="261">
        <v>123</v>
      </c>
      <c r="D4279" s="244" t="s">
        <v>12</v>
      </c>
      <c r="E4279" s="263">
        <v>69</v>
      </c>
      <c r="F4279" s="294" t="s">
        <v>126</v>
      </c>
      <c r="G4279" s="294" t="s">
        <v>685</v>
      </c>
      <c r="H4279" s="298">
        <v>1</v>
      </c>
      <c r="M4279" s="274"/>
    </row>
    <row r="4280" spans="2:13" ht="15" customHeight="1" x14ac:dyDescent="0.25">
      <c r="B4280" s="289">
        <v>4360</v>
      </c>
      <c r="C4280" s="261">
        <v>123</v>
      </c>
      <c r="D4280" s="244" t="s">
        <v>12</v>
      </c>
      <c r="E4280" s="263">
        <v>54</v>
      </c>
      <c r="F4280" s="294" t="s">
        <v>126</v>
      </c>
      <c r="G4280" s="294" t="s">
        <v>686</v>
      </c>
      <c r="H4280" s="298">
        <v>1</v>
      </c>
      <c r="M4280" s="274"/>
    </row>
    <row r="4281" spans="2:13" ht="15" customHeight="1" x14ac:dyDescent="0.25">
      <c r="B4281" s="289">
        <v>4365</v>
      </c>
      <c r="C4281" s="261">
        <v>123</v>
      </c>
      <c r="D4281" s="244" t="s">
        <v>12</v>
      </c>
      <c r="E4281" s="263">
        <v>1</v>
      </c>
      <c r="F4281" s="294" t="s">
        <v>126</v>
      </c>
      <c r="G4281" s="294" t="s">
        <v>139</v>
      </c>
      <c r="H4281" s="298">
        <v>1</v>
      </c>
      <c r="M4281" s="274"/>
    </row>
    <row r="4282" spans="2:13" ht="15" customHeight="1" x14ac:dyDescent="0.25">
      <c r="B4282" s="289">
        <v>4366</v>
      </c>
      <c r="C4282" s="261">
        <v>123</v>
      </c>
      <c r="D4282" s="244" t="s">
        <v>12</v>
      </c>
      <c r="E4282" s="263">
        <v>42</v>
      </c>
      <c r="F4282" s="294" t="s">
        <v>126</v>
      </c>
      <c r="G4282" s="294" t="s">
        <v>687</v>
      </c>
      <c r="H4282" s="298">
        <v>1</v>
      </c>
      <c r="M4282" s="274"/>
    </row>
    <row r="4283" spans="2:13" ht="15" customHeight="1" x14ac:dyDescent="0.25">
      <c r="B4283" s="289">
        <v>4367</v>
      </c>
      <c r="C4283" s="261">
        <v>113</v>
      </c>
      <c r="D4283" s="244" t="s">
        <v>11</v>
      </c>
      <c r="E4283" s="263">
        <v>30</v>
      </c>
      <c r="F4283" s="294" t="s">
        <v>494</v>
      </c>
      <c r="G4283" s="294" t="s">
        <v>126</v>
      </c>
      <c r="H4283" s="298">
        <v>1</v>
      </c>
      <c r="M4283" s="274"/>
    </row>
    <row r="4284" spans="2:13" ht="15" customHeight="1" x14ac:dyDescent="0.25">
      <c r="B4284" s="289">
        <v>4368</v>
      </c>
      <c r="C4284" s="261">
        <v>123</v>
      </c>
      <c r="D4284" s="244" t="s">
        <v>12</v>
      </c>
      <c r="E4284" s="263">
        <v>1</v>
      </c>
      <c r="F4284" s="294" t="s">
        <v>126</v>
      </c>
      <c r="G4284" s="294" t="s">
        <v>139</v>
      </c>
      <c r="H4284" s="298">
        <v>1</v>
      </c>
      <c r="M4284" s="274"/>
    </row>
    <row r="4285" spans="2:13" ht="15" customHeight="1" x14ac:dyDescent="0.25">
      <c r="B4285" s="289">
        <v>4369</v>
      </c>
      <c r="C4285" s="261">
        <v>123</v>
      </c>
      <c r="D4285" s="244" t="s">
        <v>12</v>
      </c>
      <c r="E4285" s="263">
        <v>53</v>
      </c>
      <c r="F4285" s="294" t="s">
        <v>126</v>
      </c>
      <c r="G4285" s="294" t="s">
        <v>688</v>
      </c>
      <c r="H4285" s="298">
        <v>1</v>
      </c>
      <c r="M4285" s="274"/>
    </row>
    <row r="4286" spans="2:13" ht="15" customHeight="1" x14ac:dyDescent="0.25">
      <c r="B4286" s="289">
        <v>4370</v>
      </c>
      <c r="C4286" s="261">
        <v>123</v>
      </c>
      <c r="D4286" s="244" t="s">
        <v>12</v>
      </c>
      <c r="E4286" s="263">
        <v>44</v>
      </c>
      <c r="F4286" s="294" t="s">
        <v>126</v>
      </c>
      <c r="G4286" s="294" t="s">
        <v>689</v>
      </c>
      <c r="H4286" s="298">
        <v>1</v>
      </c>
      <c r="M4286" s="274"/>
    </row>
    <row r="4287" spans="2:13" ht="15" customHeight="1" x14ac:dyDescent="0.25">
      <c r="B4287" s="289">
        <v>4371</v>
      </c>
      <c r="C4287" s="261">
        <v>123</v>
      </c>
      <c r="D4287" s="244" t="s">
        <v>12</v>
      </c>
      <c r="E4287" s="263">
        <v>75</v>
      </c>
      <c r="F4287" s="294" t="s">
        <v>126</v>
      </c>
      <c r="G4287" s="294" t="s">
        <v>690</v>
      </c>
      <c r="H4287" s="298">
        <v>1</v>
      </c>
      <c r="M4287" s="274"/>
    </row>
    <row r="4288" spans="2:13" ht="15" customHeight="1" x14ac:dyDescent="0.25">
      <c r="B4288" s="289">
        <v>4372</v>
      </c>
      <c r="C4288" s="261">
        <v>123</v>
      </c>
      <c r="D4288" s="244" t="s">
        <v>12</v>
      </c>
      <c r="E4288" s="263">
        <v>2</v>
      </c>
      <c r="F4288" s="294" t="s">
        <v>126</v>
      </c>
      <c r="G4288" s="294" t="s">
        <v>441</v>
      </c>
      <c r="H4288" s="298">
        <v>1</v>
      </c>
      <c r="M4288" s="274"/>
    </row>
    <row r="4289" spans="2:13" ht="15" customHeight="1" x14ac:dyDescent="0.25">
      <c r="B4289" s="289">
        <v>4373</v>
      </c>
      <c r="C4289" s="261">
        <v>123</v>
      </c>
      <c r="D4289" s="244" t="s">
        <v>12</v>
      </c>
      <c r="E4289" s="263">
        <v>72</v>
      </c>
      <c r="F4289" s="294" t="s">
        <v>126</v>
      </c>
      <c r="G4289" s="294" t="s">
        <v>691</v>
      </c>
      <c r="H4289" s="298">
        <v>1</v>
      </c>
      <c r="M4289" s="274"/>
    </row>
    <row r="4290" spans="2:13" ht="15" customHeight="1" x14ac:dyDescent="0.25">
      <c r="B4290" s="289">
        <v>4374</v>
      </c>
      <c r="C4290" s="261">
        <v>121</v>
      </c>
      <c r="D4290" s="244" t="s">
        <v>11</v>
      </c>
      <c r="E4290" s="263">
        <v>2</v>
      </c>
      <c r="F4290" s="294" t="s">
        <v>441</v>
      </c>
      <c r="G4290" s="294" t="s">
        <v>126</v>
      </c>
      <c r="H4290" s="298">
        <v>1</v>
      </c>
      <c r="M4290" s="274"/>
    </row>
    <row r="4291" spans="2:13" ht="15" customHeight="1" x14ac:dyDescent="0.25">
      <c r="B4291" s="289">
        <v>4375</v>
      </c>
      <c r="C4291" s="261">
        <v>123</v>
      </c>
      <c r="D4291" s="244" t="s">
        <v>12</v>
      </c>
      <c r="E4291" s="263">
        <v>85</v>
      </c>
      <c r="F4291" s="294" t="s">
        <v>126</v>
      </c>
      <c r="G4291" s="294" t="s">
        <v>692</v>
      </c>
      <c r="H4291" s="298">
        <v>1</v>
      </c>
      <c r="M4291" s="274"/>
    </row>
    <row r="4292" spans="2:13" ht="15" customHeight="1" x14ac:dyDescent="0.25">
      <c r="B4292" s="289">
        <v>4376</v>
      </c>
      <c r="C4292" s="261">
        <v>123</v>
      </c>
      <c r="D4292" s="244" t="s">
        <v>12</v>
      </c>
      <c r="E4292" s="263">
        <v>1</v>
      </c>
      <c r="F4292" s="294" t="s">
        <v>126</v>
      </c>
      <c r="G4292" s="294" t="s">
        <v>426</v>
      </c>
      <c r="H4292" s="298">
        <v>1</v>
      </c>
      <c r="M4292" s="274"/>
    </row>
    <row r="4293" spans="2:13" ht="15" customHeight="1" x14ac:dyDescent="0.25">
      <c r="B4293" s="289">
        <v>4377</v>
      </c>
      <c r="C4293" s="261">
        <v>123</v>
      </c>
      <c r="D4293" s="244" t="s">
        <v>12</v>
      </c>
      <c r="E4293" s="263">
        <v>63</v>
      </c>
      <c r="F4293" s="294" t="s">
        <v>126</v>
      </c>
      <c r="G4293" s="294" t="s">
        <v>693</v>
      </c>
      <c r="H4293" s="298">
        <v>1</v>
      </c>
      <c r="M4293" s="274"/>
    </row>
    <row r="4294" spans="2:13" ht="15" customHeight="1" x14ac:dyDescent="0.25">
      <c r="B4294" s="289">
        <v>4378</v>
      </c>
      <c r="C4294" s="261">
        <v>123</v>
      </c>
      <c r="D4294" s="244" t="s">
        <v>12</v>
      </c>
      <c r="E4294" s="263">
        <v>78</v>
      </c>
      <c r="F4294" s="294" t="s">
        <v>126</v>
      </c>
      <c r="G4294" s="294" t="s">
        <v>694</v>
      </c>
      <c r="H4294" s="298">
        <v>1</v>
      </c>
      <c r="M4294" s="274"/>
    </row>
    <row r="4295" spans="2:13" ht="15" customHeight="1" x14ac:dyDescent="0.25">
      <c r="B4295" s="289">
        <v>4379</v>
      </c>
      <c r="C4295" s="261">
        <v>123</v>
      </c>
      <c r="D4295" s="244" t="s">
        <v>12</v>
      </c>
      <c r="E4295" s="263">
        <v>42</v>
      </c>
      <c r="F4295" s="294" t="s">
        <v>126</v>
      </c>
      <c r="G4295" s="294" t="s">
        <v>695</v>
      </c>
      <c r="H4295" s="298">
        <v>1</v>
      </c>
      <c r="M4295" s="274"/>
    </row>
    <row r="4296" spans="2:13" ht="15" customHeight="1" x14ac:dyDescent="0.25">
      <c r="B4296" s="289">
        <v>4380</v>
      </c>
      <c r="C4296" s="261">
        <v>123</v>
      </c>
      <c r="D4296" s="244" t="s">
        <v>12</v>
      </c>
      <c r="E4296" s="263">
        <v>59</v>
      </c>
      <c r="F4296" s="294" t="s">
        <v>126</v>
      </c>
      <c r="G4296" s="294" t="s">
        <v>696</v>
      </c>
      <c r="H4296" s="298">
        <v>1</v>
      </c>
      <c r="M4296" s="274"/>
    </row>
    <row r="4297" spans="2:13" ht="15" customHeight="1" x14ac:dyDescent="0.25">
      <c r="B4297" s="289">
        <v>4381</v>
      </c>
      <c r="C4297" s="261">
        <v>123</v>
      </c>
      <c r="D4297" s="244" t="s">
        <v>12</v>
      </c>
      <c r="E4297" s="263">
        <v>58</v>
      </c>
      <c r="F4297" s="294" t="s">
        <v>126</v>
      </c>
      <c r="G4297" s="294" t="s">
        <v>697</v>
      </c>
      <c r="H4297" s="298">
        <v>1</v>
      </c>
      <c r="M4297" s="274"/>
    </row>
    <row r="4298" spans="2:13" ht="15" customHeight="1" x14ac:dyDescent="0.25">
      <c r="B4298" s="289">
        <v>4382</v>
      </c>
      <c r="C4298" s="261">
        <v>123</v>
      </c>
      <c r="D4298" s="244" t="s">
        <v>12</v>
      </c>
      <c r="E4298" s="263">
        <v>92</v>
      </c>
      <c r="F4298" s="294" t="s">
        <v>126</v>
      </c>
      <c r="G4298" s="294" t="s">
        <v>698</v>
      </c>
      <c r="H4298" s="298">
        <v>1</v>
      </c>
      <c r="M4298" s="274"/>
    </row>
    <row r="4299" spans="2:13" ht="15" customHeight="1" x14ac:dyDescent="0.25">
      <c r="B4299" s="289">
        <v>4383</v>
      </c>
      <c r="C4299" s="261">
        <v>123</v>
      </c>
      <c r="D4299" s="244" t="s">
        <v>12</v>
      </c>
      <c r="E4299" s="263">
        <v>64</v>
      </c>
      <c r="F4299" s="294" t="s">
        <v>126</v>
      </c>
      <c r="G4299" s="294" t="s">
        <v>699</v>
      </c>
      <c r="H4299" s="298">
        <v>1</v>
      </c>
      <c r="M4299" s="274"/>
    </row>
    <row r="4300" spans="2:13" ht="15" customHeight="1" x14ac:dyDescent="0.25">
      <c r="B4300" s="289">
        <v>4386</v>
      </c>
      <c r="C4300" s="261">
        <v>123</v>
      </c>
      <c r="D4300" s="244" t="s">
        <v>12</v>
      </c>
      <c r="E4300" s="263">
        <v>1</v>
      </c>
      <c r="F4300" s="294" t="s">
        <v>126</v>
      </c>
      <c r="G4300" s="294" t="s">
        <v>139</v>
      </c>
      <c r="H4300" s="298">
        <v>1</v>
      </c>
      <c r="M4300" s="274"/>
    </row>
    <row r="4301" spans="2:13" ht="15" customHeight="1" x14ac:dyDescent="0.25">
      <c r="B4301" s="289">
        <v>4387</v>
      </c>
      <c r="C4301" s="261">
        <v>123</v>
      </c>
      <c r="D4301" s="244" t="s">
        <v>12</v>
      </c>
      <c r="E4301" s="263">
        <v>21</v>
      </c>
      <c r="F4301" s="294" t="s">
        <v>126</v>
      </c>
      <c r="G4301" s="294" t="s">
        <v>700</v>
      </c>
      <c r="H4301" s="298">
        <v>1</v>
      </c>
      <c r="M4301" s="274"/>
    </row>
    <row r="4302" spans="2:13" ht="15" customHeight="1" x14ac:dyDescent="0.25">
      <c r="B4302" s="289">
        <v>4389</v>
      </c>
      <c r="C4302" s="261">
        <v>123</v>
      </c>
      <c r="D4302" s="244" t="s">
        <v>12</v>
      </c>
      <c r="E4302" s="263">
        <v>1</v>
      </c>
      <c r="F4302" s="294" t="s">
        <v>126</v>
      </c>
      <c r="G4302" s="294" t="s">
        <v>139</v>
      </c>
      <c r="H4302" s="298">
        <v>1</v>
      </c>
      <c r="M4302" s="274"/>
    </row>
    <row r="4303" spans="2:13" ht="15" customHeight="1" x14ac:dyDescent="0.25">
      <c r="B4303" s="289">
        <v>4390</v>
      </c>
      <c r="C4303" s="261">
        <v>122</v>
      </c>
      <c r="D4303" s="244" t="s">
        <v>11</v>
      </c>
      <c r="E4303" s="263">
        <v>1</v>
      </c>
      <c r="F4303" s="294" t="s">
        <v>426</v>
      </c>
      <c r="G4303" s="294" t="s">
        <v>126</v>
      </c>
      <c r="H4303" s="298">
        <v>1</v>
      </c>
      <c r="M4303" s="274"/>
    </row>
    <row r="4304" spans="2:13" ht="15" customHeight="1" x14ac:dyDescent="0.25">
      <c r="B4304" s="289">
        <v>4393</v>
      </c>
      <c r="C4304" s="261">
        <v>123</v>
      </c>
      <c r="D4304" s="244" t="s">
        <v>12</v>
      </c>
      <c r="E4304" s="263">
        <v>2</v>
      </c>
      <c r="F4304" s="294" t="s">
        <v>126</v>
      </c>
      <c r="G4304" s="294" t="s">
        <v>441</v>
      </c>
      <c r="H4304" s="298">
        <v>1</v>
      </c>
      <c r="M4304" s="274"/>
    </row>
    <row r="4305" spans="2:13" ht="15" customHeight="1" x14ac:dyDescent="0.25">
      <c r="B4305" s="289">
        <v>4394</v>
      </c>
      <c r="C4305" s="261">
        <v>123</v>
      </c>
      <c r="D4305" s="244" t="s">
        <v>12</v>
      </c>
      <c r="E4305" s="263">
        <v>1</v>
      </c>
      <c r="F4305" s="294" t="s">
        <v>126</v>
      </c>
      <c r="G4305" s="294" t="s">
        <v>139</v>
      </c>
      <c r="H4305" s="298">
        <v>1</v>
      </c>
      <c r="M4305" s="274"/>
    </row>
    <row r="4306" spans="2:13" ht="15" customHeight="1" x14ac:dyDescent="0.25">
      <c r="B4306" s="289">
        <v>4395</v>
      </c>
      <c r="C4306" s="261">
        <v>105</v>
      </c>
      <c r="D4306" s="244" t="s">
        <v>12</v>
      </c>
      <c r="E4306" s="263">
        <v>48</v>
      </c>
      <c r="F4306" s="294" t="s">
        <v>126</v>
      </c>
      <c r="G4306" s="294" t="s">
        <v>701</v>
      </c>
      <c r="H4306" s="298">
        <v>1</v>
      </c>
      <c r="M4306" s="274"/>
    </row>
    <row r="4307" spans="2:13" ht="15" customHeight="1" x14ac:dyDescent="0.25">
      <c r="B4307" s="289">
        <v>4396</v>
      </c>
      <c r="C4307" s="261">
        <v>123</v>
      </c>
      <c r="D4307" s="244" t="s">
        <v>12</v>
      </c>
      <c r="E4307" s="263">
        <v>63</v>
      </c>
      <c r="F4307" s="294" t="s">
        <v>126</v>
      </c>
      <c r="G4307" s="294" t="s">
        <v>702</v>
      </c>
      <c r="H4307" s="298">
        <v>1</v>
      </c>
      <c r="M4307" s="274"/>
    </row>
    <row r="4308" spans="2:13" ht="15" customHeight="1" x14ac:dyDescent="0.25">
      <c r="B4308" s="289">
        <v>4396</v>
      </c>
      <c r="C4308" s="261">
        <v>129</v>
      </c>
      <c r="D4308" s="244" t="s">
        <v>12</v>
      </c>
      <c r="E4308" s="263">
        <v>3</v>
      </c>
      <c r="F4308" s="294" t="s">
        <v>126</v>
      </c>
      <c r="G4308" s="294" t="s">
        <v>499</v>
      </c>
      <c r="H4308" s="298">
        <v>1</v>
      </c>
      <c r="M4308" s="274"/>
    </row>
    <row r="4309" spans="2:13" ht="15" customHeight="1" x14ac:dyDescent="0.25">
      <c r="B4309" s="289">
        <v>4398</v>
      </c>
      <c r="C4309" s="261">
        <v>123</v>
      </c>
      <c r="D4309" s="244" t="s">
        <v>12</v>
      </c>
      <c r="E4309" s="263">
        <v>13</v>
      </c>
      <c r="F4309" s="294" t="s">
        <v>126</v>
      </c>
      <c r="G4309" s="294" t="s">
        <v>703</v>
      </c>
      <c r="H4309" s="298">
        <v>1</v>
      </c>
      <c r="M4309" s="274"/>
    </row>
    <row r="4310" spans="2:13" ht="15" customHeight="1" x14ac:dyDescent="0.25">
      <c r="B4310" s="289">
        <v>4399</v>
      </c>
      <c r="C4310" s="261">
        <v>123</v>
      </c>
      <c r="D4310" s="244" t="s">
        <v>12</v>
      </c>
      <c r="E4310" s="263">
        <v>1</v>
      </c>
      <c r="F4310" s="294" t="s">
        <v>126</v>
      </c>
      <c r="G4310" s="294" t="s">
        <v>426</v>
      </c>
      <c r="H4310" s="298">
        <v>1</v>
      </c>
      <c r="M4310" s="274"/>
    </row>
    <row r="4311" spans="2:13" ht="15" customHeight="1" x14ac:dyDescent="0.25">
      <c r="B4311" s="289">
        <v>4400</v>
      </c>
      <c r="C4311" s="261">
        <v>123</v>
      </c>
      <c r="D4311" s="244" t="s">
        <v>12</v>
      </c>
      <c r="E4311" s="263">
        <v>94</v>
      </c>
      <c r="F4311" s="294" t="s">
        <v>126</v>
      </c>
      <c r="G4311" s="294" t="s">
        <v>704</v>
      </c>
      <c r="H4311" s="298">
        <v>1</v>
      </c>
      <c r="M4311" s="274"/>
    </row>
    <row r="4312" spans="2:13" ht="15" customHeight="1" x14ac:dyDescent="0.25">
      <c r="B4312" s="289">
        <v>4401</v>
      </c>
      <c r="C4312" s="261">
        <v>123</v>
      </c>
      <c r="D4312" s="244" t="s">
        <v>12</v>
      </c>
      <c r="E4312" s="263">
        <v>56</v>
      </c>
      <c r="F4312" s="294" t="s">
        <v>126</v>
      </c>
      <c r="G4312" s="294" t="s">
        <v>705</v>
      </c>
      <c r="H4312" s="298">
        <v>1</v>
      </c>
      <c r="M4312" s="274"/>
    </row>
    <row r="4313" spans="2:13" ht="15" customHeight="1" x14ac:dyDescent="0.25">
      <c r="B4313" s="289">
        <v>4401</v>
      </c>
      <c r="C4313" s="261">
        <v>135</v>
      </c>
      <c r="D4313" s="244" t="s">
        <v>12</v>
      </c>
      <c r="E4313" s="263">
        <v>1</v>
      </c>
      <c r="F4313" s="294" t="s">
        <v>126</v>
      </c>
      <c r="G4313" s="294" t="s">
        <v>235</v>
      </c>
      <c r="H4313" s="298">
        <v>1</v>
      </c>
      <c r="M4313" s="274"/>
    </row>
    <row r="4314" spans="2:13" ht="15" customHeight="1" x14ac:dyDescent="0.25">
      <c r="B4314" s="289">
        <v>4403</v>
      </c>
      <c r="C4314" s="261">
        <v>116</v>
      </c>
      <c r="D4314" s="244" t="s">
        <v>11</v>
      </c>
      <c r="E4314" s="263">
        <v>1</v>
      </c>
      <c r="F4314" s="294" t="s">
        <v>437</v>
      </c>
      <c r="G4314" s="294" t="s">
        <v>126</v>
      </c>
      <c r="H4314" s="298">
        <v>1</v>
      </c>
      <c r="M4314" s="274"/>
    </row>
    <row r="4315" spans="2:13" ht="15" customHeight="1" x14ac:dyDescent="0.25">
      <c r="B4315" s="289">
        <v>4404</v>
      </c>
      <c r="C4315" s="261">
        <v>123</v>
      </c>
      <c r="D4315" s="244" t="s">
        <v>12</v>
      </c>
      <c r="E4315" s="263">
        <v>91</v>
      </c>
      <c r="F4315" s="294" t="s">
        <v>126</v>
      </c>
      <c r="G4315" s="294" t="s">
        <v>706</v>
      </c>
      <c r="H4315" s="298">
        <v>1</v>
      </c>
      <c r="M4315" s="274"/>
    </row>
    <row r="4316" spans="2:13" ht="15" customHeight="1" x14ac:dyDescent="0.25">
      <c r="B4316" s="289">
        <v>4405</v>
      </c>
      <c r="C4316" s="261">
        <v>123</v>
      </c>
      <c r="D4316" s="244" t="s">
        <v>12</v>
      </c>
      <c r="E4316" s="263">
        <v>42</v>
      </c>
      <c r="F4316" s="294" t="s">
        <v>126</v>
      </c>
      <c r="G4316" s="294" t="s">
        <v>707</v>
      </c>
      <c r="H4316" s="298">
        <v>1</v>
      </c>
      <c r="M4316" s="274"/>
    </row>
    <row r="4317" spans="2:13" ht="15" customHeight="1" x14ac:dyDescent="0.25">
      <c r="B4317" s="289">
        <v>4406</v>
      </c>
      <c r="C4317" s="261">
        <v>123</v>
      </c>
      <c r="D4317" s="244" t="s">
        <v>12</v>
      </c>
      <c r="E4317" s="263">
        <v>50</v>
      </c>
      <c r="F4317" s="294" t="s">
        <v>126</v>
      </c>
      <c r="G4317" s="294" t="s">
        <v>708</v>
      </c>
      <c r="H4317" s="298">
        <v>1</v>
      </c>
      <c r="M4317" s="274"/>
    </row>
    <row r="4318" spans="2:13" ht="15" customHeight="1" x14ac:dyDescent="0.25">
      <c r="B4318" s="289">
        <v>4407</v>
      </c>
      <c r="C4318" s="261">
        <v>123</v>
      </c>
      <c r="D4318" s="244" t="s">
        <v>12</v>
      </c>
      <c r="E4318" s="263">
        <v>47</v>
      </c>
      <c r="F4318" s="294" t="s">
        <v>126</v>
      </c>
      <c r="G4318" s="294" t="s">
        <v>543</v>
      </c>
      <c r="H4318" s="298">
        <v>1</v>
      </c>
      <c r="M4318" s="274"/>
    </row>
    <row r="4319" spans="2:13" ht="15" customHeight="1" x14ac:dyDescent="0.25">
      <c r="B4319" s="289">
        <v>4408</v>
      </c>
      <c r="C4319" s="261">
        <v>123</v>
      </c>
      <c r="D4319" s="244" t="s">
        <v>12</v>
      </c>
      <c r="E4319" s="263">
        <v>76</v>
      </c>
      <c r="F4319" s="294" t="s">
        <v>126</v>
      </c>
      <c r="G4319" s="294" t="s">
        <v>709</v>
      </c>
      <c r="H4319" s="298">
        <v>1</v>
      </c>
      <c r="M4319" s="274"/>
    </row>
    <row r="4320" spans="2:13" ht="15" customHeight="1" x14ac:dyDescent="0.25">
      <c r="B4320" s="289">
        <v>4409</v>
      </c>
      <c r="C4320" s="261">
        <v>123</v>
      </c>
      <c r="D4320" s="244" t="s">
        <v>12</v>
      </c>
      <c r="E4320" s="263">
        <v>75</v>
      </c>
      <c r="F4320" s="294" t="s">
        <v>126</v>
      </c>
      <c r="G4320" s="294" t="s">
        <v>710</v>
      </c>
      <c r="H4320" s="298">
        <v>1</v>
      </c>
      <c r="M4320" s="274"/>
    </row>
    <row r="4321" spans="2:13" ht="15" customHeight="1" x14ac:dyDescent="0.25">
      <c r="B4321" s="289">
        <v>4410</v>
      </c>
      <c r="C4321" s="261">
        <v>123</v>
      </c>
      <c r="D4321" s="244" t="s">
        <v>12</v>
      </c>
      <c r="E4321" s="263">
        <v>71</v>
      </c>
      <c r="F4321" s="294" t="s">
        <v>126</v>
      </c>
      <c r="G4321" s="294" t="s">
        <v>711</v>
      </c>
      <c r="H4321" s="298">
        <v>1</v>
      </c>
      <c r="M4321" s="274"/>
    </row>
    <row r="4322" spans="2:13" ht="15" customHeight="1" x14ac:dyDescent="0.25">
      <c r="B4322" s="289">
        <v>4412</v>
      </c>
      <c r="C4322" s="261">
        <v>123</v>
      </c>
      <c r="D4322" s="244" t="s">
        <v>12</v>
      </c>
      <c r="E4322" s="263">
        <v>42</v>
      </c>
      <c r="F4322" s="294" t="s">
        <v>126</v>
      </c>
      <c r="G4322" s="294" t="s">
        <v>712</v>
      </c>
      <c r="H4322" s="298">
        <v>1</v>
      </c>
      <c r="M4322" s="274"/>
    </row>
    <row r="4323" spans="2:13" ht="15" customHeight="1" x14ac:dyDescent="0.25">
      <c r="B4323" s="289">
        <v>4413</v>
      </c>
      <c r="C4323" s="261">
        <v>123</v>
      </c>
      <c r="D4323" s="244" t="s">
        <v>11</v>
      </c>
      <c r="E4323" s="263">
        <v>9</v>
      </c>
      <c r="F4323" s="294" t="s">
        <v>436</v>
      </c>
      <c r="G4323" s="294" t="s">
        <v>126</v>
      </c>
      <c r="H4323" s="298">
        <v>1</v>
      </c>
      <c r="M4323" s="274"/>
    </row>
    <row r="4324" spans="2:13" ht="15" customHeight="1" x14ac:dyDescent="0.25">
      <c r="B4324" s="289">
        <v>4414</v>
      </c>
      <c r="C4324" s="261">
        <v>123</v>
      </c>
      <c r="D4324" s="244" t="s">
        <v>12</v>
      </c>
      <c r="E4324" s="263">
        <v>2</v>
      </c>
      <c r="F4324" s="294" t="s">
        <v>126</v>
      </c>
      <c r="G4324" s="294" t="s">
        <v>420</v>
      </c>
      <c r="H4324" s="298">
        <v>1</v>
      </c>
      <c r="M4324" s="274"/>
    </row>
    <row r="4325" spans="2:13" ht="15" customHeight="1" x14ac:dyDescent="0.25">
      <c r="B4325" s="289">
        <v>4416</v>
      </c>
      <c r="C4325" s="261">
        <v>139</v>
      </c>
      <c r="D4325" s="244" t="s">
        <v>12</v>
      </c>
      <c r="E4325" s="263">
        <v>40</v>
      </c>
      <c r="F4325" s="294" t="s">
        <v>126</v>
      </c>
      <c r="G4325" s="294" t="s">
        <v>713</v>
      </c>
      <c r="H4325" s="298">
        <v>1</v>
      </c>
      <c r="M4325" s="274"/>
    </row>
    <row r="4326" spans="2:13" ht="15" customHeight="1" x14ac:dyDescent="0.25">
      <c r="B4326" s="289">
        <v>4417</v>
      </c>
      <c r="C4326" s="261">
        <v>123</v>
      </c>
      <c r="D4326" s="244" t="s">
        <v>12</v>
      </c>
      <c r="E4326" s="263">
        <v>81</v>
      </c>
      <c r="F4326" s="294" t="s">
        <v>126</v>
      </c>
      <c r="G4326" s="294" t="s">
        <v>714</v>
      </c>
      <c r="H4326" s="298">
        <v>1</v>
      </c>
      <c r="M4326" s="274"/>
    </row>
    <row r="4327" spans="2:13" ht="15" customHeight="1" x14ac:dyDescent="0.25">
      <c r="B4327" s="289">
        <v>4418</v>
      </c>
      <c r="C4327" s="261">
        <v>123</v>
      </c>
      <c r="D4327" s="244" t="s">
        <v>12</v>
      </c>
      <c r="E4327" s="263">
        <v>88</v>
      </c>
      <c r="F4327" s="294" t="s">
        <v>126</v>
      </c>
      <c r="G4327" s="294" t="s">
        <v>715</v>
      </c>
      <c r="H4327" s="298">
        <v>1</v>
      </c>
      <c r="M4327" s="274"/>
    </row>
    <row r="4328" spans="2:13" ht="15" customHeight="1" x14ac:dyDescent="0.25">
      <c r="B4328" s="289">
        <v>4419</v>
      </c>
      <c r="C4328" s="261">
        <v>123</v>
      </c>
      <c r="D4328" s="244" t="s">
        <v>12</v>
      </c>
      <c r="E4328" s="263">
        <v>76</v>
      </c>
      <c r="F4328" s="294" t="s">
        <v>126</v>
      </c>
      <c r="G4328" s="294" t="s">
        <v>716</v>
      </c>
      <c r="H4328" s="298">
        <v>1</v>
      </c>
      <c r="M4328" s="274"/>
    </row>
    <row r="4329" spans="2:13" ht="15" customHeight="1" x14ac:dyDescent="0.25">
      <c r="B4329" s="289">
        <v>4420</v>
      </c>
      <c r="C4329" s="261">
        <v>123</v>
      </c>
      <c r="D4329" s="244" t="s">
        <v>12</v>
      </c>
      <c r="E4329" s="263">
        <v>92</v>
      </c>
      <c r="F4329" s="294" t="s">
        <v>126</v>
      </c>
      <c r="G4329" s="294" t="s">
        <v>717</v>
      </c>
      <c r="H4329" s="298">
        <v>1</v>
      </c>
      <c r="M4329" s="274"/>
    </row>
    <row r="4330" spans="2:13" ht="15" customHeight="1" x14ac:dyDescent="0.25">
      <c r="B4330" s="289">
        <v>4422</v>
      </c>
      <c r="C4330" s="261">
        <v>123</v>
      </c>
      <c r="D4330" s="244" t="s">
        <v>12</v>
      </c>
      <c r="E4330" s="263">
        <v>2</v>
      </c>
      <c r="F4330" s="294" t="s">
        <v>126</v>
      </c>
      <c r="G4330" s="294" t="s">
        <v>441</v>
      </c>
      <c r="H4330" s="298">
        <v>1</v>
      </c>
      <c r="M4330" s="274"/>
    </row>
    <row r="4331" spans="2:13" ht="15" customHeight="1" x14ac:dyDescent="0.25">
      <c r="B4331" s="289">
        <v>4423</v>
      </c>
      <c r="C4331" s="261">
        <v>123</v>
      </c>
      <c r="D4331" s="244" t="s">
        <v>12</v>
      </c>
      <c r="E4331" s="263">
        <v>53</v>
      </c>
      <c r="F4331" s="294" t="s">
        <v>126</v>
      </c>
      <c r="G4331" s="294" t="s">
        <v>718</v>
      </c>
      <c r="H4331" s="298">
        <v>1</v>
      </c>
      <c r="M4331" s="274"/>
    </row>
    <row r="4332" spans="2:13" ht="15" customHeight="1" x14ac:dyDescent="0.25">
      <c r="B4332" s="289">
        <v>4426</v>
      </c>
      <c r="C4332" s="261">
        <v>121</v>
      </c>
      <c r="D4332" s="244" t="s">
        <v>11</v>
      </c>
      <c r="E4332" s="263">
        <v>1</v>
      </c>
      <c r="F4332" s="294" t="s">
        <v>437</v>
      </c>
      <c r="G4332" s="294" t="s">
        <v>126</v>
      </c>
      <c r="H4332" s="298">
        <v>1</v>
      </c>
      <c r="M4332" s="274"/>
    </row>
    <row r="4333" spans="2:13" ht="15" customHeight="1" x14ac:dyDescent="0.25">
      <c r="B4333" s="289">
        <v>4429</v>
      </c>
      <c r="C4333" s="261">
        <v>125</v>
      </c>
      <c r="D4333" s="244" t="s">
        <v>12</v>
      </c>
      <c r="E4333" s="263">
        <v>2</v>
      </c>
      <c r="F4333" s="294" t="s">
        <v>126</v>
      </c>
      <c r="G4333" s="294" t="s">
        <v>233</v>
      </c>
      <c r="H4333" s="298">
        <v>1</v>
      </c>
      <c r="M4333" s="274"/>
    </row>
    <row r="4334" spans="2:13" ht="15" customHeight="1" x14ac:dyDescent="0.25">
      <c r="B4334" s="289">
        <v>4430</v>
      </c>
      <c r="C4334" s="261">
        <v>123</v>
      </c>
      <c r="D4334" s="244" t="s">
        <v>12</v>
      </c>
      <c r="E4334" s="263">
        <v>21</v>
      </c>
      <c r="F4334" s="294" t="s">
        <v>126</v>
      </c>
      <c r="G4334" s="294" t="s">
        <v>719</v>
      </c>
      <c r="H4334" s="298">
        <v>1</v>
      </c>
      <c r="M4334" s="274"/>
    </row>
    <row r="4335" spans="2:13" ht="15" customHeight="1" x14ac:dyDescent="0.25">
      <c r="B4335" s="289">
        <v>4431</v>
      </c>
      <c r="C4335" s="261">
        <v>123</v>
      </c>
      <c r="D4335" s="244" t="s">
        <v>12</v>
      </c>
      <c r="E4335" s="263">
        <v>2</v>
      </c>
      <c r="F4335" s="294" t="s">
        <v>126</v>
      </c>
      <c r="G4335" s="294" t="s">
        <v>233</v>
      </c>
      <c r="H4335" s="298">
        <v>1</v>
      </c>
      <c r="M4335" s="274"/>
    </row>
    <row r="4336" spans="2:13" ht="15" customHeight="1" x14ac:dyDescent="0.25">
      <c r="B4336" s="289">
        <v>4432</v>
      </c>
      <c r="C4336" s="261">
        <v>123</v>
      </c>
      <c r="D4336" s="244" t="s">
        <v>12</v>
      </c>
      <c r="E4336" s="263">
        <v>4</v>
      </c>
      <c r="F4336" s="294" t="s">
        <v>126</v>
      </c>
      <c r="G4336" s="294" t="s">
        <v>720</v>
      </c>
      <c r="H4336" s="298">
        <v>1</v>
      </c>
      <c r="M4336" s="274"/>
    </row>
    <row r="4337" spans="2:13" ht="15" customHeight="1" x14ac:dyDescent="0.25">
      <c r="B4337" s="289">
        <v>4433</v>
      </c>
      <c r="C4337" s="261">
        <v>123</v>
      </c>
      <c r="D4337" s="244" t="s">
        <v>12</v>
      </c>
      <c r="E4337" s="263">
        <v>1</v>
      </c>
      <c r="F4337" s="294" t="s">
        <v>126</v>
      </c>
      <c r="G4337" s="294" t="s">
        <v>139</v>
      </c>
      <c r="H4337" s="298">
        <v>1</v>
      </c>
      <c r="M4337" s="274"/>
    </row>
    <row r="4338" spans="2:13" ht="15" customHeight="1" x14ac:dyDescent="0.25">
      <c r="B4338" s="289">
        <v>4437</v>
      </c>
      <c r="C4338" s="261">
        <v>123</v>
      </c>
      <c r="D4338" s="244" t="s">
        <v>12</v>
      </c>
      <c r="E4338" s="263">
        <v>53</v>
      </c>
      <c r="F4338" s="294" t="s">
        <v>126</v>
      </c>
      <c r="G4338" s="294" t="s">
        <v>688</v>
      </c>
      <c r="H4338" s="298">
        <v>1</v>
      </c>
      <c r="M4338" s="274"/>
    </row>
    <row r="4339" spans="2:13" ht="15" customHeight="1" x14ac:dyDescent="0.25">
      <c r="B4339" s="289">
        <v>4438</v>
      </c>
      <c r="C4339" s="261">
        <v>123</v>
      </c>
      <c r="D4339" s="244" t="s">
        <v>11</v>
      </c>
      <c r="E4339" s="263">
        <v>9</v>
      </c>
      <c r="F4339" s="294" t="s">
        <v>436</v>
      </c>
      <c r="G4339" s="294" t="s">
        <v>126</v>
      </c>
      <c r="H4339" s="298">
        <v>1</v>
      </c>
      <c r="M4339" s="274"/>
    </row>
    <row r="4340" spans="2:13" ht="15" customHeight="1" x14ac:dyDescent="0.25">
      <c r="B4340" s="289">
        <v>4439</v>
      </c>
      <c r="C4340" s="261">
        <v>123</v>
      </c>
      <c r="D4340" s="244" t="s">
        <v>11</v>
      </c>
      <c r="E4340" s="263">
        <v>9</v>
      </c>
      <c r="F4340" s="294" t="s">
        <v>436</v>
      </c>
      <c r="G4340" s="294" t="s">
        <v>126</v>
      </c>
      <c r="H4340" s="298">
        <v>1</v>
      </c>
      <c r="M4340" s="274"/>
    </row>
    <row r="4341" spans="2:13" ht="15" customHeight="1" x14ac:dyDescent="0.25">
      <c r="B4341" s="289">
        <v>4441</v>
      </c>
      <c r="C4341" s="261">
        <v>123</v>
      </c>
      <c r="D4341" s="244" t="s">
        <v>12</v>
      </c>
      <c r="E4341" s="263">
        <v>2</v>
      </c>
      <c r="F4341" s="294" t="s">
        <v>126</v>
      </c>
      <c r="G4341" s="294" t="s">
        <v>136</v>
      </c>
      <c r="H4341" s="298">
        <v>1</v>
      </c>
      <c r="M4341" s="274"/>
    </row>
    <row r="4342" spans="2:13" ht="15" customHeight="1" x14ac:dyDescent="0.25">
      <c r="B4342" s="289">
        <v>4443</v>
      </c>
      <c r="C4342" s="261">
        <v>123</v>
      </c>
      <c r="D4342" s="244" t="s">
        <v>12</v>
      </c>
      <c r="E4342" s="263">
        <v>53</v>
      </c>
      <c r="F4342" s="294" t="s">
        <v>126</v>
      </c>
      <c r="G4342" s="294" t="s">
        <v>721</v>
      </c>
      <c r="H4342" s="298">
        <v>1</v>
      </c>
      <c r="M4342" s="274"/>
    </row>
    <row r="4343" spans="2:13" ht="15" customHeight="1" x14ac:dyDescent="0.25">
      <c r="B4343" s="289">
        <v>4444</v>
      </c>
      <c r="C4343" s="261">
        <v>123</v>
      </c>
      <c r="D4343" s="244" t="s">
        <v>12</v>
      </c>
      <c r="E4343" s="263">
        <v>3</v>
      </c>
      <c r="F4343" s="294" t="s">
        <v>126</v>
      </c>
      <c r="G4343" s="294" t="s">
        <v>722</v>
      </c>
      <c r="H4343" s="298">
        <v>1</v>
      </c>
      <c r="M4343" s="274"/>
    </row>
    <row r="4344" spans="2:13" ht="15" customHeight="1" x14ac:dyDescent="0.25">
      <c r="B4344" s="289">
        <v>4445</v>
      </c>
      <c r="C4344" s="261">
        <v>123</v>
      </c>
      <c r="D4344" s="244" t="s">
        <v>12</v>
      </c>
      <c r="E4344" s="263">
        <v>1</v>
      </c>
      <c r="F4344" s="294" t="s">
        <v>126</v>
      </c>
      <c r="G4344" s="294" t="s">
        <v>426</v>
      </c>
      <c r="H4344" s="298">
        <v>1</v>
      </c>
      <c r="M4344" s="274"/>
    </row>
    <row r="4345" spans="2:13" ht="15" customHeight="1" x14ac:dyDescent="0.25">
      <c r="B4345" s="289">
        <v>4446</v>
      </c>
      <c r="C4345" s="261">
        <v>123</v>
      </c>
      <c r="D4345" s="244" t="s">
        <v>12</v>
      </c>
      <c r="E4345" s="263">
        <v>6</v>
      </c>
      <c r="F4345" s="294" t="s">
        <v>126</v>
      </c>
      <c r="G4345" s="294" t="s">
        <v>723</v>
      </c>
      <c r="H4345" s="298">
        <v>1</v>
      </c>
      <c r="M4345" s="274"/>
    </row>
    <row r="4346" spans="2:13" ht="15" customHeight="1" x14ac:dyDescent="0.25">
      <c r="B4346" s="289">
        <v>4447</v>
      </c>
      <c r="C4346" s="261">
        <v>106</v>
      </c>
      <c r="D4346" s="244" t="s">
        <v>11</v>
      </c>
      <c r="E4346" s="263">
        <v>2</v>
      </c>
      <c r="F4346" s="294" t="s">
        <v>587</v>
      </c>
      <c r="G4346" s="294" t="s">
        <v>126</v>
      </c>
      <c r="H4346" s="298">
        <v>1</v>
      </c>
      <c r="M4346" s="274"/>
    </row>
    <row r="4347" spans="2:13" ht="15" customHeight="1" x14ac:dyDescent="0.25">
      <c r="B4347" s="289">
        <v>4447</v>
      </c>
      <c r="C4347" s="261">
        <v>123</v>
      </c>
      <c r="D4347" s="244" t="s">
        <v>12</v>
      </c>
      <c r="E4347" s="263">
        <v>30</v>
      </c>
      <c r="F4347" s="294" t="s">
        <v>126</v>
      </c>
      <c r="G4347" s="294" t="s">
        <v>724</v>
      </c>
      <c r="H4347" s="298">
        <v>1</v>
      </c>
      <c r="M4347" s="274"/>
    </row>
    <row r="4348" spans="2:13" ht="15" customHeight="1" x14ac:dyDescent="0.25">
      <c r="B4348" s="289">
        <v>4448</v>
      </c>
      <c r="C4348" s="261">
        <v>123</v>
      </c>
      <c r="D4348" s="244" t="s">
        <v>12</v>
      </c>
      <c r="E4348" s="263">
        <v>12</v>
      </c>
      <c r="F4348" s="294" t="s">
        <v>126</v>
      </c>
      <c r="G4348" s="294" t="s">
        <v>725</v>
      </c>
      <c r="H4348" s="298">
        <v>1</v>
      </c>
      <c r="M4348" s="274"/>
    </row>
    <row r="4349" spans="2:13" ht="15" customHeight="1" x14ac:dyDescent="0.25">
      <c r="B4349" s="289">
        <v>4450</v>
      </c>
      <c r="C4349" s="261">
        <v>123</v>
      </c>
      <c r="D4349" s="244" t="s">
        <v>11</v>
      </c>
      <c r="E4349" s="263">
        <v>1</v>
      </c>
      <c r="F4349" s="294" t="s">
        <v>139</v>
      </c>
      <c r="G4349" s="294" t="s">
        <v>126</v>
      </c>
      <c r="H4349" s="298">
        <v>1</v>
      </c>
      <c r="M4349" s="274"/>
    </row>
    <row r="4350" spans="2:13" ht="15" customHeight="1" x14ac:dyDescent="0.25">
      <c r="B4350" s="289">
        <v>4452</v>
      </c>
      <c r="C4350" s="261">
        <v>123</v>
      </c>
      <c r="D4350" s="244" t="s">
        <v>12</v>
      </c>
      <c r="E4350" s="263">
        <v>94</v>
      </c>
      <c r="F4350" s="294" t="s">
        <v>126</v>
      </c>
      <c r="G4350" s="294" t="s">
        <v>726</v>
      </c>
      <c r="H4350" s="298">
        <v>1</v>
      </c>
      <c r="M4350" s="274"/>
    </row>
    <row r="4351" spans="2:13" ht="15" customHeight="1" x14ac:dyDescent="0.25">
      <c r="B4351" s="289">
        <v>4453</v>
      </c>
      <c r="C4351" s="261">
        <v>123</v>
      </c>
      <c r="D4351" s="244" t="s">
        <v>12</v>
      </c>
      <c r="E4351" s="263">
        <v>1</v>
      </c>
      <c r="F4351" s="294" t="s">
        <v>126</v>
      </c>
      <c r="G4351" s="294" t="s">
        <v>426</v>
      </c>
      <c r="H4351" s="298">
        <v>1</v>
      </c>
      <c r="M4351" s="274"/>
    </row>
    <row r="4352" spans="2:13" ht="15" customHeight="1" x14ac:dyDescent="0.25">
      <c r="B4352" s="289">
        <v>4454</v>
      </c>
      <c r="C4352" s="261">
        <v>123</v>
      </c>
      <c r="D4352" s="244" t="s">
        <v>12</v>
      </c>
      <c r="E4352" s="263">
        <v>1</v>
      </c>
      <c r="F4352" s="294" t="s">
        <v>126</v>
      </c>
      <c r="G4352" s="294" t="s">
        <v>139</v>
      </c>
      <c r="H4352" s="298">
        <v>1</v>
      </c>
      <c r="M4352" s="274"/>
    </row>
    <row r="4353" spans="2:13" ht="15" customHeight="1" x14ac:dyDescent="0.25">
      <c r="B4353" s="289">
        <v>4455</v>
      </c>
      <c r="C4353" s="261">
        <v>123</v>
      </c>
      <c r="D4353" s="244" t="s">
        <v>12</v>
      </c>
      <c r="E4353" s="263">
        <v>75</v>
      </c>
      <c r="F4353" s="294" t="s">
        <v>126</v>
      </c>
      <c r="G4353" s="294" t="s">
        <v>727</v>
      </c>
      <c r="H4353" s="298">
        <v>1</v>
      </c>
      <c r="M4353" s="274"/>
    </row>
    <row r="4354" spans="2:13" ht="15" customHeight="1" x14ac:dyDescent="0.25">
      <c r="B4354" s="289">
        <v>4456</v>
      </c>
      <c r="C4354" s="261">
        <v>123</v>
      </c>
      <c r="D4354" s="244" t="s">
        <v>12</v>
      </c>
      <c r="E4354" s="263">
        <v>36</v>
      </c>
      <c r="F4354" s="294" t="s">
        <v>126</v>
      </c>
      <c r="G4354" s="294" t="s">
        <v>728</v>
      </c>
      <c r="H4354" s="298">
        <v>1</v>
      </c>
      <c r="M4354" s="274"/>
    </row>
    <row r="4355" spans="2:13" ht="15" customHeight="1" x14ac:dyDescent="0.25">
      <c r="B4355" s="289">
        <v>4458</v>
      </c>
      <c r="C4355" s="261">
        <v>122</v>
      </c>
      <c r="D4355" s="244" t="s">
        <v>11</v>
      </c>
      <c r="E4355" s="263">
        <v>1</v>
      </c>
      <c r="F4355" s="294" t="s">
        <v>426</v>
      </c>
      <c r="G4355" s="294" t="s">
        <v>126</v>
      </c>
      <c r="H4355" s="298">
        <v>1</v>
      </c>
      <c r="M4355" s="274"/>
    </row>
    <row r="4356" spans="2:13" ht="15" customHeight="1" x14ac:dyDescent="0.25">
      <c r="B4356" s="289">
        <v>4459</v>
      </c>
      <c r="C4356" s="261">
        <v>123</v>
      </c>
      <c r="D4356" s="244" t="s">
        <v>12</v>
      </c>
      <c r="E4356" s="263">
        <v>71</v>
      </c>
      <c r="F4356" s="294" t="s">
        <v>126</v>
      </c>
      <c r="G4356" s="294" t="s">
        <v>729</v>
      </c>
      <c r="H4356" s="298">
        <v>1</v>
      </c>
      <c r="M4356" s="274"/>
    </row>
    <row r="4357" spans="2:13" ht="15" customHeight="1" x14ac:dyDescent="0.25">
      <c r="B4357" s="289">
        <v>4460</v>
      </c>
      <c r="C4357" s="261">
        <v>123</v>
      </c>
      <c r="D4357" s="244" t="s">
        <v>12</v>
      </c>
      <c r="E4357" s="263">
        <v>2</v>
      </c>
      <c r="F4357" s="294" t="s">
        <v>126</v>
      </c>
      <c r="G4357" s="294" t="s">
        <v>441</v>
      </c>
      <c r="H4357" s="298">
        <v>1</v>
      </c>
      <c r="M4357" s="274"/>
    </row>
    <row r="4358" spans="2:13" ht="15" customHeight="1" x14ac:dyDescent="0.25">
      <c r="B4358" s="289">
        <v>4461</v>
      </c>
      <c r="C4358" s="261">
        <v>132</v>
      </c>
      <c r="D4358" s="244" t="s">
        <v>11</v>
      </c>
      <c r="E4358" s="263">
        <v>1</v>
      </c>
      <c r="F4358" s="294" t="s">
        <v>437</v>
      </c>
      <c r="G4358" s="294" t="s">
        <v>126</v>
      </c>
      <c r="H4358" s="298">
        <v>1</v>
      </c>
      <c r="M4358" s="274"/>
    </row>
    <row r="4359" spans="2:13" ht="15" customHeight="1" x14ac:dyDescent="0.25">
      <c r="B4359" s="289">
        <v>4463</v>
      </c>
      <c r="C4359" s="261">
        <v>123</v>
      </c>
      <c r="D4359" s="244" t="s">
        <v>11</v>
      </c>
      <c r="E4359" s="263">
        <v>34</v>
      </c>
      <c r="F4359" s="294" t="s">
        <v>730</v>
      </c>
      <c r="G4359" s="294" t="s">
        <v>126</v>
      </c>
      <c r="H4359" s="298">
        <v>1</v>
      </c>
      <c r="M4359" s="274"/>
    </row>
    <row r="4360" spans="2:13" ht="15" customHeight="1" x14ac:dyDescent="0.25">
      <c r="B4360" s="289">
        <v>4464</v>
      </c>
      <c r="C4360" s="261">
        <v>123</v>
      </c>
      <c r="D4360" s="244" t="s">
        <v>12</v>
      </c>
      <c r="E4360" s="263">
        <v>1</v>
      </c>
      <c r="F4360" s="294" t="s">
        <v>126</v>
      </c>
      <c r="G4360" s="294" t="s">
        <v>235</v>
      </c>
      <c r="H4360" s="298">
        <v>1</v>
      </c>
      <c r="M4360" s="274"/>
    </row>
    <row r="4361" spans="2:13" ht="15" customHeight="1" x14ac:dyDescent="0.25">
      <c r="B4361" s="289">
        <v>4465</v>
      </c>
      <c r="C4361" s="261">
        <v>122</v>
      </c>
      <c r="D4361" s="244" t="s">
        <v>11</v>
      </c>
      <c r="E4361" s="263">
        <v>8</v>
      </c>
      <c r="F4361" s="294" t="s">
        <v>554</v>
      </c>
      <c r="G4361" s="294" t="s">
        <v>126</v>
      </c>
      <c r="H4361" s="298">
        <v>1</v>
      </c>
      <c r="M4361" s="274"/>
    </row>
    <row r="4362" spans="2:13" ht="15" customHeight="1" x14ac:dyDescent="0.25">
      <c r="B4362" s="289">
        <v>4468</v>
      </c>
      <c r="C4362" s="261">
        <v>122</v>
      </c>
      <c r="D4362" s="244" t="s">
        <v>12</v>
      </c>
      <c r="E4362" s="263">
        <v>2</v>
      </c>
      <c r="F4362" s="294" t="s">
        <v>126</v>
      </c>
      <c r="G4362" s="294" t="s">
        <v>441</v>
      </c>
      <c r="H4362" s="298">
        <v>1</v>
      </c>
      <c r="M4362" s="274"/>
    </row>
    <row r="4363" spans="2:13" ht="15" customHeight="1" x14ac:dyDescent="0.25">
      <c r="B4363" s="289">
        <v>4471</v>
      </c>
      <c r="C4363" s="261">
        <v>123</v>
      </c>
      <c r="D4363" s="244" t="s">
        <v>12</v>
      </c>
      <c r="E4363" s="263">
        <v>94</v>
      </c>
      <c r="F4363" s="294" t="s">
        <v>126</v>
      </c>
      <c r="G4363" s="294" t="s">
        <v>731</v>
      </c>
      <c r="H4363" s="298">
        <v>1</v>
      </c>
      <c r="M4363" s="274"/>
    </row>
    <row r="4364" spans="2:13" ht="15" customHeight="1" x14ac:dyDescent="0.25">
      <c r="B4364" s="289">
        <v>4472</v>
      </c>
      <c r="C4364" s="261">
        <v>123</v>
      </c>
      <c r="D4364" s="244" t="s">
        <v>12</v>
      </c>
      <c r="E4364" s="263">
        <v>28</v>
      </c>
      <c r="F4364" s="294" t="s">
        <v>126</v>
      </c>
      <c r="G4364" s="294" t="s">
        <v>732</v>
      </c>
      <c r="H4364" s="298">
        <v>1</v>
      </c>
      <c r="M4364" s="274"/>
    </row>
    <row r="4365" spans="2:13" ht="15" customHeight="1" x14ac:dyDescent="0.25">
      <c r="B4365" s="289">
        <v>4474</v>
      </c>
      <c r="C4365" s="261">
        <v>116</v>
      </c>
      <c r="D4365" s="244" t="s">
        <v>11</v>
      </c>
      <c r="E4365" s="263">
        <v>3</v>
      </c>
      <c r="F4365" s="294" t="s">
        <v>733</v>
      </c>
      <c r="G4365" s="294" t="s">
        <v>126</v>
      </c>
      <c r="H4365" s="298">
        <v>1</v>
      </c>
      <c r="M4365" s="274"/>
    </row>
    <row r="4366" spans="2:13" ht="15" customHeight="1" x14ac:dyDescent="0.25">
      <c r="B4366" s="289">
        <v>4474</v>
      </c>
      <c r="C4366" s="261">
        <v>123</v>
      </c>
      <c r="D4366" s="244" t="s">
        <v>12</v>
      </c>
      <c r="E4366" s="263">
        <v>76</v>
      </c>
      <c r="F4366" s="294" t="s">
        <v>126</v>
      </c>
      <c r="G4366" s="294" t="s">
        <v>734</v>
      </c>
      <c r="H4366" s="298">
        <v>1</v>
      </c>
      <c r="M4366" s="274"/>
    </row>
    <row r="4367" spans="2:13" ht="15" customHeight="1" x14ac:dyDescent="0.25">
      <c r="B4367" s="289">
        <v>4475</v>
      </c>
      <c r="C4367" s="261">
        <v>123</v>
      </c>
      <c r="D4367" s="244" t="s">
        <v>12</v>
      </c>
      <c r="E4367" s="263">
        <v>38</v>
      </c>
      <c r="F4367" s="294" t="s">
        <v>126</v>
      </c>
      <c r="G4367" s="294" t="s">
        <v>735</v>
      </c>
      <c r="H4367" s="298">
        <v>1</v>
      </c>
      <c r="M4367" s="274"/>
    </row>
    <row r="4368" spans="2:13" ht="15" customHeight="1" x14ac:dyDescent="0.25">
      <c r="B4368" s="289">
        <v>4476</v>
      </c>
      <c r="C4368" s="261">
        <v>123</v>
      </c>
      <c r="D4368" s="244" t="s">
        <v>12</v>
      </c>
      <c r="E4368" s="263">
        <v>66</v>
      </c>
      <c r="F4368" s="294" t="s">
        <v>126</v>
      </c>
      <c r="G4368" s="294" t="s">
        <v>736</v>
      </c>
      <c r="H4368" s="298">
        <v>1</v>
      </c>
      <c r="M4368" s="274"/>
    </row>
    <row r="4369" spans="2:13" ht="15" customHeight="1" x14ac:dyDescent="0.25">
      <c r="B4369" s="289">
        <v>4477</v>
      </c>
      <c r="C4369" s="261">
        <v>123</v>
      </c>
      <c r="D4369" s="244" t="s">
        <v>12</v>
      </c>
      <c r="E4369" s="263">
        <v>53</v>
      </c>
      <c r="F4369" s="294" t="s">
        <v>126</v>
      </c>
      <c r="G4369" s="294" t="s">
        <v>429</v>
      </c>
      <c r="H4369" s="298">
        <v>1</v>
      </c>
      <c r="M4369" s="274"/>
    </row>
    <row r="4370" spans="2:13" ht="15" customHeight="1" x14ac:dyDescent="0.25">
      <c r="B4370" s="289">
        <v>4478</v>
      </c>
      <c r="C4370" s="261">
        <v>123</v>
      </c>
      <c r="D4370" s="244" t="s">
        <v>12</v>
      </c>
      <c r="E4370" s="263">
        <v>93</v>
      </c>
      <c r="F4370" s="294" t="s">
        <v>126</v>
      </c>
      <c r="G4370" s="294" t="s">
        <v>737</v>
      </c>
      <c r="H4370" s="298">
        <v>1</v>
      </c>
      <c r="M4370" s="274"/>
    </row>
    <row r="4371" spans="2:13" ht="15" customHeight="1" x14ac:dyDescent="0.25">
      <c r="B4371" s="289">
        <v>4479</v>
      </c>
      <c r="C4371" s="261">
        <v>102</v>
      </c>
      <c r="D4371" s="244" t="s">
        <v>11</v>
      </c>
      <c r="E4371" s="263">
        <v>2</v>
      </c>
      <c r="F4371" s="294" t="s">
        <v>285</v>
      </c>
      <c r="G4371" s="294" t="s">
        <v>126</v>
      </c>
      <c r="H4371" s="298">
        <v>1</v>
      </c>
      <c r="M4371" s="274"/>
    </row>
    <row r="4372" spans="2:13" ht="15" customHeight="1" x14ac:dyDescent="0.25">
      <c r="B4372" s="289">
        <v>4480</v>
      </c>
      <c r="C4372" s="261">
        <v>94</v>
      </c>
      <c r="D4372" s="244" t="s">
        <v>11</v>
      </c>
      <c r="E4372" s="263">
        <v>40</v>
      </c>
      <c r="F4372" s="294" t="s">
        <v>738</v>
      </c>
      <c r="G4372" s="294" t="s">
        <v>126</v>
      </c>
      <c r="H4372" s="298">
        <v>1</v>
      </c>
      <c r="M4372" s="274"/>
    </row>
    <row r="4373" spans="2:13" ht="15" customHeight="1" x14ac:dyDescent="0.25">
      <c r="M4373" s="274"/>
    </row>
    <row r="4374" spans="2:13" ht="15" customHeight="1" x14ac:dyDescent="0.25">
      <c r="M4374" s="274"/>
    </row>
    <row r="4375" spans="2:13" ht="15" customHeight="1" x14ac:dyDescent="0.25">
      <c r="M4375" s="274"/>
    </row>
    <row r="4376" spans="2:13" ht="15" customHeight="1" x14ac:dyDescent="0.25">
      <c r="M4376" s="274"/>
    </row>
    <row r="4377" spans="2:13" ht="15" customHeight="1" x14ac:dyDescent="0.25">
      <c r="M4377" s="274"/>
    </row>
    <row r="4378" spans="2:13" ht="15" customHeight="1" x14ac:dyDescent="0.25">
      <c r="M4378" s="274"/>
    </row>
    <row r="4379" spans="2:13" ht="15" customHeight="1" x14ac:dyDescent="0.25">
      <c r="M4379" s="274"/>
    </row>
    <row r="4380" spans="2:13" ht="15" customHeight="1" x14ac:dyDescent="0.25">
      <c r="M4380" s="274"/>
    </row>
    <row r="4381" spans="2:13" ht="15" customHeight="1" x14ac:dyDescent="0.25">
      <c r="M4381" s="274"/>
    </row>
    <row r="4382" spans="2:13" ht="15" customHeight="1" x14ac:dyDescent="0.25">
      <c r="M4382" s="274"/>
    </row>
    <row r="4383" spans="2:13" ht="15" customHeight="1" x14ac:dyDescent="0.25">
      <c r="M4383" s="274"/>
    </row>
    <row r="4384" spans="2:13" ht="15" customHeight="1" x14ac:dyDescent="0.25">
      <c r="M4384" s="274"/>
    </row>
    <row r="4385" spans="13:13" ht="15" customHeight="1" x14ac:dyDescent="0.25">
      <c r="M4385" s="274"/>
    </row>
    <row r="4386" spans="13:13" ht="15" customHeight="1" x14ac:dyDescent="0.25">
      <c r="M4386" s="274"/>
    </row>
    <row r="4387" spans="13:13" ht="15" customHeight="1" x14ac:dyDescent="0.25">
      <c r="M4387" s="274"/>
    </row>
    <row r="4388" spans="13:13" ht="15" customHeight="1" x14ac:dyDescent="0.25">
      <c r="M4388" s="274"/>
    </row>
    <row r="4389" spans="13:13" ht="15" customHeight="1" x14ac:dyDescent="0.25">
      <c r="M4389" s="274"/>
    </row>
    <row r="4390" spans="13:13" ht="15" customHeight="1" x14ac:dyDescent="0.25">
      <c r="M4390" s="274"/>
    </row>
    <row r="4391" spans="13:13" ht="15" customHeight="1" x14ac:dyDescent="0.25">
      <c r="M4391" s="274"/>
    </row>
    <row r="4392" spans="13:13" ht="15" customHeight="1" x14ac:dyDescent="0.25">
      <c r="M4392" s="274"/>
    </row>
    <row r="4393" spans="13:13" ht="15" customHeight="1" x14ac:dyDescent="0.25">
      <c r="M4393" s="274"/>
    </row>
    <row r="4394" spans="13:13" ht="15" customHeight="1" x14ac:dyDescent="0.25">
      <c r="M4394" s="274"/>
    </row>
    <row r="4395" spans="13:13" ht="15" customHeight="1" x14ac:dyDescent="0.25">
      <c r="M4395" s="274"/>
    </row>
    <row r="4396" spans="13:13" ht="15" customHeight="1" x14ac:dyDescent="0.25">
      <c r="M4396" s="274"/>
    </row>
    <row r="4397" spans="13:13" ht="15" customHeight="1" x14ac:dyDescent="0.25">
      <c r="M4397" s="274"/>
    </row>
    <row r="4398" spans="13:13" ht="15" customHeight="1" x14ac:dyDescent="0.25">
      <c r="M4398" s="274"/>
    </row>
    <row r="4399" spans="13:13" ht="15" customHeight="1" x14ac:dyDescent="0.25">
      <c r="M4399" s="274"/>
    </row>
    <row r="4400" spans="13:13" ht="15" customHeight="1" x14ac:dyDescent="0.25">
      <c r="M4400" s="274"/>
    </row>
    <row r="4401" spans="13:13" ht="15" customHeight="1" x14ac:dyDescent="0.25">
      <c r="M4401" s="274"/>
    </row>
    <row r="4402" spans="13:13" ht="15" customHeight="1" x14ac:dyDescent="0.25">
      <c r="M4402" s="274"/>
    </row>
    <row r="4403" spans="13:13" ht="15" customHeight="1" x14ac:dyDescent="0.25">
      <c r="M4403" s="274"/>
    </row>
    <row r="4404" spans="13:13" ht="15" customHeight="1" x14ac:dyDescent="0.25">
      <c r="M4404" s="274"/>
    </row>
    <row r="4405" spans="13:13" ht="15" customHeight="1" x14ac:dyDescent="0.25">
      <c r="M4405" s="274"/>
    </row>
    <row r="4406" spans="13:13" ht="15" customHeight="1" x14ac:dyDescent="0.25">
      <c r="M4406" s="274"/>
    </row>
    <row r="4407" spans="13:13" ht="15" customHeight="1" x14ac:dyDescent="0.25">
      <c r="M4407" s="274"/>
    </row>
    <row r="4408" spans="13:13" ht="15" customHeight="1" x14ac:dyDescent="0.25">
      <c r="M4408" s="274"/>
    </row>
    <row r="4409" spans="13:13" ht="15" customHeight="1" x14ac:dyDescent="0.25">
      <c r="M4409" s="274"/>
    </row>
    <row r="4410" spans="13:13" ht="15" customHeight="1" x14ac:dyDescent="0.25">
      <c r="M4410" s="274"/>
    </row>
    <row r="4411" spans="13:13" ht="15" customHeight="1" x14ac:dyDescent="0.25">
      <c r="M4411" s="274"/>
    </row>
    <row r="4412" spans="13:13" ht="15" customHeight="1" x14ac:dyDescent="0.25">
      <c r="M4412" s="274"/>
    </row>
    <row r="4413" spans="13:13" ht="15" customHeight="1" x14ac:dyDescent="0.25">
      <c r="M4413" s="274"/>
    </row>
    <row r="4414" spans="13:13" ht="15" customHeight="1" x14ac:dyDescent="0.25">
      <c r="M4414" s="274"/>
    </row>
    <row r="4415" spans="13:13" ht="15" customHeight="1" x14ac:dyDescent="0.25">
      <c r="M4415" s="274"/>
    </row>
    <row r="4416" spans="13:13" ht="15" customHeight="1" x14ac:dyDescent="0.25">
      <c r="M4416" s="274"/>
    </row>
    <row r="4417" spans="13:13" ht="15" customHeight="1" x14ac:dyDescent="0.25">
      <c r="M4417" s="274"/>
    </row>
    <row r="4418" spans="13:13" ht="15" customHeight="1" x14ac:dyDescent="0.25">
      <c r="M4418" s="274"/>
    </row>
    <row r="4419" spans="13:13" ht="15" customHeight="1" x14ac:dyDescent="0.25">
      <c r="M4419" s="274"/>
    </row>
    <row r="4420" spans="13:13" ht="15" customHeight="1" x14ac:dyDescent="0.25">
      <c r="M4420" s="274"/>
    </row>
    <row r="4421" spans="13:13" ht="15" customHeight="1" x14ac:dyDescent="0.25">
      <c r="M4421" s="274"/>
    </row>
    <row r="4422" spans="13:13" ht="15" customHeight="1" x14ac:dyDescent="0.25">
      <c r="M4422" s="274"/>
    </row>
    <row r="4423" spans="13:13" ht="15" customHeight="1" x14ac:dyDescent="0.25">
      <c r="M4423" s="274"/>
    </row>
    <row r="4424" spans="13:13" ht="15" customHeight="1" x14ac:dyDescent="0.25">
      <c r="M4424" s="274"/>
    </row>
    <row r="4425" spans="13:13" ht="15" customHeight="1" x14ac:dyDescent="0.25">
      <c r="M4425" s="274"/>
    </row>
    <row r="4426" spans="13:13" ht="15" customHeight="1" x14ac:dyDescent="0.25">
      <c r="M4426" s="274"/>
    </row>
    <row r="4427" spans="13:13" ht="15" customHeight="1" x14ac:dyDescent="0.25">
      <c r="M4427" s="274"/>
    </row>
    <row r="4428" spans="13:13" ht="15" customHeight="1" x14ac:dyDescent="0.25">
      <c r="M4428" s="274"/>
    </row>
    <row r="4429" spans="13:13" ht="15" customHeight="1" x14ac:dyDescent="0.25">
      <c r="M4429" s="274"/>
    </row>
    <row r="4430" spans="13:13" ht="15" customHeight="1" x14ac:dyDescent="0.25">
      <c r="M4430" s="274"/>
    </row>
    <row r="4431" spans="13:13" ht="15" customHeight="1" x14ac:dyDescent="0.25">
      <c r="M4431" s="274"/>
    </row>
    <row r="4432" spans="13:13" ht="15" customHeight="1" x14ac:dyDescent="0.25">
      <c r="M4432" s="274"/>
    </row>
    <row r="4433" spans="13:13" ht="15" customHeight="1" x14ac:dyDescent="0.25">
      <c r="M4433" s="274"/>
    </row>
    <row r="4434" spans="13:13" ht="15" customHeight="1" x14ac:dyDescent="0.25">
      <c r="M4434" s="274"/>
    </row>
    <row r="4435" spans="13:13" ht="15" customHeight="1" x14ac:dyDescent="0.25">
      <c r="M4435" s="274"/>
    </row>
    <row r="4436" spans="13:13" ht="15" customHeight="1" x14ac:dyDescent="0.25">
      <c r="M4436" s="274"/>
    </row>
    <row r="4437" spans="13:13" ht="15" customHeight="1" x14ac:dyDescent="0.25">
      <c r="M4437" s="274"/>
    </row>
    <row r="4438" spans="13:13" ht="15" customHeight="1" x14ac:dyDescent="0.25">
      <c r="M4438" s="274"/>
    </row>
    <row r="4439" spans="13:13" ht="15" customHeight="1" x14ac:dyDescent="0.25">
      <c r="M4439" s="274"/>
    </row>
    <row r="4440" spans="13:13" ht="15" customHeight="1" x14ac:dyDescent="0.25">
      <c r="M4440" s="274"/>
    </row>
    <row r="4441" spans="13:13" ht="15" customHeight="1" x14ac:dyDescent="0.25">
      <c r="M4441" s="274"/>
    </row>
    <row r="4442" spans="13:13" ht="15" customHeight="1" x14ac:dyDescent="0.25">
      <c r="M4442" s="274"/>
    </row>
    <row r="4443" spans="13:13" ht="15" customHeight="1" x14ac:dyDescent="0.25">
      <c r="M4443" s="274"/>
    </row>
    <row r="4444" spans="13:13" ht="15" customHeight="1" x14ac:dyDescent="0.25">
      <c r="M4444" s="274"/>
    </row>
    <row r="4445" spans="13:13" ht="15" customHeight="1" x14ac:dyDescent="0.25">
      <c r="M4445" s="274"/>
    </row>
    <row r="4446" spans="13:13" ht="15" customHeight="1" x14ac:dyDescent="0.25">
      <c r="M4446" s="274"/>
    </row>
    <row r="4447" spans="13:13" ht="15" customHeight="1" x14ac:dyDescent="0.25">
      <c r="M4447" s="274"/>
    </row>
    <row r="4448" spans="13:13" ht="15" customHeight="1" x14ac:dyDescent="0.25">
      <c r="M4448" s="274"/>
    </row>
    <row r="4449" spans="13:13" ht="15" customHeight="1" x14ac:dyDescent="0.25">
      <c r="M4449" s="274"/>
    </row>
    <row r="4450" spans="13:13" ht="15" customHeight="1" x14ac:dyDescent="0.25">
      <c r="M4450" s="274"/>
    </row>
    <row r="4451" spans="13:13" ht="15" customHeight="1" x14ac:dyDescent="0.25">
      <c r="M4451" s="274"/>
    </row>
    <row r="4452" spans="13:13" ht="15" customHeight="1" x14ac:dyDescent="0.25">
      <c r="M4452" s="274"/>
    </row>
    <row r="4453" spans="13:13" ht="15" customHeight="1" x14ac:dyDescent="0.25">
      <c r="M4453" s="274"/>
    </row>
    <row r="4454" spans="13:13" ht="15" customHeight="1" x14ac:dyDescent="0.25">
      <c r="M4454" s="274"/>
    </row>
    <row r="4455" spans="13:13" ht="15" customHeight="1" x14ac:dyDescent="0.25">
      <c r="M4455" s="274"/>
    </row>
    <row r="4456" spans="13:13" ht="15" customHeight="1" x14ac:dyDescent="0.25">
      <c r="M4456" s="274"/>
    </row>
    <row r="4457" spans="13:13" ht="15" customHeight="1" x14ac:dyDescent="0.25">
      <c r="M4457" s="274"/>
    </row>
    <row r="4458" spans="13:13" ht="15" customHeight="1" x14ac:dyDescent="0.25">
      <c r="M4458" s="274"/>
    </row>
    <row r="4459" spans="13:13" ht="15" customHeight="1" x14ac:dyDescent="0.25">
      <c r="M4459" s="274"/>
    </row>
    <row r="4460" spans="13:13" ht="15" customHeight="1" x14ac:dyDescent="0.25">
      <c r="M4460" s="274"/>
    </row>
    <row r="4461" spans="13:13" ht="15" customHeight="1" x14ac:dyDescent="0.25">
      <c r="M4461" s="274"/>
    </row>
    <row r="4462" spans="13:13" ht="15" customHeight="1" x14ac:dyDescent="0.25">
      <c r="M4462" s="274"/>
    </row>
    <row r="4463" spans="13:13" ht="15" customHeight="1" x14ac:dyDescent="0.25">
      <c r="M4463" s="274"/>
    </row>
    <row r="4464" spans="13:13" ht="15" customHeight="1" x14ac:dyDescent="0.25">
      <c r="M4464" s="274"/>
    </row>
    <row r="4465" spans="13:13" ht="15" customHeight="1" x14ac:dyDescent="0.25">
      <c r="M4465" s="274"/>
    </row>
    <row r="4466" spans="13:13" ht="15" customHeight="1" x14ac:dyDescent="0.25">
      <c r="M4466" s="274"/>
    </row>
    <row r="4467" spans="13:13" ht="15" customHeight="1" x14ac:dyDescent="0.25">
      <c r="M4467" s="274"/>
    </row>
    <row r="4468" spans="13:13" ht="15" customHeight="1" x14ac:dyDescent="0.25">
      <c r="M4468" s="274"/>
    </row>
    <row r="4469" spans="13:13" ht="15" customHeight="1" x14ac:dyDescent="0.25">
      <c r="M4469" s="274"/>
    </row>
    <row r="4470" spans="13:13" ht="15" customHeight="1" x14ac:dyDescent="0.25">
      <c r="M4470" s="274"/>
    </row>
    <row r="4471" spans="13:13" ht="15" customHeight="1" x14ac:dyDescent="0.25">
      <c r="M4471" s="274"/>
    </row>
    <row r="4472" spans="13:13" ht="15" customHeight="1" x14ac:dyDescent="0.25">
      <c r="M4472" s="274"/>
    </row>
    <row r="4473" spans="13:13" ht="15" customHeight="1" x14ac:dyDescent="0.25">
      <c r="M4473" s="274"/>
    </row>
    <row r="4474" spans="13:13" ht="15" customHeight="1" x14ac:dyDescent="0.25">
      <c r="M4474" s="274"/>
    </row>
    <row r="4475" spans="13:13" ht="15" customHeight="1" x14ac:dyDescent="0.25">
      <c r="M4475" s="274"/>
    </row>
    <row r="4476" spans="13:13" ht="15" customHeight="1" x14ac:dyDescent="0.25">
      <c r="M4476" s="274"/>
    </row>
    <row r="4477" spans="13:13" ht="15" customHeight="1" x14ac:dyDescent="0.25">
      <c r="M4477" s="274"/>
    </row>
    <row r="4478" spans="13:13" ht="15" customHeight="1" x14ac:dyDescent="0.25">
      <c r="M4478" s="274"/>
    </row>
    <row r="4479" spans="13:13" ht="15" customHeight="1" x14ac:dyDescent="0.25">
      <c r="M4479" s="274"/>
    </row>
    <row r="4480" spans="13:13" ht="15" customHeight="1" x14ac:dyDescent="0.25">
      <c r="M4480" s="274"/>
    </row>
    <row r="4481" spans="13:13" ht="15" customHeight="1" x14ac:dyDescent="0.25">
      <c r="M4481" s="274"/>
    </row>
    <row r="4482" spans="13:13" ht="15" customHeight="1" x14ac:dyDescent="0.25">
      <c r="M4482" s="274"/>
    </row>
    <row r="4483" spans="13:13" ht="15" customHeight="1" x14ac:dyDescent="0.25">
      <c r="M4483" s="274"/>
    </row>
    <row r="4484" spans="13:13" ht="15" customHeight="1" x14ac:dyDescent="0.25">
      <c r="M4484" s="274"/>
    </row>
    <row r="4485" spans="13:13" ht="15" customHeight="1" x14ac:dyDescent="0.25">
      <c r="M4485" s="274"/>
    </row>
    <row r="4486" spans="13:13" ht="15" customHeight="1" x14ac:dyDescent="0.25">
      <c r="M4486" s="274"/>
    </row>
    <row r="4487" spans="13:13" ht="15" customHeight="1" x14ac:dyDescent="0.25">
      <c r="M4487" s="274"/>
    </row>
    <row r="4488" spans="13:13" ht="15" customHeight="1" x14ac:dyDescent="0.25">
      <c r="M4488" s="274"/>
    </row>
    <row r="4489" spans="13:13" ht="15" customHeight="1" x14ac:dyDescent="0.25">
      <c r="M4489" s="274"/>
    </row>
    <row r="4490" spans="13:13" ht="15" customHeight="1" x14ac:dyDescent="0.25">
      <c r="M4490" s="274"/>
    </row>
    <row r="4491" spans="13:13" ht="15" customHeight="1" x14ac:dyDescent="0.25">
      <c r="M4491" s="274"/>
    </row>
    <row r="4492" spans="13:13" ht="15" customHeight="1" x14ac:dyDescent="0.25">
      <c r="M4492" s="274"/>
    </row>
    <row r="4493" spans="13:13" ht="15" customHeight="1" x14ac:dyDescent="0.25">
      <c r="M4493" s="274"/>
    </row>
    <row r="4494" spans="13:13" ht="15" customHeight="1" x14ac:dyDescent="0.25">
      <c r="M4494" s="274"/>
    </row>
    <row r="4495" spans="13:13" ht="15" customHeight="1" x14ac:dyDescent="0.25">
      <c r="M4495" s="274"/>
    </row>
    <row r="4496" spans="13:13" ht="15" customHeight="1" x14ac:dyDescent="0.25">
      <c r="M4496" s="274"/>
    </row>
    <row r="4497" spans="13:13" ht="15" customHeight="1" x14ac:dyDescent="0.25">
      <c r="M4497" s="274"/>
    </row>
    <row r="4498" spans="13:13" ht="15" customHeight="1" x14ac:dyDescent="0.25">
      <c r="M4498" s="274"/>
    </row>
    <row r="4499" spans="13:13" ht="15" customHeight="1" x14ac:dyDescent="0.25">
      <c r="M4499" s="274"/>
    </row>
    <row r="4500" spans="13:13" ht="15" customHeight="1" x14ac:dyDescent="0.25">
      <c r="M4500" s="274"/>
    </row>
    <row r="4501" spans="13:13" ht="15" customHeight="1" x14ac:dyDescent="0.25">
      <c r="M4501" s="274"/>
    </row>
    <row r="4502" spans="13:13" ht="15" customHeight="1" x14ac:dyDescent="0.25">
      <c r="M4502" s="274"/>
    </row>
    <row r="4503" spans="13:13" ht="15" customHeight="1" x14ac:dyDescent="0.25">
      <c r="M4503" s="274"/>
    </row>
    <row r="4504" spans="13:13" ht="15" customHeight="1" x14ac:dyDescent="0.25">
      <c r="M4504" s="274"/>
    </row>
    <row r="4505" spans="13:13" ht="15" customHeight="1" x14ac:dyDescent="0.25">
      <c r="M4505" s="274"/>
    </row>
    <row r="4506" spans="13:13" ht="15" customHeight="1" x14ac:dyDescent="0.25">
      <c r="M4506" s="274"/>
    </row>
    <row r="4507" spans="13:13" ht="15" customHeight="1" x14ac:dyDescent="0.25">
      <c r="M4507" s="274"/>
    </row>
    <row r="4508" spans="13:13" ht="15" customHeight="1" x14ac:dyDescent="0.25">
      <c r="M4508" s="274"/>
    </row>
    <row r="4509" spans="13:13" ht="15" customHeight="1" x14ac:dyDescent="0.25">
      <c r="M4509" s="274"/>
    </row>
    <row r="4510" spans="13:13" ht="15" customHeight="1" x14ac:dyDescent="0.25">
      <c r="M4510" s="274"/>
    </row>
    <row r="4511" spans="13:13" ht="15" customHeight="1" x14ac:dyDescent="0.25">
      <c r="M4511" s="274"/>
    </row>
    <row r="4512" spans="13:13" ht="15" customHeight="1" x14ac:dyDescent="0.25">
      <c r="M4512" s="274"/>
    </row>
    <row r="4513" spans="13:13" ht="15" customHeight="1" x14ac:dyDescent="0.25">
      <c r="M4513" s="274"/>
    </row>
    <row r="4514" spans="13:13" ht="15" customHeight="1" x14ac:dyDescent="0.25">
      <c r="M4514" s="274"/>
    </row>
    <row r="4515" spans="13:13" ht="15" customHeight="1" x14ac:dyDescent="0.25">
      <c r="M4515" s="274"/>
    </row>
    <row r="4516" spans="13:13" ht="15" customHeight="1" x14ac:dyDescent="0.25">
      <c r="M4516" s="274"/>
    </row>
    <row r="4517" spans="13:13" ht="15" customHeight="1" x14ac:dyDescent="0.25">
      <c r="M4517" s="274"/>
    </row>
    <row r="4518" spans="13:13" ht="15" customHeight="1" x14ac:dyDescent="0.25">
      <c r="M4518" s="274"/>
    </row>
    <row r="4519" spans="13:13" ht="15" customHeight="1" x14ac:dyDescent="0.25">
      <c r="M4519" s="274"/>
    </row>
    <row r="4520" spans="13:13" ht="15" customHeight="1" x14ac:dyDescent="0.25">
      <c r="M4520" s="274"/>
    </row>
    <row r="4521" spans="13:13" ht="15" customHeight="1" x14ac:dyDescent="0.25">
      <c r="M4521" s="274"/>
    </row>
    <row r="4522" spans="13:13" ht="15" customHeight="1" x14ac:dyDescent="0.25">
      <c r="M4522" s="274"/>
    </row>
    <row r="4523" spans="13:13" ht="15" customHeight="1" x14ac:dyDescent="0.25">
      <c r="M4523" s="274"/>
    </row>
    <row r="4524" spans="13:13" ht="15" customHeight="1" x14ac:dyDescent="0.25">
      <c r="M4524" s="274"/>
    </row>
    <row r="4525" spans="13:13" ht="15" customHeight="1" x14ac:dyDescent="0.25">
      <c r="M4525" s="274"/>
    </row>
    <row r="4526" spans="13:13" ht="15" customHeight="1" x14ac:dyDescent="0.25">
      <c r="M4526" s="274"/>
    </row>
    <row r="4527" spans="13:13" ht="15" customHeight="1" x14ac:dyDescent="0.25">
      <c r="M4527" s="274"/>
    </row>
    <row r="4528" spans="13:13" ht="15" customHeight="1" x14ac:dyDescent="0.25">
      <c r="M4528" s="274"/>
    </row>
    <row r="4529" spans="13:13" ht="15" customHeight="1" x14ac:dyDescent="0.25">
      <c r="M4529" s="274"/>
    </row>
    <row r="4530" spans="13:13" ht="15" customHeight="1" x14ac:dyDescent="0.25">
      <c r="M4530" s="274"/>
    </row>
    <row r="4531" spans="13:13" ht="15" customHeight="1" x14ac:dyDescent="0.25">
      <c r="M4531" s="274"/>
    </row>
    <row r="4532" spans="13:13" ht="15" customHeight="1" x14ac:dyDescent="0.25">
      <c r="M4532" s="274"/>
    </row>
    <row r="4533" spans="13:13" ht="15" customHeight="1" x14ac:dyDescent="0.25">
      <c r="M4533" s="274"/>
    </row>
    <row r="4534" spans="13:13" ht="15" customHeight="1" x14ac:dyDescent="0.25">
      <c r="M4534" s="274"/>
    </row>
    <row r="4535" spans="13:13" ht="15" customHeight="1" x14ac:dyDescent="0.25">
      <c r="M4535" s="274"/>
    </row>
    <row r="4536" spans="13:13" ht="15" customHeight="1" x14ac:dyDescent="0.25">
      <c r="M4536" s="274"/>
    </row>
    <row r="4537" spans="13:13" ht="15" customHeight="1" x14ac:dyDescent="0.25">
      <c r="M4537" s="274"/>
    </row>
    <row r="4538" spans="13:13" ht="15" customHeight="1" x14ac:dyDescent="0.25">
      <c r="M4538" s="274"/>
    </row>
    <row r="4539" spans="13:13" ht="15" customHeight="1" x14ac:dyDescent="0.25">
      <c r="M4539" s="274"/>
    </row>
    <row r="4540" spans="13:13" ht="15" customHeight="1" x14ac:dyDescent="0.25">
      <c r="M4540" s="274"/>
    </row>
    <row r="4541" spans="13:13" ht="15" customHeight="1" x14ac:dyDescent="0.25">
      <c r="M4541" s="274"/>
    </row>
    <row r="4542" spans="13:13" ht="15" customHeight="1" x14ac:dyDescent="0.25">
      <c r="M4542" s="274"/>
    </row>
    <row r="4543" spans="13:13" ht="15" customHeight="1" x14ac:dyDescent="0.25">
      <c r="M4543" s="274"/>
    </row>
    <row r="4544" spans="13:13" ht="15" customHeight="1" x14ac:dyDescent="0.25">
      <c r="M4544" s="274"/>
    </row>
    <row r="4545" spans="13:13" ht="15" customHeight="1" x14ac:dyDescent="0.25">
      <c r="M4545" s="274"/>
    </row>
    <row r="4546" spans="13:13" ht="15" customHeight="1" x14ac:dyDescent="0.25">
      <c r="M4546" s="274"/>
    </row>
    <row r="4547" spans="13:13" ht="15" customHeight="1" x14ac:dyDescent="0.25">
      <c r="M4547" s="274"/>
    </row>
    <row r="4548" spans="13:13" ht="15" customHeight="1" x14ac:dyDescent="0.25">
      <c r="M4548" s="274"/>
    </row>
    <row r="4549" spans="13:13" ht="15" customHeight="1" x14ac:dyDescent="0.25">
      <c r="M4549" s="274"/>
    </row>
    <row r="4550" spans="13:13" ht="15" customHeight="1" x14ac:dyDescent="0.25">
      <c r="M4550" s="274"/>
    </row>
    <row r="4551" spans="13:13" ht="15" customHeight="1" x14ac:dyDescent="0.25">
      <c r="M4551" s="274"/>
    </row>
    <row r="4552" spans="13:13" ht="15" customHeight="1" x14ac:dyDescent="0.25">
      <c r="M4552" s="274"/>
    </row>
    <row r="4553" spans="13:13" ht="15" customHeight="1" x14ac:dyDescent="0.25">
      <c r="M4553" s="274"/>
    </row>
    <row r="4554" spans="13:13" ht="15" customHeight="1" x14ac:dyDescent="0.25">
      <c r="M4554" s="274"/>
    </row>
    <row r="4555" spans="13:13" ht="15" customHeight="1" x14ac:dyDescent="0.25">
      <c r="M4555" s="274"/>
    </row>
    <row r="4556" spans="13:13" ht="15" customHeight="1" x14ac:dyDescent="0.25">
      <c r="M4556" s="274"/>
    </row>
    <row r="4557" spans="13:13" ht="15" customHeight="1" x14ac:dyDescent="0.25">
      <c r="M4557" s="274"/>
    </row>
    <row r="4558" spans="13:13" ht="15" customHeight="1" x14ac:dyDescent="0.25">
      <c r="M4558" s="274"/>
    </row>
    <row r="4559" spans="13:13" ht="15" customHeight="1" x14ac:dyDescent="0.25">
      <c r="M4559" s="274"/>
    </row>
    <row r="4560" spans="13:13" ht="15" customHeight="1" x14ac:dyDescent="0.25">
      <c r="M4560" s="274"/>
    </row>
    <row r="4561" spans="13:13" ht="15" customHeight="1" x14ac:dyDescent="0.25">
      <c r="M4561" s="274"/>
    </row>
    <row r="4562" spans="13:13" ht="15" customHeight="1" x14ac:dyDescent="0.25">
      <c r="M4562" s="274"/>
    </row>
    <row r="4563" spans="13:13" ht="15" customHeight="1" x14ac:dyDescent="0.25">
      <c r="M4563" s="274"/>
    </row>
    <row r="4564" spans="13:13" ht="15" customHeight="1" x14ac:dyDescent="0.25">
      <c r="M4564" s="274"/>
    </row>
    <row r="4565" spans="13:13" ht="15" customHeight="1" x14ac:dyDescent="0.25">
      <c r="M4565" s="274"/>
    </row>
    <row r="4566" spans="13:13" ht="15" customHeight="1" x14ac:dyDescent="0.25">
      <c r="M4566" s="274"/>
    </row>
    <row r="4567" spans="13:13" ht="15" customHeight="1" x14ac:dyDescent="0.25">
      <c r="M4567" s="274"/>
    </row>
    <row r="4568" spans="13:13" ht="15" customHeight="1" x14ac:dyDescent="0.25">
      <c r="M4568" s="274"/>
    </row>
    <row r="4569" spans="13:13" ht="15" customHeight="1" x14ac:dyDescent="0.25">
      <c r="M4569" s="274"/>
    </row>
    <row r="4570" spans="13:13" ht="15" customHeight="1" x14ac:dyDescent="0.25">
      <c r="M4570" s="274"/>
    </row>
    <row r="4571" spans="13:13" ht="15" customHeight="1" x14ac:dyDescent="0.25">
      <c r="M4571" s="274"/>
    </row>
    <row r="4572" spans="13:13" ht="15" customHeight="1" x14ac:dyDescent="0.25">
      <c r="M4572" s="274"/>
    </row>
    <row r="4573" spans="13:13" ht="15" customHeight="1" x14ac:dyDescent="0.25">
      <c r="M4573" s="274"/>
    </row>
    <row r="4574" spans="13:13" ht="15" customHeight="1" x14ac:dyDescent="0.25">
      <c r="M4574" s="274"/>
    </row>
    <row r="4575" spans="13:13" ht="15" customHeight="1" x14ac:dyDescent="0.25">
      <c r="M4575" s="274"/>
    </row>
    <row r="4576" spans="13:13" ht="15" customHeight="1" x14ac:dyDescent="0.25">
      <c r="M4576" s="274"/>
    </row>
    <row r="4577" spans="13:13" ht="15" customHeight="1" x14ac:dyDescent="0.25">
      <c r="M4577" s="274"/>
    </row>
    <row r="4578" spans="13:13" ht="15" customHeight="1" x14ac:dyDescent="0.25">
      <c r="M4578" s="274"/>
    </row>
    <row r="4579" spans="13:13" ht="15" customHeight="1" x14ac:dyDescent="0.25">
      <c r="M4579" s="274"/>
    </row>
    <row r="4580" spans="13:13" ht="15" customHeight="1" x14ac:dyDescent="0.25">
      <c r="M4580" s="274"/>
    </row>
    <row r="4581" spans="13:13" ht="15" customHeight="1" x14ac:dyDescent="0.25">
      <c r="M4581" s="274"/>
    </row>
    <row r="4582" spans="13:13" ht="15" customHeight="1" x14ac:dyDescent="0.25">
      <c r="M4582" s="274"/>
    </row>
    <row r="4583" spans="13:13" ht="15" customHeight="1" x14ac:dyDescent="0.25">
      <c r="M4583" s="274"/>
    </row>
    <row r="4584" spans="13:13" ht="15" customHeight="1" x14ac:dyDescent="0.25">
      <c r="M4584" s="274"/>
    </row>
    <row r="4585" spans="13:13" ht="15" customHeight="1" x14ac:dyDescent="0.25">
      <c r="M4585" s="274"/>
    </row>
    <row r="4586" spans="13:13" ht="15" customHeight="1" x14ac:dyDescent="0.25">
      <c r="M4586" s="274"/>
    </row>
    <row r="4587" spans="13:13" ht="15" customHeight="1" x14ac:dyDescent="0.25">
      <c r="M4587" s="274"/>
    </row>
    <row r="4588" spans="13:13" ht="15" customHeight="1" x14ac:dyDescent="0.25">
      <c r="M4588" s="274"/>
    </row>
    <row r="4589" spans="13:13" ht="15" customHeight="1" x14ac:dyDescent="0.25">
      <c r="M4589" s="274"/>
    </row>
    <row r="4590" spans="13:13" ht="15" customHeight="1" x14ac:dyDescent="0.25">
      <c r="M4590" s="274"/>
    </row>
    <row r="4591" spans="13:13" ht="15" customHeight="1" x14ac:dyDescent="0.25">
      <c r="M4591" s="274"/>
    </row>
    <row r="4592" spans="13:13" ht="15" customHeight="1" x14ac:dyDescent="0.25">
      <c r="M4592" s="274"/>
    </row>
    <row r="4593" spans="13:13" ht="15" customHeight="1" x14ac:dyDescent="0.25">
      <c r="M4593" s="274"/>
    </row>
    <row r="4594" spans="13:13" ht="15" customHeight="1" x14ac:dyDescent="0.25">
      <c r="M4594" s="274"/>
    </row>
    <row r="4595" spans="13:13" ht="15" customHeight="1" x14ac:dyDescent="0.25">
      <c r="M4595" s="274"/>
    </row>
    <row r="4596" spans="13:13" ht="15" customHeight="1" x14ac:dyDescent="0.25">
      <c r="M4596" s="274"/>
    </row>
    <row r="4597" spans="13:13" ht="15" customHeight="1" x14ac:dyDescent="0.25">
      <c r="M4597" s="274"/>
    </row>
    <row r="4598" spans="13:13" ht="15" customHeight="1" x14ac:dyDescent="0.25">
      <c r="M4598" s="274"/>
    </row>
    <row r="4599" spans="13:13" ht="15" customHeight="1" x14ac:dyDescent="0.25">
      <c r="M4599" s="274"/>
    </row>
    <row r="4600" spans="13:13" ht="15" customHeight="1" x14ac:dyDescent="0.25">
      <c r="M4600" s="274"/>
    </row>
    <row r="4601" spans="13:13" ht="15" customHeight="1" x14ac:dyDescent="0.25">
      <c r="M4601" s="274"/>
    </row>
    <row r="4602" spans="13:13" ht="15" customHeight="1" x14ac:dyDescent="0.25">
      <c r="M4602" s="274"/>
    </row>
    <row r="4603" spans="13:13" ht="15" customHeight="1" x14ac:dyDescent="0.25">
      <c r="M4603" s="274"/>
    </row>
    <row r="4604" spans="13:13" ht="15" customHeight="1" x14ac:dyDescent="0.25">
      <c r="M4604" s="274"/>
    </row>
    <row r="4605" spans="13:13" ht="15" customHeight="1" x14ac:dyDescent="0.25">
      <c r="M4605" s="274"/>
    </row>
    <row r="4606" spans="13:13" ht="15" customHeight="1" x14ac:dyDescent="0.25">
      <c r="M4606" s="274"/>
    </row>
    <row r="4607" spans="13:13" ht="15" customHeight="1" x14ac:dyDescent="0.25">
      <c r="M4607" s="274"/>
    </row>
    <row r="4608" spans="13:13" ht="15" customHeight="1" x14ac:dyDescent="0.25">
      <c r="M4608" s="274"/>
    </row>
    <row r="4609" spans="13:13" ht="15" customHeight="1" x14ac:dyDescent="0.25">
      <c r="M4609" s="274"/>
    </row>
    <row r="4610" spans="13:13" ht="15" customHeight="1" x14ac:dyDescent="0.25">
      <c r="M4610" s="274"/>
    </row>
    <row r="4611" spans="13:13" ht="15" customHeight="1" x14ac:dyDescent="0.25">
      <c r="M4611" s="274"/>
    </row>
    <row r="4612" spans="13:13" ht="15" customHeight="1" x14ac:dyDescent="0.25">
      <c r="M4612" s="274"/>
    </row>
    <row r="4613" spans="13:13" ht="15" customHeight="1" x14ac:dyDescent="0.25">
      <c r="M4613" s="274"/>
    </row>
    <row r="4614" spans="13:13" ht="15" customHeight="1" x14ac:dyDescent="0.25">
      <c r="M4614" s="274"/>
    </row>
    <row r="4615" spans="13:13" ht="15" customHeight="1" x14ac:dyDescent="0.25">
      <c r="M4615" s="274"/>
    </row>
    <row r="4616" spans="13:13" ht="15" customHeight="1" x14ac:dyDescent="0.25">
      <c r="M4616" s="274"/>
    </row>
    <row r="4617" spans="13:13" ht="15" customHeight="1" x14ac:dyDescent="0.25">
      <c r="M4617" s="274"/>
    </row>
    <row r="4618" spans="13:13" ht="15" customHeight="1" x14ac:dyDescent="0.25">
      <c r="M4618" s="274"/>
    </row>
    <row r="4619" spans="13:13" ht="15" customHeight="1" x14ac:dyDescent="0.25">
      <c r="M4619" s="274"/>
    </row>
    <row r="4620" spans="13:13" ht="15" customHeight="1" x14ac:dyDescent="0.25">
      <c r="M4620" s="274"/>
    </row>
    <row r="4621" spans="13:13" ht="15" customHeight="1" x14ac:dyDescent="0.25">
      <c r="M4621" s="274"/>
    </row>
    <row r="4622" spans="13:13" ht="15" customHeight="1" x14ac:dyDescent="0.25">
      <c r="M4622" s="274"/>
    </row>
    <row r="4623" spans="13:13" ht="15" customHeight="1" x14ac:dyDescent="0.25">
      <c r="M4623" s="274"/>
    </row>
    <row r="4624" spans="13:13" ht="15" customHeight="1" x14ac:dyDescent="0.25">
      <c r="M4624" s="274"/>
    </row>
    <row r="4625" spans="13:13" ht="15" customHeight="1" x14ac:dyDescent="0.25">
      <c r="M4625" s="274"/>
    </row>
    <row r="4626" spans="13:13" ht="15" customHeight="1" x14ac:dyDescent="0.25">
      <c r="M4626" s="274"/>
    </row>
    <row r="4627" spans="13:13" ht="15" customHeight="1" x14ac:dyDescent="0.25">
      <c r="M4627" s="274"/>
    </row>
    <row r="4628" spans="13:13" ht="15" customHeight="1" x14ac:dyDescent="0.25">
      <c r="M4628" s="274"/>
    </row>
    <row r="4629" spans="13:13" ht="15" customHeight="1" x14ac:dyDescent="0.25">
      <c r="M4629" s="274"/>
    </row>
    <row r="4630" spans="13:13" ht="15" customHeight="1" x14ac:dyDescent="0.25">
      <c r="M4630" s="274"/>
    </row>
    <row r="4631" spans="13:13" ht="15" customHeight="1" x14ac:dyDescent="0.25">
      <c r="M4631" s="274"/>
    </row>
    <row r="4632" spans="13:13" ht="15" customHeight="1" x14ac:dyDescent="0.25">
      <c r="M4632" s="274"/>
    </row>
    <row r="4633" spans="13:13" ht="15" customHeight="1" x14ac:dyDescent="0.25">
      <c r="M4633" s="274"/>
    </row>
    <row r="4634" spans="13:13" ht="15" customHeight="1" x14ac:dyDescent="0.25">
      <c r="M4634" s="274"/>
    </row>
    <row r="4635" spans="13:13" ht="15" customHeight="1" x14ac:dyDescent="0.25">
      <c r="M4635" s="274"/>
    </row>
    <row r="4636" spans="13:13" ht="15" customHeight="1" x14ac:dyDescent="0.25">
      <c r="M4636" s="274"/>
    </row>
    <row r="4637" spans="13:13" ht="15" customHeight="1" x14ac:dyDescent="0.25">
      <c r="M4637" s="274"/>
    </row>
    <row r="4638" spans="13:13" ht="15" customHeight="1" x14ac:dyDescent="0.25">
      <c r="M4638" s="274"/>
    </row>
    <row r="4639" spans="13:13" ht="15" customHeight="1" x14ac:dyDescent="0.25">
      <c r="M4639" s="274"/>
    </row>
    <row r="4640" spans="13:13" ht="15" customHeight="1" x14ac:dyDescent="0.25">
      <c r="M4640" s="274"/>
    </row>
    <row r="4641" spans="13:13" ht="15" customHeight="1" x14ac:dyDescent="0.25">
      <c r="M4641" s="274"/>
    </row>
    <row r="4642" spans="13:13" ht="15" customHeight="1" x14ac:dyDescent="0.25">
      <c r="M4642" s="274"/>
    </row>
    <row r="4643" spans="13:13" ht="15" customHeight="1" x14ac:dyDescent="0.25">
      <c r="M4643" s="274"/>
    </row>
    <row r="4644" spans="13:13" ht="15" customHeight="1" x14ac:dyDescent="0.25">
      <c r="M4644" s="274"/>
    </row>
    <row r="4645" spans="13:13" ht="15" customHeight="1" x14ac:dyDescent="0.25">
      <c r="M4645" s="274"/>
    </row>
    <row r="4646" spans="13:13" ht="15" customHeight="1" x14ac:dyDescent="0.25">
      <c r="M4646" s="274"/>
    </row>
    <row r="4647" spans="13:13" ht="15" customHeight="1" x14ac:dyDescent="0.25">
      <c r="M4647" s="274"/>
    </row>
    <row r="4648" spans="13:13" ht="15" customHeight="1" x14ac:dyDescent="0.25">
      <c r="M4648" s="274"/>
    </row>
    <row r="4649" spans="13:13" ht="15" customHeight="1" x14ac:dyDescent="0.25">
      <c r="M4649" s="274"/>
    </row>
    <row r="4650" spans="13:13" ht="15" customHeight="1" x14ac:dyDescent="0.25">
      <c r="M4650" s="274"/>
    </row>
    <row r="4651" spans="13:13" ht="15" customHeight="1" x14ac:dyDescent="0.25">
      <c r="M4651" s="274"/>
    </row>
    <row r="4652" spans="13:13" ht="15" customHeight="1" x14ac:dyDescent="0.25">
      <c r="M4652" s="274"/>
    </row>
    <row r="4653" spans="13:13" ht="15" customHeight="1" x14ac:dyDescent="0.25">
      <c r="M4653" s="274"/>
    </row>
    <row r="4654" spans="13:13" ht="15" customHeight="1" x14ac:dyDescent="0.25">
      <c r="M4654" s="274"/>
    </row>
    <row r="4655" spans="13:13" ht="15" customHeight="1" x14ac:dyDescent="0.25">
      <c r="M4655" s="274"/>
    </row>
    <row r="4656" spans="13:13" ht="15" customHeight="1" x14ac:dyDescent="0.25">
      <c r="M4656" s="274"/>
    </row>
    <row r="4657" spans="13:13" ht="15" customHeight="1" x14ac:dyDescent="0.25">
      <c r="M4657" s="274"/>
    </row>
    <row r="4658" spans="13:13" ht="15" customHeight="1" x14ac:dyDescent="0.25">
      <c r="M4658" s="274"/>
    </row>
    <row r="4659" spans="13:13" ht="15" customHeight="1" x14ac:dyDescent="0.25">
      <c r="M4659" s="274"/>
    </row>
    <row r="4660" spans="13:13" ht="15" customHeight="1" x14ac:dyDescent="0.25">
      <c r="M4660" s="274"/>
    </row>
    <row r="4661" spans="13:13" ht="15" customHeight="1" x14ac:dyDescent="0.25">
      <c r="M4661" s="274"/>
    </row>
    <row r="4662" spans="13:13" ht="15" customHeight="1" x14ac:dyDescent="0.25">
      <c r="M4662" s="274"/>
    </row>
    <row r="4663" spans="13:13" ht="15" customHeight="1" x14ac:dyDescent="0.25">
      <c r="M4663" s="274"/>
    </row>
    <row r="4664" spans="13:13" ht="15" customHeight="1" x14ac:dyDescent="0.25">
      <c r="M4664" s="274"/>
    </row>
    <row r="4665" spans="13:13" ht="15" customHeight="1" x14ac:dyDescent="0.25">
      <c r="M4665" s="274"/>
    </row>
    <row r="4666" spans="13:13" ht="15" customHeight="1" x14ac:dyDescent="0.25">
      <c r="M4666" s="274"/>
    </row>
    <row r="4667" spans="13:13" ht="15" customHeight="1" x14ac:dyDescent="0.25">
      <c r="M4667" s="274"/>
    </row>
    <row r="4668" spans="13:13" ht="15" customHeight="1" x14ac:dyDescent="0.25">
      <c r="M4668" s="274"/>
    </row>
    <row r="4669" spans="13:13" ht="15" customHeight="1" x14ac:dyDescent="0.25">
      <c r="M4669" s="274"/>
    </row>
    <row r="4670" spans="13:13" ht="15" customHeight="1" x14ac:dyDescent="0.25">
      <c r="M4670" s="274"/>
    </row>
    <row r="4671" spans="13:13" ht="15" customHeight="1" x14ac:dyDescent="0.25">
      <c r="M4671" s="274"/>
    </row>
    <row r="4672" spans="13:13" ht="15" customHeight="1" x14ac:dyDescent="0.25">
      <c r="M4672" s="274"/>
    </row>
    <row r="4673" spans="13:13" ht="15" customHeight="1" x14ac:dyDescent="0.25">
      <c r="M4673" s="274"/>
    </row>
    <row r="4674" spans="13:13" ht="15" customHeight="1" x14ac:dyDescent="0.25">
      <c r="M4674" s="274"/>
    </row>
    <row r="4675" spans="13:13" ht="15" customHeight="1" x14ac:dyDescent="0.25">
      <c r="M4675" s="274"/>
    </row>
    <row r="4676" spans="13:13" ht="15" customHeight="1" x14ac:dyDescent="0.25">
      <c r="M4676" s="274"/>
    </row>
    <row r="4677" spans="13:13" ht="15" customHeight="1" x14ac:dyDescent="0.25">
      <c r="M4677" s="274"/>
    </row>
    <row r="4678" spans="13:13" ht="15" customHeight="1" x14ac:dyDescent="0.25">
      <c r="M4678" s="274"/>
    </row>
    <row r="4679" spans="13:13" ht="15" customHeight="1" x14ac:dyDescent="0.25">
      <c r="M4679" s="274"/>
    </row>
    <row r="4680" spans="13:13" ht="15" customHeight="1" x14ac:dyDescent="0.25">
      <c r="M4680" s="274"/>
    </row>
    <row r="4681" spans="13:13" ht="15" customHeight="1" x14ac:dyDescent="0.25">
      <c r="M4681" s="274"/>
    </row>
    <row r="4682" spans="13:13" ht="15" customHeight="1" x14ac:dyDescent="0.25">
      <c r="M4682" s="274"/>
    </row>
    <row r="4683" spans="13:13" ht="15" customHeight="1" x14ac:dyDescent="0.25">
      <c r="M4683" s="274"/>
    </row>
    <row r="4684" spans="13:13" ht="15" customHeight="1" x14ac:dyDescent="0.25">
      <c r="M4684" s="274"/>
    </row>
    <row r="4685" spans="13:13" ht="15" customHeight="1" x14ac:dyDescent="0.25">
      <c r="M4685" s="274"/>
    </row>
    <row r="4686" spans="13:13" ht="15" customHeight="1" x14ac:dyDescent="0.25">
      <c r="M4686" s="274"/>
    </row>
    <row r="4687" spans="13:13" ht="15" customHeight="1" x14ac:dyDescent="0.25">
      <c r="M4687" s="274"/>
    </row>
    <row r="4688" spans="13:13" ht="15" customHeight="1" x14ac:dyDescent="0.25">
      <c r="M4688" s="274"/>
    </row>
    <row r="4689" spans="13:13" ht="15" customHeight="1" x14ac:dyDescent="0.25">
      <c r="M4689" s="274"/>
    </row>
    <row r="4690" spans="13:13" ht="15" customHeight="1" x14ac:dyDescent="0.25">
      <c r="M4690" s="274"/>
    </row>
    <row r="4691" spans="13:13" ht="15" customHeight="1" x14ac:dyDescent="0.25">
      <c r="M4691" s="274"/>
    </row>
    <row r="4692" spans="13:13" ht="15" customHeight="1" x14ac:dyDescent="0.25">
      <c r="M4692" s="274"/>
    </row>
    <row r="4693" spans="13:13" ht="15" customHeight="1" x14ac:dyDescent="0.25">
      <c r="M4693" s="274"/>
    </row>
    <row r="4694" spans="13:13" ht="15" customHeight="1" x14ac:dyDescent="0.25">
      <c r="M4694" s="274"/>
    </row>
    <row r="4695" spans="13:13" ht="15" customHeight="1" x14ac:dyDescent="0.25">
      <c r="M4695" s="274"/>
    </row>
    <row r="4696" spans="13:13" ht="15" customHeight="1" x14ac:dyDescent="0.25">
      <c r="M4696" s="274"/>
    </row>
    <row r="4697" spans="13:13" ht="15" customHeight="1" x14ac:dyDescent="0.25">
      <c r="M4697" s="274"/>
    </row>
    <row r="4698" spans="13:13" ht="15" customHeight="1" x14ac:dyDescent="0.25">
      <c r="M4698" s="274"/>
    </row>
    <row r="4699" spans="13:13" ht="15" customHeight="1" x14ac:dyDescent="0.25">
      <c r="M4699" s="274"/>
    </row>
    <row r="4700" spans="13:13" ht="15" customHeight="1" x14ac:dyDescent="0.25">
      <c r="M4700" s="274"/>
    </row>
    <row r="4701" spans="13:13" ht="15" customHeight="1" x14ac:dyDescent="0.25">
      <c r="M4701" s="274"/>
    </row>
    <row r="4702" spans="13:13" ht="15" customHeight="1" x14ac:dyDescent="0.25">
      <c r="M4702" s="274"/>
    </row>
    <row r="4703" spans="13:13" ht="15" customHeight="1" x14ac:dyDescent="0.25">
      <c r="M4703" s="274"/>
    </row>
    <row r="4704" spans="13:13" ht="15" customHeight="1" x14ac:dyDescent="0.25">
      <c r="M4704" s="274"/>
    </row>
    <row r="4705" spans="13:13" ht="15" customHeight="1" x14ac:dyDescent="0.25">
      <c r="M4705" s="274"/>
    </row>
    <row r="4706" spans="13:13" ht="15" customHeight="1" x14ac:dyDescent="0.25">
      <c r="M4706" s="274"/>
    </row>
    <row r="4707" spans="13:13" ht="15" customHeight="1" x14ac:dyDescent="0.25">
      <c r="M4707" s="274"/>
    </row>
    <row r="4708" spans="13:13" ht="15" customHeight="1" x14ac:dyDescent="0.25">
      <c r="M4708" s="274"/>
    </row>
    <row r="4709" spans="13:13" ht="15" customHeight="1" x14ac:dyDescent="0.25">
      <c r="M4709" s="274"/>
    </row>
    <row r="4710" spans="13:13" ht="15" customHeight="1" x14ac:dyDescent="0.25">
      <c r="M4710" s="274"/>
    </row>
    <row r="4711" spans="13:13" ht="15" customHeight="1" x14ac:dyDescent="0.25">
      <c r="M4711" s="274"/>
    </row>
    <row r="4712" spans="13:13" ht="15" customHeight="1" x14ac:dyDescent="0.25">
      <c r="M4712" s="274"/>
    </row>
    <row r="4713" spans="13:13" ht="15" customHeight="1" x14ac:dyDescent="0.25">
      <c r="M4713" s="274"/>
    </row>
    <row r="4714" spans="13:13" ht="15" customHeight="1" x14ac:dyDescent="0.25">
      <c r="M4714" s="274"/>
    </row>
    <row r="4715" spans="13:13" ht="15" customHeight="1" x14ac:dyDescent="0.25">
      <c r="M4715" s="274"/>
    </row>
    <row r="4716" spans="13:13" ht="15" customHeight="1" x14ac:dyDescent="0.25">
      <c r="M4716" s="274"/>
    </row>
    <row r="4717" spans="13:13" ht="15" customHeight="1" x14ac:dyDescent="0.25">
      <c r="M4717" s="274"/>
    </row>
    <row r="4718" spans="13:13" ht="15" customHeight="1" x14ac:dyDescent="0.25">
      <c r="M4718" s="274"/>
    </row>
    <row r="4719" spans="13:13" ht="15" customHeight="1" x14ac:dyDescent="0.25">
      <c r="M4719" s="274"/>
    </row>
    <row r="4720" spans="13:13" ht="15" customHeight="1" x14ac:dyDescent="0.25">
      <c r="M4720" s="274"/>
    </row>
    <row r="4721" spans="13:13" ht="15" customHeight="1" x14ac:dyDescent="0.25">
      <c r="M4721" s="274"/>
    </row>
    <row r="4722" spans="13:13" ht="15" customHeight="1" x14ac:dyDescent="0.25">
      <c r="M4722" s="274"/>
    </row>
    <row r="4723" spans="13:13" ht="15" customHeight="1" x14ac:dyDescent="0.25">
      <c r="M4723" s="274"/>
    </row>
    <row r="4724" spans="13:13" ht="15" customHeight="1" x14ac:dyDescent="0.25">
      <c r="M4724" s="274"/>
    </row>
    <row r="4725" spans="13:13" ht="15" customHeight="1" x14ac:dyDescent="0.25">
      <c r="M4725" s="274"/>
    </row>
    <row r="4726" spans="13:13" ht="15" customHeight="1" x14ac:dyDescent="0.25">
      <c r="M4726" s="274"/>
    </row>
    <row r="4727" spans="13:13" ht="15" customHeight="1" x14ac:dyDescent="0.25">
      <c r="M4727" s="274"/>
    </row>
    <row r="4728" spans="13:13" ht="15" customHeight="1" x14ac:dyDescent="0.25">
      <c r="M4728" s="274"/>
    </row>
    <row r="4729" spans="13:13" ht="15" customHeight="1" x14ac:dyDescent="0.25">
      <c r="M4729" s="274"/>
    </row>
    <row r="4730" spans="13:13" ht="15" customHeight="1" x14ac:dyDescent="0.25">
      <c r="M4730" s="274"/>
    </row>
    <row r="4731" spans="13:13" ht="15" customHeight="1" x14ac:dyDescent="0.25">
      <c r="M4731" s="274"/>
    </row>
    <row r="4732" spans="13:13" ht="15" customHeight="1" x14ac:dyDescent="0.25">
      <c r="M4732" s="274"/>
    </row>
    <row r="4733" spans="13:13" ht="15" customHeight="1" x14ac:dyDescent="0.25">
      <c r="M4733" s="274"/>
    </row>
    <row r="4734" spans="13:13" ht="15" customHeight="1" x14ac:dyDescent="0.25">
      <c r="M4734" s="274"/>
    </row>
    <row r="4735" spans="13:13" ht="15" customHeight="1" x14ac:dyDescent="0.25">
      <c r="M4735" s="274"/>
    </row>
    <row r="4736" spans="13:13" ht="15" customHeight="1" x14ac:dyDescent="0.25">
      <c r="M4736" s="274"/>
    </row>
    <row r="4737" spans="13:13" ht="15" customHeight="1" x14ac:dyDescent="0.25">
      <c r="M4737" s="274"/>
    </row>
    <row r="4738" spans="13:13" ht="15" customHeight="1" x14ac:dyDescent="0.25">
      <c r="M4738" s="274"/>
    </row>
    <row r="4739" spans="13:13" ht="15" customHeight="1" x14ac:dyDescent="0.25">
      <c r="M4739" s="274"/>
    </row>
    <row r="4740" spans="13:13" ht="15" customHeight="1" x14ac:dyDescent="0.25">
      <c r="M4740" s="274"/>
    </row>
    <row r="4741" spans="13:13" ht="15" customHeight="1" x14ac:dyDescent="0.25">
      <c r="M4741" s="274"/>
    </row>
    <row r="4742" spans="13:13" ht="15" customHeight="1" x14ac:dyDescent="0.25">
      <c r="M4742" s="274"/>
    </row>
    <row r="4743" spans="13:13" ht="15" customHeight="1" x14ac:dyDescent="0.25">
      <c r="M4743" s="274"/>
    </row>
    <row r="4744" spans="13:13" ht="15" customHeight="1" x14ac:dyDescent="0.25">
      <c r="M4744" s="274"/>
    </row>
    <row r="4745" spans="13:13" ht="15" customHeight="1" x14ac:dyDescent="0.25">
      <c r="M4745" s="274"/>
    </row>
    <row r="4746" spans="13:13" ht="15" customHeight="1" x14ac:dyDescent="0.25">
      <c r="M4746" s="274"/>
    </row>
    <row r="4747" spans="13:13" ht="15" customHeight="1" x14ac:dyDescent="0.25">
      <c r="M4747" s="274"/>
    </row>
    <row r="4748" spans="13:13" ht="15" customHeight="1" x14ac:dyDescent="0.25">
      <c r="M4748" s="274"/>
    </row>
    <row r="4749" spans="13:13" ht="15" customHeight="1" x14ac:dyDescent="0.25">
      <c r="M4749" s="274"/>
    </row>
    <row r="4750" spans="13:13" ht="15" customHeight="1" x14ac:dyDescent="0.25">
      <c r="M4750" s="274"/>
    </row>
    <row r="4751" spans="13:13" ht="15" customHeight="1" x14ac:dyDescent="0.25">
      <c r="M4751" s="274"/>
    </row>
    <row r="4752" spans="13:13" ht="15" customHeight="1" x14ac:dyDescent="0.25">
      <c r="M4752" s="274"/>
    </row>
    <row r="4753" spans="13:13" ht="15" customHeight="1" x14ac:dyDescent="0.25">
      <c r="M4753" s="274"/>
    </row>
    <row r="4754" spans="13:13" ht="15" customHeight="1" x14ac:dyDescent="0.25">
      <c r="M4754" s="274"/>
    </row>
    <row r="4755" spans="13:13" ht="15" customHeight="1" x14ac:dyDescent="0.25">
      <c r="M4755" s="274"/>
    </row>
    <row r="4756" spans="13:13" ht="15" customHeight="1" x14ac:dyDescent="0.25">
      <c r="M4756" s="274"/>
    </row>
    <row r="4757" spans="13:13" ht="15" customHeight="1" x14ac:dyDescent="0.25">
      <c r="M4757" s="274"/>
    </row>
    <row r="4758" spans="13:13" ht="15" customHeight="1" x14ac:dyDescent="0.25">
      <c r="M4758" s="274"/>
    </row>
    <row r="4759" spans="13:13" ht="15" customHeight="1" x14ac:dyDescent="0.25">
      <c r="M4759" s="274"/>
    </row>
    <row r="4760" spans="13:13" ht="15" customHeight="1" x14ac:dyDescent="0.25">
      <c r="M4760" s="274"/>
    </row>
    <row r="4761" spans="13:13" ht="15" customHeight="1" x14ac:dyDescent="0.25">
      <c r="M4761" s="274"/>
    </row>
    <row r="4762" spans="13:13" ht="15" customHeight="1" x14ac:dyDescent="0.25">
      <c r="M4762" s="274"/>
    </row>
    <row r="4763" spans="13:13" ht="15" customHeight="1" x14ac:dyDescent="0.25">
      <c r="M4763" s="274"/>
    </row>
    <row r="4764" spans="13:13" ht="15" customHeight="1" x14ac:dyDescent="0.25">
      <c r="M4764" s="274"/>
    </row>
    <row r="4765" spans="13:13" ht="15" customHeight="1" x14ac:dyDescent="0.25">
      <c r="M4765" s="274"/>
    </row>
    <row r="4766" spans="13:13" ht="15" customHeight="1" x14ac:dyDescent="0.25">
      <c r="M4766" s="274"/>
    </row>
    <row r="4767" spans="13:13" ht="15" customHeight="1" x14ac:dyDescent="0.25">
      <c r="M4767" s="274"/>
    </row>
    <row r="4768" spans="13:13" ht="15" customHeight="1" x14ac:dyDescent="0.25">
      <c r="M4768" s="274"/>
    </row>
    <row r="4769" spans="13:13" ht="15" customHeight="1" x14ac:dyDescent="0.25">
      <c r="M4769" s="274"/>
    </row>
    <row r="4770" spans="13:13" ht="15" customHeight="1" x14ac:dyDescent="0.25">
      <c r="M4770" s="274"/>
    </row>
    <row r="4771" spans="13:13" ht="15" customHeight="1" x14ac:dyDescent="0.25">
      <c r="M4771" s="274"/>
    </row>
    <row r="4772" spans="13:13" ht="15" customHeight="1" x14ac:dyDescent="0.25">
      <c r="M4772" s="274"/>
    </row>
    <row r="4773" spans="13:13" ht="15" customHeight="1" x14ac:dyDescent="0.25">
      <c r="M4773" s="274"/>
    </row>
    <row r="4774" spans="13:13" ht="15" customHeight="1" x14ac:dyDescent="0.25">
      <c r="M4774" s="274"/>
    </row>
    <row r="4775" spans="13:13" ht="15" customHeight="1" x14ac:dyDescent="0.25">
      <c r="M4775" s="274"/>
    </row>
    <row r="4776" spans="13:13" ht="15" customHeight="1" x14ac:dyDescent="0.25">
      <c r="M4776" s="274"/>
    </row>
    <row r="4777" spans="13:13" ht="15" customHeight="1" x14ac:dyDescent="0.25">
      <c r="M4777" s="274"/>
    </row>
    <row r="4778" spans="13:13" ht="15" customHeight="1" x14ac:dyDescent="0.25">
      <c r="M4778" s="274"/>
    </row>
    <row r="4779" spans="13:13" ht="15" customHeight="1" x14ac:dyDescent="0.25">
      <c r="M4779" s="274"/>
    </row>
    <row r="4780" spans="13:13" ht="15" customHeight="1" x14ac:dyDescent="0.25">
      <c r="M4780" s="274"/>
    </row>
    <row r="4781" spans="13:13" ht="15" customHeight="1" x14ac:dyDescent="0.25">
      <c r="M4781" s="274"/>
    </row>
    <row r="4782" spans="13:13" ht="15" customHeight="1" x14ac:dyDescent="0.25">
      <c r="M4782" s="274"/>
    </row>
    <row r="4783" spans="13:13" ht="15" customHeight="1" x14ac:dyDescent="0.25">
      <c r="M4783" s="274"/>
    </row>
    <row r="4784" spans="13:13" ht="15" customHeight="1" x14ac:dyDescent="0.25">
      <c r="M4784" s="274"/>
    </row>
    <row r="4785" spans="13:13" ht="15" customHeight="1" x14ac:dyDescent="0.25">
      <c r="M4785" s="274"/>
    </row>
    <row r="4786" spans="13:13" ht="15" customHeight="1" x14ac:dyDescent="0.25">
      <c r="M4786" s="274"/>
    </row>
    <row r="4787" spans="13:13" ht="15" customHeight="1" x14ac:dyDescent="0.25">
      <c r="M4787" s="274"/>
    </row>
    <row r="4788" spans="13:13" ht="15" customHeight="1" x14ac:dyDescent="0.25">
      <c r="M4788" s="274"/>
    </row>
    <row r="4789" spans="13:13" ht="15" customHeight="1" x14ac:dyDescent="0.25">
      <c r="M4789" s="274"/>
    </row>
    <row r="4790" spans="13:13" ht="15" customHeight="1" x14ac:dyDescent="0.25">
      <c r="M4790" s="274"/>
    </row>
    <row r="4791" spans="13:13" ht="15" customHeight="1" x14ac:dyDescent="0.25">
      <c r="M4791" s="274"/>
    </row>
    <row r="4792" spans="13:13" ht="15" customHeight="1" x14ac:dyDescent="0.25">
      <c r="M4792" s="274"/>
    </row>
    <row r="4793" spans="13:13" ht="15" customHeight="1" x14ac:dyDescent="0.25">
      <c r="M4793" s="274"/>
    </row>
    <row r="4794" spans="13:13" ht="15" customHeight="1" x14ac:dyDescent="0.25">
      <c r="M4794" s="274"/>
    </row>
    <row r="4795" spans="13:13" ht="15" customHeight="1" x14ac:dyDescent="0.25">
      <c r="M4795" s="274"/>
    </row>
    <row r="4796" spans="13:13" ht="15" customHeight="1" x14ac:dyDescent="0.25">
      <c r="M4796" s="274"/>
    </row>
    <row r="4797" spans="13:13" ht="15" customHeight="1" x14ac:dyDescent="0.25">
      <c r="M4797" s="274"/>
    </row>
    <row r="4798" spans="13:13" ht="15" customHeight="1" x14ac:dyDescent="0.25">
      <c r="M4798" s="274"/>
    </row>
    <row r="4799" spans="13:13" ht="15" customHeight="1" x14ac:dyDescent="0.25">
      <c r="M4799" s="274"/>
    </row>
    <row r="4800" spans="13:13" ht="15" customHeight="1" x14ac:dyDescent="0.25">
      <c r="M4800" s="274"/>
    </row>
    <row r="4801" spans="13:13" ht="15" customHeight="1" x14ac:dyDescent="0.25">
      <c r="M4801" s="274"/>
    </row>
    <row r="4802" spans="13:13" ht="15" customHeight="1" x14ac:dyDescent="0.25">
      <c r="M4802" s="274"/>
    </row>
    <row r="4803" spans="13:13" ht="15" customHeight="1" x14ac:dyDescent="0.25">
      <c r="M4803" s="274"/>
    </row>
    <row r="4804" spans="13:13" ht="15" customHeight="1" x14ac:dyDescent="0.25">
      <c r="M4804" s="274"/>
    </row>
    <row r="4805" spans="13:13" ht="15" customHeight="1" x14ac:dyDescent="0.25">
      <c r="M4805" s="274"/>
    </row>
    <row r="4806" spans="13:13" ht="15" customHeight="1" x14ac:dyDescent="0.25">
      <c r="M4806" s="274"/>
    </row>
    <row r="4807" spans="13:13" ht="15" customHeight="1" x14ac:dyDescent="0.25">
      <c r="M4807" s="274"/>
    </row>
    <row r="4808" spans="13:13" ht="15" customHeight="1" x14ac:dyDescent="0.25">
      <c r="M4808" s="274"/>
    </row>
    <row r="4809" spans="13:13" ht="15" customHeight="1" x14ac:dyDescent="0.25">
      <c r="M4809" s="274"/>
    </row>
    <row r="4810" spans="13:13" ht="15" customHeight="1" x14ac:dyDescent="0.25">
      <c r="M4810" s="274"/>
    </row>
    <row r="4811" spans="13:13" ht="15" customHeight="1" x14ac:dyDescent="0.25">
      <c r="M4811" s="274"/>
    </row>
    <row r="4812" spans="13:13" ht="15" customHeight="1" x14ac:dyDescent="0.25">
      <c r="M4812" s="274"/>
    </row>
    <row r="4813" spans="13:13" ht="15" customHeight="1" x14ac:dyDescent="0.25">
      <c r="M4813" s="274"/>
    </row>
    <row r="4814" spans="13:13" ht="15" customHeight="1" x14ac:dyDescent="0.25">
      <c r="M4814" s="274"/>
    </row>
    <row r="4815" spans="13:13" ht="15" customHeight="1" x14ac:dyDescent="0.25">
      <c r="M4815" s="274"/>
    </row>
    <row r="4816" spans="13:13" ht="15" customHeight="1" x14ac:dyDescent="0.25">
      <c r="M4816" s="274"/>
    </row>
    <row r="4817" spans="13:13" ht="15" customHeight="1" x14ac:dyDescent="0.25">
      <c r="M4817" s="274"/>
    </row>
    <row r="4818" spans="13:13" ht="15" customHeight="1" x14ac:dyDescent="0.25">
      <c r="M4818" s="274"/>
    </row>
    <row r="4819" spans="13:13" ht="15" customHeight="1" x14ac:dyDescent="0.25">
      <c r="M4819" s="274"/>
    </row>
    <row r="4820" spans="13:13" ht="15" customHeight="1" x14ac:dyDescent="0.25">
      <c r="M4820" s="274"/>
    </row>
    <row r="4821" spans="13:13" ht="15" customHeight="1" x14ac:dyDescent="0.25">
      <c r="M4821" s="274"/>
    </row>
    <row r="4822" spans="13:13" ht="15" customHeight="1" x14ac:dyDescent="0.25">
      <c r="M4822" s="274"/>
    </row>
    <row r="4823" spans="13:13" ht="15" customHeight="1" x14ac:dyDescent="0.25">
      <c r="M4823" s="274"/>
    </row>
    <row r="4824" spans="13:13" ht="15" customHeight="1" x14ac:dyDescent="0.25">
      <c r="M4824" s="274"/>
    </row>
    <row r="4825" spans="13:13" ht="15" customHeight="1" x14ac:dyDescent="0.25">
      <c r="M4825" s="274"/>
    </row>
    <row r="4826" spans="13:13" ht="15" customHeight="1" x14ac:dyDescent="0.25">
      <c r="M4826" s="274"/>
    </row>
    <row r="4827" spans="13:13" ht="15" customHeight="1" x14ac:dyDescent="0.25">
      <c r="M4827" s="274"/>
    </row>
    <row r="4828" spans="13:13" ht="15" customHeight="1" x14ac:dyDescent="0.25">
      <c r="M4828" s="274"/>
    </row>
    <row r="4829" spans="13:13" ht="15" customHeight="1" x14ac:dyDescent="0.25">
      <c r="M4829" s="274"/>
    </row>
    <row r="4830" spans="13:13" ht="15" customHeight="1" x14ac:dyDescent="0.25">
      <c r="M4830" s="274"/>
    </row>
    <row r="4831" spans="13:13" ht="15" customHeight="1" x14ac:dyDescent="0.25">
      <c r="M4831" s="274"/>
    </row>
    <row r="4832" spans="13:13" ht="15" customHeight="1" x14ac:dyDescent="0.25">
      <c r="M4832" s="274"/>
    </row>
    <row r="4833" spans="13:13" ht="15" customHeight="1" x14ac:dyDescent="0.25">
      <c r="M4833" s="274"/>
    </row>
    <row r="4834" spans="13:13" ht="15" customHeight="1" x14ac:dyDescent="0.25">
      <c r="M4834" s="274"/>
    </row>
    <row r="4835" spans="13:13" ht="15" customHeight="1" x14ac:dyDescent="0.25">
      <c r="M4835" s="274"/>
    </row>
    <row r="4836" spans="13:13" ht="15" customHeight="1" x14ac:dyDescent="0.25">
      <c r="M4836" s="274"/>
    </row>
    <row r="4837" spans="13:13" ht="15" customHeight="1" x14ac:dyDescent="0.25">
      <c r="M4837" s="274"/>
    </row>
    <row r="4838" spans="13:13" ht="15" customHeight="1" x14ac:dyDescent="0.25">
      <c r="M4838" s="274"/>
    </row>
    <row r="4839" spans="13:13" ht="15" customHeight="1" x14ac:dyDescent="0.25">
      <c r="M4839" s="274"/>
    </row>
    <row r="4840" spans="13:13" ht="15" customHeight="1" x14ac:dyDescent="0.25">
      <c r="M4840" s="274"/>
    </row>
    <row r="4841" spans="13:13" ht="15" customHeight="1" x14ac:dyDescent="0.25">
      <c r="M4841" s="274"/>
    </row>
    <row r="4842" spans="13:13" ht="15" customHeight="1" x14ac:dyDescent="0.25">
      <c r="M4842" s="274"/>
    </row>
    <row r="4843" spans="13:13" ht="15" customHeight="1" x14ac:dyDescent="0.25">
      <c r="M4843" s="274"/>
    </row>
    <row r="4844" spans="13:13" ht="15" customHeight="1" x14ac:dyDescent="0.25">
      <c r="M4844" s="274"/>
    </row>
    <row r="4845" spans="13:13" ht="15" customHeight="1" x14ac:dyDescent="0.25">
      <c r="M4845" s="274"/>
    </row>
    <row r="4846" spans="13:13" ht="15" customHeight="1" x14ac:dyDescent="0.25">
      <c r="M4846" s="274"/>
    </row>
    <row r="4847" spans="13:13" ht="15" customHeight="1" x14ac:dyDescent="0.25">
      <c r="M4847" s="274"/>
    </row>
    <row r="4848" spans="13:13" ht="15" customHeight="1" x14ac:dyDescent="0.25">
      <c r="M4848" s="274"/>
    </row>
    <row r="4849" spans="13:13" ht="15" customHeight="1" x14ac:dyDescent="0.25">
      <c r="M4849" s="274"/>
    </row>
    <row r="4850" spans="13:13" ht="15" customHeight="1" x14ac:dyDescent="0.25">
      <c r="M4850" s="274"/>
    </row>
    <row r="4851" spans="13:13" ht="15" customHeight="1" x14ac:dyDescent="0.25">
      <c r="M4851" s="274"/>
    </row>
    <row r="4852" spans="13:13" ht="15" customHeight="1" x14ac:dyDescent="0.25">
      <c r="M4852" s="274"/>
    </row>
    <row r="4853" spans="13:13" ht="15" customHeight="1" x14ac:dyDescent="0.25">
      <c r="M4853" s="274"/>
    </row>
    <row r="4854" spans="13:13" ht="15" customHeight="1" x14ac:dyDescent="0.25">
      <c r="M4854" s="274"/>
    </row>
    <row r="4855" spans="13:13" ht="15" customHeight="1" x14ac:dyDescent="0.25">
      <c r="M4855" s="274"/>
    </row>
    <row r="4856" spans="13:13" ht="15" customHeight="1" x14ac:dyDescent="0.25">
      <c r="M4856" s="274"/>
    </row>
    <row r="4857" spans="13:13" ht="15" customHeight="1" x14ac:dyDescent="0.25">
      <c r="M4857" s="274"/>
    </row>
    <row r="4858" spans="13:13" ht="15" customHeight="1" x14ac:dyDescent="0.25">
      <c r="M4858" s="274"/>
    </row>
    <row r="4859" spans="13:13" ht="15" customHeight="1" x14ac:dyDescent="0.25">
      <c r="M4859" s="274"/>
    </row>
    <row r="4860" spans="13:13" ht="15" customHeight="1" x14ac:dyDescent="0.25">
      <c r="M4860" s="274"/>
    </row>
    <row r="4861" spans="13:13" ht="15" customHeight="1" x14ac:dyDescent="0.25">
      <c r="M4861" s="274"/>
    </row>
    <row r="4862" spans="13:13" ht="15" customHeight="1" x14ac:dyDescent="0.25">
      <c r="M4862" s="274"/>
    </row>
    <row r="4863" spans="13:13" ht="15" customHeight="1" x14ac:dyDescent="0.25">
      <c r="M4863" s="274"/>
    </row>
    <row r="4864" spans="13:13" ht="15" customHeight="1" x14ac:dyDescent="0.25">
      <c r="M4864" s="274"/>
    </row>
    <row r="4865" spans="13:13" ht="15" customHeight="1" x14ac:dyDescent="0.25">
      <c r="M4865" s="274"/>
    </row>
    <row r="4866" spans="13:13" ht="15" customHeight="1" x14ac:dyDescent="0.25">
      <c r="M4866" s="274"/>
    </row>
    <row r="4867" spans="13:13" ht="15" customHeight="1" x14ac:dyDescent="0.25">
      <c r="M4867" s="274"/>
    </row>
    <row r="4868" spans="13:13" ht="15" customHeight="1" x14ac:dyDescent="0.25">
      <c r="M4868" s="274"/>
    </row>
    <row r="4869" spans="13:13" ht="15" customHeight="1" x14ac:dyDescent="0.25">
      <c r="M4869" s="274"/>
    </row>
    <row r="4870" spans="13:13" ht="15" customHeight="1" x14ac:dyDescent="0.25">
      <c r="M4870" s="274"/>
    </row>
    <row r="4871" spans="13:13" ht="15" customHeight="1" x14ac:dyDescent="0.25">
      <c r="M4871" s="274"/>
    </row>
    <row r="4872" spans="13:13" ht="15" customHeight="1" x14ac:dyDescent="0.25">
      <c r="M4872" s="274"/>
    </row>
    <row r="4873" spans="13:13" ht="15" customHeight="1" x14ac:dyDescent="0.25">
      <c r="M4873" s="274"/>
    </row>
    <row r="4874" spans="13:13" ht="15" customHeight="1" x14ac:dyDescent="0.25">
      <c r="M4874" s="274"/>
    </row>
    <row r="4875" spans="13:13" ht="15" customHeight="1" x14ac:dyDescent="0.25">
      <c r="M4875" s="274"/>
    </row>
    <row r="4876" spans="13:13" ht="15" customHeight="1" x14ac:dyDescent="0.25">
      <c r="M4876" s="274"/>
    </row>
    <row r="4877" spans="13:13" ht="15" customHeight="1" x14ac:dyDescent="0.25">
      <c r="M4877" s="274"/>
    </row>
    <row r="4878" spans="13:13" ht="15" customHeight="1" x14ac:dyDescent="0.25">
      <c r="M4878" s="274"/>
    </row>
    <row r="4879" spans="13:13" ht="15" customHeight="1" x14ac:dyDescent="0.25">
      <c r="M4879" s="274"/>
    </row>
    <row r="4880" spans="13:13" ht="15" customHeight="1" x14ac:dyDescent="0.25">
      <c r="M4880" s="274"/>
    </row>
    <row r="4881" spans="13:13" ht="15" customHeight="1" x14ac:dyDescent="0.25">
      <c r="M4881" s="274"/>
    </row>
    <row r="4882" spans="13:13" ht="15" customHeight="1" x14ac:dyDescent="0.25">
      <c r="M4882" s="274"/>
    </row>
    <row r="4883" spans="13:13" ht="15" customHeight="1" x14ac:dyDescent="0.25">
      <c r="M4883" s="274"/>
    </row>
    <row r="4884" spans="13:13" ht="15" customHeight="1" x14ac:dyDescent="0.25">
      <c r="M4884" s="274"/>
    </row>
    <row r="4885" spans="13:13" ht="15" customHeight="1" x14ac:dyDescent="0.25">
      <c r="M4885" s="274"/>
    </row>
    <row r="4886" spans="13:13" ht="15" customHeight="1" x14ac:dyDescent="0.25">
      <c r="M4886" s="274"/>
    </row>
    <row r="4887" spans="13:13" ht="15" customHeight="1" x14ac:dyDescent="0.25">
      <c r="M4887" s="274"/>
    </row>
    <row r="4888" spans="13:13" ht="15" customHeight="1" x14ac:dyDescent="0.25">
      <c r="M4888" s="274"/>
    </row>
    <row r="4889" spans="13:13" ht="15" customHeight="1" x14ac:dyDescent="0.25">
      <c r="M4889" s="274"/>
    </row>
    <row r="4890" spans="13:13" ht="15" customHeight="1" x14ac:dyDescent="0.25">
      <c r="M4890" s="274"/>
    </row>
    <row r="4891" spans="13:13" ht="15" customHeight="1" x14ac:dyDescent="0.25">
      <c r="M4891" s="274"/>
    </row>
    <row r="4892" spans="13:13" ht="15" customHeight="1" x14ac:dyDescent="0.25">
      <c r="M4892" s="274"/>
    </row>
    <row r="4893" spans="13:13" ht="15" customHeight="1" x14ac:dyDescent="0.25">
      <c r="M4893" s="274"/>
    </row>
    <row r="4894" spans="13:13" ht="15" customHeight="1" x14ac:dyDescent="0.25">
      <c r="M4894" s="274"/>
    </row>
    <row r="4895" spans="13:13" ht="15" customHeight="1" x14ac:dyDescent="0.25">
      <c r="M4895" s="274"/>
    </row>
    <row r="4896" spans="13:13" ht="15" customHeight="1" x14ac:dyDescent="0.25">
      <c r="M4896" s="274"/>
    </row>
    <row r="4897" spans="13:13" ht="15" customHeight="1" x14ac:dyDescent="0.25">
      <c r="M4897" s="274"/>
    </row>
    <row r="4898" spans="13:13" ht="15" customHeight="1" x14ac:dyDescent="0.25">
      <c r="M4898" s="274"/>
    </row>
    <row r="4899" spans="13:13" ht="15" customHeight="1" x14ac:dyDescent="0.25">
      <c r="M4899" s="274"/>
    </row>
    <row r="4900" spans="13:13" ht="15" customHeight="1" x14ac:dyDescent="0.25">
      <c r="M4900" s="274"/>
    </row>
    <row r="4901" spans="13:13" ht="15" customHeight="1" x14ac:dyDescent="0.25">
      <c r="M4901" s="274"/>
    </row>
    <row r="4902" spans="13:13" ht="15" customHeight="1" x14ac:dyDescent="0.25">
      <c r="M4902" s="274"/>
    </row>
    <row r="4903" spans="13:13" ht="15" customHeight="1" x14ac:dyDescent="0.25">
      <c r="M4903" s="274"/>
    </row>
    <row r="4904" spans="13:13" ht="15" customHeight="1" x14ac:dyDescent="0.25">
      <c r="M4904" s="274"/>
    </row>
    <row r="4905" spans="13:13" ht="15" customHeight="1" x14ac:dyDescent="0.25">
      <c r="M4905" s="274"/>
    </row>
    <row r="4906" spans="13:13" ht="15" customHeight="1" x14ac:dyDescent="0.25">
      <c r="M4906" s="274"/>
    </row>
    <row r="4907" spans="13:13" ht="15" customHeight="1" x14ac:dyDescent="0.25">
      <c r="M4907" s="274"/>
    </row>
    <row r="4908" spans="13:13" ht="15" customHeight="1" x14ac:dyDescent="0.25">
      <c r="M4908" s="274"/>
    </row>
    <row r="4909" spans="13:13" ht="15" customHeight="1" x14ac:dyDescent="0.25">
      <c r="M4909" s="274"/>
    </row>
    <row r="4910" spans="13:13" ht="15" customHeight="1" x14ac:dyDescent="0.25">
      <c r="M4910" s="274"/>
    </row>
    <row r="4911" spans="13:13" ht="15" customHeight="1" x14ac:dyDescent="0.25">
      <c r="M4911" s="274"/>
    </row>
    <row r="4912" spans="13:13" ht="15" customHeight="1" x14ac:dyDescent="0.25">
      <c r="M4912" s="274"/>
    </row>
    <row r="4913" spans="13:13" ht="15" customHeight="1" x14ac:dyDescent="0.25">
      <c r="M4913" s="274"/>
    </row>
    <row r="4914" spans="13:13" ht="15" customHeight="1" x14ac:dyDescent="0.25">
      <c r="M4914" s="274"/>
    </row>
    <row r="4915" spans="13:13" ht="15" customHeight="1" x14ac:dyDescent="0.25">
      <c r="M4915" s="274"/>
    </row>
    <row r="4916" spans="13:13" ht="15" customHeight="1" x14ac:dyDescent="0.25">
      <c r="M4916" s="274"/>
    </row>
    <row r="4917" spans="13:13" ht="15" customHeight="1" x14ac:dyDescent="0.25">
      <c r="M4917" s="274"/>
    </row>
    <row r="4918" spans="13:13" ht="15" customHeight="1" x14ac:dyDescent="0.25">
      <c r="M4918" s="274"/>
    </row>
    <row r="4919" spans="13:13" ht="15" customHeight="1" x14ac:dyDescent="0.25">
      <c r="M4919" s="274"/>
    </row>
    <row r="4920" spans="13:13" ht="15" customHeight="1" x14ac:dyDescent="0.25">
      <c r="M4920" s="274"/>
    </row>
    <row r="4921" spans="13:13" ht="15" customHeight="1" x14ac:dyDescent="0.25">
      <c r="M4921" s="274"/>
    </row>
    <row r="4922" spans="13:13" ht="15" customHeight="1" x14ac:dyDescent="0.25">
      <c r="M4922" s="274"/>
    </row>
    <row r="4923" spans="13:13" ht="15" customHeight="1" x14ac:dyDescent="0.25">
      <c r="M4923" s="274"/>
    </row>
    <row r="4924" spans="13:13" ht="15" customHeight="1" x14ac:dyDescent="0.25">
      <c r="M4924" s="274"/>
    </row>
    <row r="4925" spans="13:13" ht="15" customHeight="1" x14ac:dyDescent="0.25">
      <c r="M4925" s="274"/>
    </row>
    <row r="4926" spans="13:13" ht="15" customHeight="1" x14ac:dyDescent="0.25">
      <c r="M4926" s="274"/>
    </row>
    <row r="4927" spans="13:13" ht="15" customHeight="1" x14ac:dyDescent="0.25">
      <c r="M4927" s="274"/>
    </row>
    <row r="4928" spans="13:13" ht="15" customHeight="1" x14ac:dyDescent="0.25">
      <c r="M4928" s="274"/>
    </row>
    <row r="4929" spans="13:13" ht="15" customHeight="1" x14ac:dyDescent="0.25">
      <c r="M4929" s="274"/>
    </row>
    <row r="4930" spans="13:13" ht="15" customHeight="1" x14ac:dyDescent="0.25">
      <c r="M4930" s="274"/>
    </row>
    <row r="4931" spans="13:13" ht="15" customHeight="1" x14ac:dyDescent="0.25">
      <c r="M4931" s="274"/>
    </row>
    <row r="4932" spans="13:13" ht="15" customHeight="1" x14ac:dyDescent="0.25">
      <c r="M4932" s="274"/>
    </row>
    <row r="4933" spans="13:13" ht="15" customHeight="1" x14ac:dyDescent="0.25">
      <c r="M4933" s="274"/>
    </row>
    <row r="4934" spans="13:13" ht="15" customHeight="1" x14ac:dyDescent="0.25">
      <c r="M4934" s="274"/>
    </row>
    <row r="4935" spans="13:13" ht="15" customHeight="1" x14ac:dyDescent="0.25">
      <c r="M4935" s="274"/>
    </row>
    <row r="4936" spans="13:13" ht="15" customHeight="1" x14ac:dyDescent="0.25">
      <c r="M4936" s="274"/>
    </row>
    <row r="4937" spans="13:13" ht="15" customHeight="1" x14ac:dyDescent="0.25">
      <c r="M4937" s="274"/>
    </row>
    <row r="4938" spans="13:13" ht="15" customHeight="1" x14ac:dyDescent="0.25">
      <c r="M4938" s="274"/>
    </row>
    <row r="4939" spans="13:13" ht="15" customHeight="1" x14ac:dyDescent="0.25">
      <c r="M4939" s="274"/>
    </row>
    <row r="4940" spans="13:13" ht="15" customHeight="1" x14ac:dyDescent="0.25">
      <c r="M4940" s="274"/>
    </row>
    <row r="4941" spans="13:13" ht="15" customHeight="1" x14ac:dyDescent="0.25">
      <c r="M4941" s="274"/>
    </row>
    <row r="4942" spans="13:13" ht="15" customHeight="1" x14ac:dyDescent="0.25">
      <c r="M4942" s="274"/>
    </row>
    <row r="4943" spans="13:13" ht="15" customHeight="1" x14ac:dyDescent="0.25">
      <c r="M4943" s="274"/>
    </row>
    <row r="4944" spans="13:13" ht="15" customHeight="1" x14ac:dyDescent="0.25">
      <c r="M4944" s="274"/>
    </row>
    <row r="4945" spans="13:13" ht="15" customHeight="1" x14ac:dyDescent="0.25">
      <c r="M4945" s="274"/>
    </row>
    <row r="4946" spans="13:13" ht="15" customHeight="1" x14ac:dyDescent="0.25">
      <c r="M4946" s="274"/>
    </row>
    <row r="4947" spans="13:13" ht="15" customHeight="1" x14ac:dyDescent="0.25">
      <c r="M4947" s="274"/>
    </row>
    <row r="4948" spans="13:13" ht="15" customHeight="1" x14ac:dyDescent="0.25">
      <c r="M4948" s="274"/>
    </row>
    <row r="4949" spans="13:13" ht="15" customHeight="1" x14ac:dyDescent="0.25">
      <c r="M4949" s="274"/>
    </row>
    <row r="4950" spans="13:13" ht="15" customHeight="1" x14ac:dyDescent="0.25">
      <c r="M4950" s="274"/>
    </row>
    <row r="4951" spans="13:13" ht="15" customHeight="1" x14ac:dyDescent="0.25">
      <c r="M4951" s="274"/>
    </row>
    <row r="4952" spans="13:13" ht="15" customHeight="1" x14ac:dyDescent="0.25">
      <c r="M4952" s="274"/>
    </row>
    <row r="4953" spans="13:13" ht="15" customHeight="1" x14ac:dyDescent="0.25">
      <c r="M4953" s="274"/>
    </row>
    <row r="4954" spans="13:13" ht="15" customHeight="1" x14ac:dyDescent="0.25">
      <c r="M4954" s="274"/>
    </row>
    <row r="4955" spans="13:13" ht="15" customHeight="1" x14ac:dyDescent="0.25">
      <c r="M4955" s="274"/>
    </row>
    <row r="4956" spans="13:13" ht="15" customHeight="1" x14ac:dyDescent="0.25">
      <c r="M4956" s="274"/>
    </row>
    <row r="4957" spans="13:13" ht="15" customHeight="1" x14ac:dyDescent="0.25">
      <c r="M4957" s="274"/>
    </row>
    <row r="4958" spans="13:13" ht="15" customHeight="1" x14ac:dyDescent="0.25">
      <c r="M4958" s="274"/>
    </row>
    <row r="4959" spans="13:13" ht="15" customHeight="1" x14ac:dyDescent="0.25">
      <c r="M4959" s="274"/>
    </row>
    <row r="4960" spans="13:13" ht="15" customHeight="1" x14ac:dyDescent="0.25">
      <c r="M4960" s="274"/>
    </row>
    <row r="4961" spans="13:13" ht="15" customHeight="1" x14ac:dyDescent="0.25">
      <c r="M4961" s="274"/>
    </row>
    <row r="4962" spans="13:13" ht="15" customHeight="1" x14ac:dyDescent="0.25">
      <c r="M4962" s="274"/>
    </row>
    <row r="4963" spans="13:13" ht="15" customHeight="1" x14ac:dyDescent="0.25">
      <c r="M4963" s="274"/>
    </row>
    <row r="4964" spans="13:13" ht="15" customHeight="1" x14ac:dyDescent="0.25">
      <c r="M4964" s="274"/>
    </row>
    <row r="4965" spans="13:13" ht="15" customHeight="1" x14ac:dyDescent="0.25">
      <c r="M4965" s="274"/>
    </row>
    <row r="4966" spans="13:13" ht="15" customHeight="1" x14ac:dyDescent="0.25">
      <c r="M4966" s="274"/>
    </row>
    <row r="4967" spans="13:13" ht="15" customHeight="1" x14ac:dyDescent="0.25">
      <c r="M4967" s="274"/>
    </row>
    <row r="4968" spans="13:13" ht="15" customHeight="1" x14ac:dyDescent="0.25">
      <c r="M4968" s="274"/>
    </row>
    <row r="4969" spans="13:13" ht="15" customHeight="1" x14ac:dyDescent="0.25">
      <c r="M4969" s="274"/>
    </row>
    <row r="4970" spans="13:13" ht="15" customHeight="1" x14ac:dyDescent="0.25">
      <c r="M4970" s="274"/>
    </row>
    <row r="4971" spans="13:13" ht="15" customHeight="1" x14ac:dyDescent="0.25">
      <c r="M4971" s="274"/>
    </row>
    <row r="4972" spans="13:13" ht="15" customHeight="1" x14ac:dyDescent="0.25">
      <c r="M4972" s="274"/>
    </row>
    <row r="4973" spans="13:13" ht="15" customHeight="1" x14ac:dyDescent="0.25">
      <c r="M4973" s="274"/>
    </row>
    <row r="4974" spans="13:13" ht="15" customHeight="1" x14ac:dyDescent="0.25">
      <c r="M4974" s="274"/>
    </row>
    <row r="4975" spans="13:13" ht="15" customHeight="1" x14ac:dyDescent="0.25">
      <c r="M4975" s="274"/>
    </row>
    <row r="4976" spans="13:13" ht="15" customHeight="1" x14ac:dyDescent="0.25">
      <c r="M4976" s="274"/>
    </row>
    <row r="4977" spans="13:13" ht="15" customHeight="1" x14ac:dyDescent="0.25">
      <c r="M4977" s="274"/>
    </row>
    <row r="4978" spans="13:13" ht="15" customHeight="1" x14ac:dyDescent="0.25">
      <c r="M4978" s="274"/>
    </row>
    <row r="4979" spans="13:13" ht="15" customHeight="1" x14ac:dyDescent="0.25">
      <c r="M4979" s="274"/>
    </row>
    <row r="4980" spans="13:13" ht="15" customHeight="1" x14ac:dyDescent="0.25">
      <c r="M4980" s="274"/>
    </row>
    <row r="4981" spans="13:13" ht="15" customHeight="1" x14ac:dyDescent="0.25">
      <c r="M4981" s="274"/>
    </row>
    <row r="4982" spans="13:13" ht="15" customHeight="1" x14ac:dyDescent="0.25">
      <c r="M4982" s="274"/>
    </row>
    <row r="4983" spans="13:13" ht="15" customHeight="1" x14ac:dyDescent="0.25">
      <c r="M4983" s="274"/>
    </row>
    <row r="4984" spans="13:13" ht="15" customHeight="1" x14ac:dyDescent="0.25">
      <c r="M4984" s="274"/>
    </row>
    <row r="4985" spans="13:13" ht="15" customHeight="1" x14ac:dyDescent="0.25">
      <c r="M4985" s="274"/>
    </row>
    <row r="4986" spans="13:13" ht="15" customHeight="1" x14ac:dyDescent="0.25">
      <c r="M4986" s="274"/>
    </row>
    <row r="4987" spans="13:13" ht="15" customHeight="1" x14ac:dyDescent="0.25">
      <c r="M4987" s="274"/>
    </row>
    <row r="4988" spans="13:13" ht="15" customHeight="1" x14ac:dyDescent="0.25">
      <c r="M4988" s="274"/>
    </row>
    <row r="4989" spans="13:13" ht="15" customHeight="1" x14ac:dyDescent="0.25">
      <c r="M4989" s="274"/>
    </row>
    <row r="4990" spans="13:13" ht="15" customHeight="1" x14ac:dyDescent="0.25">
      <c r="M4990" s="274"/>
    </row>
    <row r="4991" spans="13:13" ht="15" customHeight="1" x14ac:dyDescent="0.25">
      <c r="M4991" s="274"/>
    </row>
    <row r="4992" spans="13:13" ht="15" customHeight="1" x14ac:dyDescent="0.25">
      <c r="M4992" s="274"/>
    </row>
    <row r="4993" spans="13:13" ht="15" customHeight="1" x14ac:dyDescent="0.25">
      <c r="M4993" s="274"/>
    </row>
    <row r="4994" spans="13:13" ht="15" customHeight="1" x14ac:dyDescent="0.25">
      <c r="M4994" s="274"/>
    </row>
    <row r="4995" spans="13:13" ht="15" customHeight="1" x14ac:dyDescent="0.25">
      <c r="M4995" s="274"/>
    </row>
    <row r="4996" spans="13:13" ht="15" customHeight="1" x14ac:dyDescent="0.25">
      <c r="M4996" s="274"/>
    </row>
    <row r="4997" spans="13:13" ht="15" customHeight="1" x14ac:dyDescent="0.25">
      <c r="M4997" s="274"/>
    </row>
    <row r="4998" spans="13:13" ht="15" customHeight="1" x14ac:dyDescent="0.25">
      <c r="M4998" s="274"/>
    </row>
    <row r="4999" spans="13:13" ht="15" customHeight="1" x14ac:dyDescent="0.25">
      <c r="M4999" s="274"/>
    </row>
    <row r="5000" spans="13:13" ht="15" customHeight="1" x14ac:dyDescent="0.25">
      <c r="M5000" s="274"/>
    </row>
    <row r="5001" spans="13:13" ht="15" customHeight="1" x14ac:dyDescent="0.25">
      <c r="M5001" s="274"/>
    </row>
    <row r="5002" spans="13:13" ht="15" customHeight="1" x14ac:dyDescent="0.25">
      <c r="M5002" s="274"/>
    </row>
    <row r="5003" spans="13:13" ht="15" customHeight="1" x14ac:dyDescent="0.25">
      <c r="M5003" s="274"/>
    </row>
    <row r="5004" spans="13:13" ht="15" customHeight="1" x14ac:dyDescent="0.25">
      <c r="M5004" s="274"/>
    </row>
    <row r="5005" spans="13:13" ht="15" customHeight="1" x14ac:dyDescent="0.25">
      <c r="M5005" s="274"/>
    </row>
    <row r="5006" spans="13:13" ht="15" customHeight="1" x14ac:dyDescent="0.25">
      <c r="M5006" s="274"/>
    </row>
    <row r="5007" spans="13:13" ht="15" customHeight="1" x14ac:dyDescent="0.25">
      <c r="M5007" s="274"/>
    </row>
    <row r="5008" spans="13:13" ht="15" customHeight="1" x14ac:dyDescent="0.25">
      <c r="M5008" s="274"/>
    </row>
    <row r="5009" spans="13:13" ht="15" customHeight="1" x14ac:dyDescent="0.25">
      <c r="M5009" s="274"/>
    </row>
    <row r="5010" spans="13:13" ht="15" customHeight="1" x14ac:dyDescent="0.25">
      <c r="M5010" s="274"/>
    </row>
    <row r="5011" spans="13:13" ht="15" customHeight="1" x14ac:dyDescent="0.25">
      <c r="M5011" s="274"/>
    </row>
    <row r="5012" spans="13:13" ht="15" customHeight="1" x14ac:dyDescent="0.25">
      <c r="M5012" s="274"/>
    </row>
    <row r="5013" spans="13:13" ht="15" customHeight="1" x14ac:dyDescent="0.25">
      <c r="M5013" s="274"/>
    </row>
    <row r="5014" spans="13:13" ht="15" customHeight="1" x14ac:dyDescent="0.25">
      <c r="M5014" s="274"/>
    </row>
    <row r="5015" spans="13:13" ht="15" customHeight="1" x14ac:dyDescent="0.25">
      <c r="M5015" s="274"/>
    </row>
    <row r="5016" spans="13:13" ht="15" customHeight="1" x14ac:dyDescent="0.25">
      <c r="M5016" s="274"/>
    </row>
    <row r="5017" spans="13:13" ht="15" customHeight="1" x14ac:dyDescent="0.25">
      <c r="M5017" s="274"/>
    </row>
    <row r="5018" spans="13:13" ht="15" customHeight="1" x14ac:dyDescent="0.25">
      <c r="M5018" s="274"/>
    </row>
    <row r="5019" spans="13:13" ht="15" customHeight="1" x14ac:dyDescent="0.25">
      <c r="M5019" s="274"/>
    </row>
    <row r="5020" spans="13:13" ht="15" customHeight="1" x14ac:dyDescent="0.25">
      <c r="M5020" s="274"/>
    </row>
    <row r="5021" spans="13:13" ht="15" customHeight="1" x14ac:dyDescent="0.25">
      <c r="M5021" s="274"/>
    </row>
    <row r="5022" spans="13:13" ht="15" customHeight="1" x14ac:dyDescent="0.25">
      <c r="M5022" s="274"/>
    </row>
    <row r="5023" spans="13:13" ht="15" customHeight="1" x14ac:dyDescent="0.25">
      <c r="M5023" s="274"/>
    </row>
    <row r="5024" spans="13:13" ht="15" customHeight="1" x14ac:dyDescent="0.25">
      <c r="M5024" s="274"/>
    </row>
    <row r="5025" spans="13:13" ht="15" customHeight="1" x14ac:dyDescent="0.25">
      <c r="M5025" s="274"/>
    </row>
    <row r="5026" spans="13:13" ht="15" customHeight="1" x14ac:dyDescent="0.25">
      <c r="M5026" s="274"/>
    </row>
    <row r="5027" spans="13:13" ht="15" customHeight="1" x14ac:dyDescent="0.25">
      <c r="M5027" s="274"/>
    </row>
    <row r="5028" spans="13:13" ht="15" customHeight="1" x14ac:dyDescent="0.25">
      <c r="M5028" s="274"/>
    </row>
    <row r="5029" spans="13:13" ht="15" customHeight="1" x14ac:dyDescent="0.25">
      <c r="M5029" s="274"/>
    </row>
    <row r="5030" spans="13:13" ht="15" customHeight="1" x14ac:dyDescent="0.25">
      <c r="M5030" s="274"/>
    </row>
    <row r="5031" spans="13:13" ht="15" customHeight="1" x14ac:dyDescent="0.25">
      <c r="M5031" s="274"/>
    </row>
    <row r="5032" spans="13:13" ht="15" customHeight="1" x14ac:dyDescent="0.25">
      <c r="M5032" s="274"/>
    </row>
    <row r="5033" spans="13:13" ht="15" customHeight="1" x14ac:dyDescent="0.25">
      <c r="M5033" s="274"/>
    </row>
    <row r="5034" spans="13:13" ht="15" customHeight="1" x14ac:dyDescent="0.25">
      <c r="M5034" s="274"/>
    </row>
    <row r="5035" spans="13:13" ht="15" customHeight="1" x14ac:dyDescent="0.25">
      <c r="M5035" s="274"/>
    </row>
    <row r="5036" spans="13:13" ht="15" customHeight="1" x14ac:dyDescent="0.25">
      <c r="M5036" s="274"/>
    </row>
    <row r="5037" spans="13:13" ht="15" customHeight="1" x14ac:dyDescent="0.25">
      <c r="M5037" s="274"/>
    </row>
    <row r="5038" spans="13:13" ht="15" customHeight="1" x14ac:dyDescent="0.25">
      <c r="M5038" s="274"/>
    </row>
    <row r="5039" spans="13:13" ht="15" customHeight="1" x14ac:dyDescent="0.25">
      <c r="M5039" s="274"/>
    </row>
    <row r="5040" spans="13:13" ht="15" customHeight="1" x14ac:dyDescent="0.25">
      <c r="M5040" s="274"/>
    </row>
    <row r="5041" spans="13:13" ht="15" customHeight="1" x14ac:dyDescent="0.25">
      <c r="M5041" s="274"/>
    </row>
    <row r="5042" spans="13:13" ht="15" customHeight="1" x14ac:dyDescent="0.25">
      <c r="M5042" s="274"/>
    </row>
    <row r="5043" spans="13:13" ht="15" customHeight="1" x14ac:dyDescent="0.25">
      <c r="M5043" s="274"/>
    </row>
    <row r="5044" spans="13:13" ht="15" customHeight="1" x14ac:dyDescent="0.25">
      <c r="M5044" s="274"/>
    </row>
    <row r="5045" spans="13:13" ht="15" customHeight="1" x14ac:dyDescent="0.25">
      <c r="M5045" s="274"/>
    </row>
    <row r="5046" spans="13:13" ht="15" customHeight="1" x14ac:dyDescent="0.25">
      <c r="M5046" s="274"/>
    </row>
    <row r="5047" spans="13:13" ht="15" customHeight="1" x14ac:dyDescent="0.25">
      <c r="M5047" s="274"/>
    </row>
    <row r="5048" spans="13:13" ht="15" customHeight="1" x14ac:dyDescent="0.25">
      <c r="M5048" s="274"/>
    </row>
    <row r="5049" spans="13:13" ht="15" customHeight="1" x14ac:dyDescent="0.25">
      <c r="M5049" s="274"/>
    </row>
    <row r="5050" spans="13:13" ht="15" customHeight="1" x14ac:dyDescent="0.25">
      <c r="M5050" s="274"/>
    </row>
    <row r="5051" spans="13:13" ht="15" customHeight="1" x14ac:dyDescent="0.25">
      <c r="M5051" s="274"/>
    </row>
    <row r="5052" spans="13:13" ht="15" customHeight="1" x14ac:dyDescent="0.25">
      <c r="M5052" s="274"/>
    </row>
    <row r="5053" spans="13:13" ht="15" customHeight="1" x14ac:dyDescent="0.25">
      <c r="M5053" s="274"/>
    </row>
    <row r="5054" spans="13:13" ht="15" customHeight="1" x14ac:dyDescent="0.25">
      <c r="M5054" s="274"/>
    </row>
    <row r="5055" spans="13:13" ht="15" customHeight="1" x14ac:dyDescent="0.25">
      <c r="M5055" s="274"/>
    </row>
    <row r="5056" spans="13:13" ht="15" customHeight="1" x14ac:dyDescent="0.25">
      <c r="M5056" s="274"/>
    </row>
    <row r="5057" spans="13:13" ht="15" customHeight="1" x14ac:dyDescent="0.25">
      <c r="M5057" s="274"/>
    </row>
    <row r="5058" spans="13:13" ht="15" customHeight="1" x14ac:dyDescent="0.25">
      <c r="M5058" s="274"/>
    </row>
    <row r="5059" spans="13:13" ht="15" customHeight="1" x14ac:dyDescent="0.25">
      <c r="M5059" s="274"/>
    </row>
    <row r="5060" spans="13:13" ht="15" customHeight="1" x14ac:dyDescent="0.25">
      <c r="M5060" s="274"/>
    </row>
    <row r="5061" spans="13:13" ht="15" customHeight="1" x14ac:dyDescent="0.25">
      <c r="M5061" s="274"/>
    </row>
    <row r="5062" spans="13:13" ht="15" customHeight="1" x14ac:dyDescent="0.25">
      <c r="M5062" s="274"/>
    </row>
    <row r="5063" spans="13:13" ht="15" customHeight="1" x14ac:dyDescent="0.25">
      <c r="M5063" s="274"/>
    </row>
    <row r="5064" spans="13:13" ht="15" customHeight="1" x14ac:dyDescent="0.25">
      <c r="M5064" s="274"/>
    </row>
    <row r="5065" spans="13:13" ht="15" customHeight="1" x14ac:dyDescent="0.25">
      <c r="M5065" s="274"/>
    </row>
    <row r="5066" spans="13:13" ht="15" customHeight="1" x14ac:dyDescent="0.25">
      <c r="M5066" s="274"/>
    </row>
    <row r="5067" spans="13:13" ht="15" customHeight="1" x14ac:dyDescent="0.25">
      <c r="M5067" s="274"/>
    </row>
    <row r="5068" spans="13:13" ht="15" customHeight="1" x14ac:dyDescent="0.25">
      <c r="M5068" s="274"/>
    </row>
    <row r="5069" spans="13:13" ht="15" customHeight="1" x14ac:dyDescent="0.25">
      <c r="M5069" s="274"/>
    </row>
    <row r="5070" spans="13:13" ht="15" customHeight="1" x14ac:dyDescent="0.25">
      <c r="M5070" s="274"/>
    </row>
    <row r="5071" spans="13:13" ht="15" customHeight="1" x14ac:dyDescent="0.25">
      <c r="M5071" s="274"/>
    </row>
    <row r="5072" spans="13:13" ht="15" customHeight="1" x14ac:dyDescent="0.25">
      <c r="M5072" s="274"/>
    </row>
    <row r="5073" spans="13:13" ht="15" customHeight="1" x14ac:dyDescent="0.25">
      <c r="M5073" s="274"/>
    </row>
    <row r="5074" spans="13:13" ht="15" customHeight="1" x14ac:dyDescent="0.25">
      <c r="M5074" s="274"/>
    </row>
    <row r="5075" spans="13:13" ht="15" customHeight="1" x14ac:dyDescent="0.25">
      <c r="M5075" s="274"/>
    </row>
    <row r="5076" spans="13:13" ht="15" customHeight="1" x14ac:dyDescent="0.25">
      <c r="M5076" s="274"/>
    </row>
    <row r="5077" spans="13:13" ht="15" customHeight="1" x14ac:dyDescent="0.25">
      <c r="M5077" s="274"/>
    </row>
    <row r="5078" spans="13:13" ht="15" customHeight="1" x14ac:dyDescent="0.25">
      <c r="M5078" s="274"/>
    </row>
    <row r="5079" spans="13:13" ht="15" customHeight="1" x14ac:dyDescent="0.25">
      <c r="M5079" s="274"/>
    </row>
    <row r="5080" spans="13:13" ht="15" customHeight="1" x14ac:dyDescent="0.25">
      <c r="M5080" s="274"/>
    </row>
    <row r="5081" spans="13:13" ht="15" customHeight="1" x14ac:dyDescent="0.25">
      <c r="M5081" s="274"/>
    </row>
    <row r="5082" spans="13:13" ht="15" customHeight="1" x14ac:dyDescent="0.25">
      <c r="M5082" s="274"/>
    </row>
    <row r="5083" spans="13:13" ht="15" customHeight="1" x14ac:dyDescent="0.25">
      <c r="M5083" s="274"/>
    </row>
    <row r="5084" spans="13:13" ht="15" customHeight="1" x14ac:dyDescent="0.25">
      <c r="M5084" s="274"/>
    </row>
    <row r="5085" spans="13:13" ht="15" customHeight="1" x14ac:dyDescent="0.25">
      <c r="M5085" s="274"/>
    </row>
    <row r="5086" spans="13:13" ht="15" customHeight="1" x14ac:dyDescent="0.25">
      <c r="M5086" s="274"/>
    </row>
    <row r="5087" spans="13:13" ht="15" customHeight="1" x14ac:dyDescent="0.25">
      <c r="M5087" s="274"/>
    </row>
    <row r="5088" spans="13:13" ht="15" customHeight="1" x14ac:dyDescent="0.25">
      <c r="M5088" s="274"/>
    </row>
    <row r="5089" spans="13:13" ht="15" customHeight="1" x14ac:dyDescent="0.25">
      <c r="M5089" s="274"/>
    </row>
    <row r="5090" spans="13:13" ht="15" customHeight="1" x14ac:dyDescent="0.25">
      <c r="M5090" s="274"/>
    </row>
    <row r="5091" spans="13:13" ht="15" customHeight="1" x14ac:dyDescent="0.25">
      <c r="M5091" s="274"/>
    </row>
    <row r="5092" spans="13:13" ht="15" customHeight="1" x14ac:dyDescent="0.25">
      <c r="M5092" s="274"/>
    </row>
    <row r="5093" spans="13:13" ht="15" customHeight="1" x14ac:dyDescent="0.25">
      <c r="M5093" s="274"/>
    </row>
    <row r="5094" spans="13:13" ht="15" customHeight="1" x14ac:dyDescent="0.25">
      <c r="M5094" s="274"/>
    </row>
    <row r="5095" spans="13:13" ht="15" customHeight="1" x14ac:dyDescent="0.25">
      <c r="M5095" s="274"/>
    </row>
    <row r="5096" spans="13:13" ht="15" customHeight="1" x14ac:dyDescent="0.25">
      <c r="M5096" s="274"/>
    </row>
    <row r="5097" spans="13:13" ht="15" customHeight="1" x14ac:dyDescent="0.25">
      <c r="M5097" s="274"/>
    </row>
    <row r="5098" spans="13:13" ht="15" customHeight="1" x14ac:dyDescent="0.25">
      <c r="M5098" s="274"/>
    </row>
    <row r="5099" spans="13:13" ht="15" customHeight="1" x14ac:dyDescent="0.25">
      <c r="M5099" s="274"/>
    </row>
    <row r="5100" spans="13:13" ht="15" customHeight="1" x14ac:dyDescent="0.25">
      <c r="M5100" s="274"/>
    </row>
    <row r="5101" spans="13:13" ht="15" customHeight="1" x14ac:dyDescent="0.25">
      <c r="M5101" s="274"/>
    </row>
    <row r="5102" spans="13:13" ht="15" customHeight="1" x14ac:dyDescent="0.25">
      <c r="M5102" s="274"/>
    </row>
    <row r="5103" spans="13:13" ht="15" customHeight="1" x14ac:dyDescent="0.25">
      <c r="M5103" s="274"/>
    </row>
    <row r="5104" spans="13:13" ht="15" customHeight="1" x14ac:dyDescent="0.25">
      <c r="M5104" s="274"/>
    </row>
    <row r="5105" spans="13:13" ht="15" customHeight="1" x14ac:dyDescent="0.25">
      <c r="M5105" s="274"/>
    </row>
    <row r="5106" spans="13:13" ht="15" customHeight="1" x14ac:dyDescent="0.25">
      <c r="M5106" s="274"/>
    </row>
    <row r="5107" spans="13:13" ht="15" customHeight="1" x14ac:dyDescent="0.25">
      <c r="M5107" s="274"/>
    </row>
    <row r="5108" spans="13:13" ht="15" customHeight="1" x14ac:dyDescent="0.25">
      <c r="M5108" s="274"/>
    </row>
    <row r="5109" spans="13:13" ht="15" customHeight="1" x14ac:dyDescent="0.25">
      <c r="M5109" s="274"/>
    </row>
    <row r="5110" spans="13:13" ht="15" customHeight="1" x14ac:dyDescent="0.25">
      <c r="M5110" s="274"/>
    </row>
    <row r="5111" spans="13:13" ht="15" customHeight="1" x14ac:dyDescent="0.25">
      <c r="M5111" s="274"/>
    </row>
    <row r="5112" spans="13:13" ht="15" customHeight="1" x14ac:dyDescent="0.25">
      <c r="M5112" s="274"/>
    </row>
    <row r="5113" spans="13:13" ht="15" customHeight="1" x14ac:dyDescent="0.25">
      <c r="M5113" s="274"/>
    </row>
    <row r="5114" spans="13:13" ht="15" customHeight="1" x14ac:dyDescent="0.25">
      <c r="M5114" s="274"/>
    </row>
    <row r="5115" spans="13:13" ht="15" customHeight="1" x14ac:dyDescent="0.25">
      <c r="M5115" s="274"/>
    </row>
    <row r="5116" spans="13:13" ht="15" customHeight="1" x14ac:dyDescent="0.25">
      <c r="M5116" s="274"/>
    </row>
    <row r="5117" spans="13:13" ht="15" customHeight="1" x14ac:dyDescent="0.25">
      <c r="M5117" s="274"/>
    </row>
    <row r="5118" spans="13:13" ht="15" customHeight="1" x14ac:dyDescent="0.25">
      <c r="M5118" s="274"/>
    </row>
    <row r="5119" spans="13:13" ht="15" customHeight="1" x14ac:dyDescent="0.25">
      <c r="M5119" s="274"/>
    </row>
    <row r="5120" spans="13:13" ht="15" customHeight="1" x14ac:dyDescent="0.25">
      <c r="M5120" s="274"/>
    </row>
    <row r="5121" spans="13:13" ht="15" customHeight="1" x14ac:dyDescent="0.25">
      <c r="M5121" s="274"/>
    </row>
    <row r="5122" spans="13:13" ht="15" customHeight="1" x14ac:dyDescent="0.25">
      <c r="M5122" s="274"/>
    </row>
    <row r="5123" spans="13:13" ht="15" customHeight="1" x14ac:dyDescent="0.25">
      <c r="M5123" s="274"/>
    </row>
    <row r="5124" spans="13:13" ht="15" customHeight="1" x14ac:dyDescent="0.25">
      <c r="M5124" s="274"/>
    </row>
    <row r="5125" spans="13:13" ht="15" customHeight="1" x14ac:dyDescent="0.25">
      <c r="M5125" s="274"/>
    </row>
    <row r="5126" spans="13:13" ht="15" customHeight="1" x14ac:dyDescent="0.25">
      <c r="M5126" s="274"/>
    </row>
    <row r="5127" spans="13:13" ht="15" customHeight="1" x14ac:dyDescent="0.25">
      <c r="M5127" s="274"/>
    </row>
    <row r="5128" spans="13:13" ht="15" customHeight="1" x14ac:dyDescent="0.25">
      <c r="M5128" s="274"/>
    </row>
    <row r="5129" spans="13:13" ht="15" customHeight="1" x14ac:dyDescent="0.25">
      <c r="M5129" s="274"/>
    </row>
    <row r="5130" spans="13:13" ht="15" customHeight="1" x14ac:dyDescent="0.25">
      <c r="M5130" s="274"/>
    </row>
    <row r="5131" spans="13:13" ht="15" customHeight="1" x14ac:dyDescent="0.25">
      <c r="M5131" s="274"/>
    </row>
    <row r="5132" spans="13:13" ht="15" customHeight="1" x14ac:dyDescent="0.25">
      <c r="M5132" s="274"/>
    </row>
    <row r="5133" spans="13:13" ht="15" customHeight="1" x14ac:dyDescent="0.25">
      <c r="M5133" s="274"/>
    </row>
    <row r="5134" spans="13:13" ht="15" customHeight="1" x14ac:dyDescent="0.25">
      <c r="M5134" s="274"/>
    </row>
    <row r="5135" spans="13:13" ht="15" customHeight="1" x14ac:dyDescent="0.25">
      <c r="M5135" s="274"/>
    </row>
    <row r="5136" spans="13:13" ht="15" customHeight="1" x14ac:dyDescent="0.25">
      <c r="M5136" s="274"/>
    </row>
    <row r="5137" spans="13:13" ht="15" customHeight="1" x14ac:dyDescent="0.25">
      <c r="M5137" s="274"/>
    </row>
    <row r="5138" spans="13:13" ht="15" customHeight="1" x14ac:dyDescent="0.25">
      <c r="M5138" s="274"/>
    </row>
    <row r="5139" spans="13:13" ht="15" customHeight="1" x14ac:dyDescent="0.25">
      <c r="M5139" s="274"/>
    </row>
    <row r="5140" spans="13:13" ht="15" customHeight="1" x14ac:dyDescent="0.25">
      <c r="M5140" s="274"/>
    </row>
    <row r="5141" spans="13:13" ht="15" customHeight="1" x14ac:dyDescent="0.25">
      <c r="M5141" s="274"/>
    </row>
    <row r="5142" spans="13:13" ht="15" customHeight="1" x14ac:dyDescent="0.25">
      <c r="M5142" s="274"/>
    </row>
    <row r="5143" spans="13:13" ht="15" customHeight="1" x14ac:dyDescent="0.25">
      <c r="M5143" s="274"/>
    </row>
    <row r="5144" spans="13:13" ht="15" customHeight="1" x14ac:dyDescent="0.25">
      <c r="M5144" s="274"/>
    </row>
    <row r="5145" spans="13:13" ht="15" customHeight="1" x14ac:dyDescent="0.25">
      <c r="M5145" s="274"/>
    </row>
    <row r="5146" spans="13:13" ht="15" customHeight="1" x14ac:dyDescent="0.25">
      <c r="M5146" s="274"/>
    </row>
    <row r="5147" spans="13:13" ht="15" customHeight="1" x14ac:dyDescent="0.25">
      <c r="M5147" s="274"/>
    </row>
    <row r="5148" spans="13:13" ht="15" customHeight="1" x14ac:dyDescent="0.25">
      <c r="M5148" s="274"/>
    </row>
    <row r="5149" spans="13:13" ht="15" customHeight="1" x14ac:dyDescent="0.25">
      <c r="M5149" s="274"/>
    </row>
    <row r="5150" spans="13:13" ht="15" customHeight="1" x14ac:dyDescent="0.25">
      <c r="M5150" s="274"/>
    </row>
    <row r="5151" spans="13:13" ht="15" customHeight="1" x14ac:dyDescent="0.25">
      <c r="M5151" s="274"/>
    </row>
    <row r="5152" spans="13:13" ht="15" customHeight="1" x14ac:dyDescent="0.25">
      <c r="M5152" s="274"/>
    </row>
    <row r="5153" spans="13:13" ht="15" customHeight="1" x14ac:dyDescent="0.25">
      <c r="M5153" s="274"/>
    </row>
    <row r="5154" spans="13:13" ht="15" customHeight="1" x14ac:dyDescent="0.25">
      <c r="M5154" s="274"/>
    </row>
    <row r="5155" spans="13:13" ht="15" customHeight="1" x14ac:dyDescent="0.25">
      <c r="M5155" s="274"/>
    </row>
    <row r="5156" spans="13:13" ht="15" customHeight="1" x14ac:dyDescent="0.25">
      <c r="M5156" s="274"/>
    </row>
    <row r="5157" spans="13:13" ht="15" customHeight="1" x14ac:dyDescent="0.25">
      <c r="M5157" s="274"/>
    </row>
    <row r="5158" spans="13:13" ht="15" customHeight="1" x14ac:dyDescent="0.25">
      <c r="M5158" s="274"/>
    </row>
    <row r="5159" spans="13:13" ht="15" customHeight="1" x14ac:dyDescent="0.25">
      <c r="M5159" s="274"/>
    </row>
    <row r="5160" spans="13:13" ht="15" customHeight="1" x14ac:dyDescent="0.25">
      <c r="M5160" s="274"/>
    </row>
    <row r="5161" spans="13:13" ht="15" customHeight="1" x14ac:dyDescent="0.25">
      <c r="M5161" s="274"/>
    </row>
    <row r="5162" spans="13:13" ht="15" customHeight="1" x14ac:dyDescent="0.25">
      <c r="M5162" s="274"/>
    </row>
    <row r="5163" spans="13:13" ht="15" customHeight="1" x14ac:dyDescent="0.25">
      <c r="M5163" s="274"/>
    </row>
    <row r="5164" spans="13:13" ht="15" customHeight="1" x14ac:dyDescent="0.25">
      <c r="M5164" s="274"/>
    </row>
    <row r="5165" spans="13:13" ht="15" customHeight="1" x14ac:dyDescent="0.25">
      <c r="M5165" s="274"/>
    </row>
    <row r="5166" spans="13:13" ht="15" customHeight="1" x14ac:dyDescent="0.25">
      <c r="M5166" s="274"/>
    </row>
    <row r="5167" spans="13:13" ht="15" customHeight="1" x14ac:dyDescent="0.25">
      <c r="M5167" s="274"/>
    </row>
    <row r="5168" spans="13:13" ht="15" customHeight="1" x14ac:dyDescent="0.25">
      <c r="M5168" s="274"/>
    </row>
    <row r="5169" spans="13:13" ht="15" customHeight="1" x14ac:dyDescent="0.25">
      <c r="M5169" s="274"/>
    </row>
    <row r="5170" spans="13:13" ht="15" customHeight="1" x14ac:dyDescent="0.25">
      <c r="M5170" s="274"/>
    </row>
    <row r="5171" spans="13:13" ht="15" customHeight="1" x14ac:dyDescent="0.25">
      <c r="M5171" s="274"/>
    </row>
    <row r="5172" spans="13:13" ht="15" customHeight="1" x14ac:dyDescent="0.25">
      <c r="M5172" s="274"/>
    </row>
    <row r="5173" spans="13:13" ht="15" customHeight="1" x14ac:dyDescent="0.25">
      <c r="M5173" s="274"/>
    </row>
    <row r="5174" spans="13:13" ht="15" customHeight="1" x14ac:dyDescent="0.25">
      <c r="M5174" s="274"/>
    </row>
    <row r="5175" spans="13:13" ht="15" customHeight="1" x14ac:dyDescent="0.25">
      <c r="M5175" s="274"/>
    </row>
    <row r="5176" spans="13:13" ht="15" customHeight="1" x14ac:dyDescent="0.25">
      <c r="M5176" s="274"/>
    </row>
    <row r="5177" spans="13:13" ht="15" customHeight="1" x14ac:dyDescent="0.25">
      <c r="M5177" s="274"/>
    </row>
    <row r="5178" spans="13:13" ht="15" customHeight="1" x14ac:dyDescent="0.25">
      <c r="M5178" s="274"/>
    </row>
    <row r="5179" spans="13:13" ht="15" customHeight="1" x14ac:dyDescent="0.25">
      <c r="M5179" s="274"/>
    </row>
    <row r="5180" spans="13:13" ht="15" customHeight="1" x14ac:dyDescent="0.25">
      <c r="M5180" s="274"/>
    </row>
    <row r="5181" spans="13:13" ht="15" customHeight="1" x14ac:dyDescent="0.25">
      <c r="M5181" s="274"/>
    </row>
    <row r="5182" spans="13:13" ht="15" customHeight="1" x14ac:dyDescent="0.25">
      <c r="M5182" s="274"/>
    </row>
    <row r="5183" spans="13:13" ht="15" customHeight="1" x14ac:dyDescent="0.25">
      <c r="M5183" s="274"/>
    </row>
    <row r="5184" spans="13:13" ht="15" customHeight="1" x14ac:dyDescent="0.25">
      <c r="M5184" s="274"/>
    </row>
    <row r="5185" spans="13:13" ht="15" customHeight="1" x14ac:dyDescent="0.25">
      <c r="M5185" s="274"/>
    </row>
    <row r="5186" spans="13:13" ht="15" customHeight="1" x14ac:dyDescent="0.25">
      <c r="M5186" s="274"/>
    </row>
    <row r="5187" spans="13:13" ht="15" customHeight="1" x14ac:dyDescent="0.25">
      <c r="M5187" s="274"/>
    </row>
    <row r="5188" spans="13:13" ht="15" customHeight="1" x14ac:dyDescent="0.25">
      <c r="M5188" s="274"/>
    </row>
    <row r="5189" spans="13:13" ht="15" customHeight="1" x14ac:dyDescent="0.25">
      <c r="M5189" s="274"/>
    </row>
    <row r="5190" spans="13:13" ht="15" customHeight="1" x14ac:dyDescent="0.25">
      <c r="M5190" s="274"/>
    </row>
    <row r="5191" spans="13:13" ht="15" customHeight="1" x14ac:dyDescent="0.25">
      <c r="M5191" s="274"/>
    </row>
    <row r="5192" spans="13:13" ht="15" customHeight="1" x14ac:dyDescent="0.25">
      <c r="M5192" s="274"/>
    </row>
    <row r="5193" spans="13:13" ht="15" customHeight="1" x14ac:dyDescent="0.25">
      <c r="M5193" s="274"/>
    </row>
    <row r="5194" spans="13:13" ht="15" customHeight="1" x14ac:dyDescent="0.25">
      <c r="M5194" s="274"/>
    </row>
    <row r="5195" spans="13:13" ht="15" customHeight="1" x14ac:dyDescent="0.25">
      <c r="M5195" s="274"/>
    </row>
    <row r="5196" spans="13:13" ht="15" customHeight="1" x14ac:dyDescent="0.25">
      <c r="M5196" s="274"/>
    </row>
    <row r="5197" spans="13:13" ht="15" customHeight="1" x14ac:dyDescent="0.25">
      <c r="M5197" s="274"/>
    </row>
    <row r="5198" spans="13:13" ht="15" customHeight="1" x14ac:dyDescent="0.25">
      <c r="M5198" s="274"/>
    </row>
    <row r="5199" spans="13:13" ht="15" customHeight="1" x14ac:dyDescent="0.25">
      <c r="M5199" s="274"/>
    </row>
    <row r="5200" spans="13:13" ht="15" customHeight="1" x14ac:dyDescent="0.25">
      <c r="M5200" s="274"/>
    </row>
    <row r="5201" spans="13:13" ht="15" customHeight="1" x14ac:dyDescent="0.25">
      <c r="M5201" s="274"/>
    </row>
    <row r="5202" spans="13:13" ht="15" customHeight="1" x14ac:dyDescent="0.25">
      <c r="M5202" s="274"/>
    </row>
    <row r="5203" spans="13:13" ht="15" customHeight="1" x14ac:dyDescent="0.25">
      <c r="M5203" s="274"/>
    </row>
    <row r="5204" spans="13:13" ht="15" customHeight="1" x14ac:dyDescent="0.25">
      <c r="M5204" s="274"/>
    </row>
    <row r="5205" spans="13:13" ht="15" customHeight="1" x14ac:dyDescent="0.25">
      <c r="M5205" s="274"/>
    </row>
    <row r="5206" spans="13:13" ht="15" customHeight="1" x14ac:dyDescent="0.25">
      <c r="M5206" s="274"/>
    </row>
    <row r="5207" spans="13:13" ht="15" customHeight="1" x14ac:dyDescent="0.25">
      <c r="M5207" s="274"/>
    </row>
    <row r="5208" spans="13:13" ht="15" customHeight="1" x14ac:dyDescent="0.25">
      <c r="M5208" s="274"/>
    </row>
    <row r="5209" spans="13:13" ht="15" customHeight="1" x14ac:dyDescent="0.25">
      <c r="M5209" s="274"/>
    </row>
    <row r="5210" spans="13:13" ht="15" customHeight="1" x14ac:dyDescent="0.25">
      <c r="M5210" s="274"/>
    </row>
    <row r="5211" spans="13:13" ht="15" customHeight="1" x14ac:dyDescent="0.25">
      <c r="M5211" s="274"/>
    </row>
    <row r="5212" spans="13:13" ht="15" customHeight="1" x14ac:dyDescent="0.25">
      <c r="M5212" s="274"/>
    </row>
    <row r="5213" spans="13:13" ht="15" customHeight="1" x14ac:dyDescent="0.25">
      <c r="M5213" s="274"/>
    </row>
    <row r="5214" spans="13:13" ht="15" customHeight="1" x14ac:dyDescent="0.25">
      <c r="M5214" s="274"/>
    </row>
    <row r="5215" spans="13:13" ht="15" customHeight="1" x14ac:dyDescent="0.25">
      <c r="M5215" s="274"/>
    </row>
    <row r="5216" spans="13:13" ht="15" customHeight="1" x14ac:dyDescent="0.25">
      <c r="M5216" s="274"/>
    </row>
    <row r="5217" spans="13:13" ht="15" customHeight="1" x14ac:dyDescent="0.25">
      <c r="M5217" s="274"/>
    </row>
    <row r="5218" spans="13:13" ht="15" customHeight="1" x14ac:dyDescent="0.25">
      <c r="M5218" s="274"/>
    </row>
    <row r="5219" spans="13:13" ht="15" customHeight="1" x14ac:dyDescent="0.25">
      <c r="M5219" s="274"/>
    </row>
    <row r="5220" spans="13:13" ht="15" customHeight="1" x14ac:dyDescent="0.25">
      <c r="M5220" s="274"/>
    </row>
    <row r="5221" spans="13:13" ht="15" customHeight="1" x14ac:dyDescent="0.25">
      <c r="M5221" s="274"/>
    </row>
    <row r="5222" spans="13:13" ht="15" customHeight="1" x14ac:dyDescent="0.25">
      <c r="M5222" s="274"/>
    </row>
    <row r="5223" spans="13:13" ht="15" customHeight="1" x14ac:dyDescent="0.25">
      <c r="M5223" s="274"/>
    </row>
    <row r="5224" spans="13:13" ht="15" customHeight="1" x14ac:dyDescent="0.25">
      <c r="M5224" s="274"/>
    </row>
    <row r="5225" spans="13:13" ht="15" customHeight="1" x14ac:dyDescent="0.25">
      <c r="M5225" s="274"/>
    </row>
    <row r="5226" spans="13:13" ht="15" customHeight="1" x14ac:dyDescent="0.25">
      <c r="M5226" s="274"/>
    </row>
    <row r="5227" spans="13:13" ht="15" customHeight="1" x14ac:dyDescent="0.25">
      <c r="M5227" s="274"/>
    </row>
    <row r="5228" spans="13:13" ht="15" customHeight="1" x14ac:dyDescent="0.25">
      <c r="M5228" s="274"/>
    </row>
    <row r="5229" spans="13:13" ht="15" customHeight="1" x14ac:dyDescent="0.25">
      <c r="M5229" s="274"/>
    </row>
    <row r="5230" spans="13:13" ht="15" customHeight="1" x14ac:dyDescent="0.25">
      <c r="M5230" s="274"/>
    </row>
    <row r="5231" spans="13:13" ht="15" customHeight="1" x14ac:dyDescent="0.25">
      <c r="M5231" s="274"/>
    </row>
    <row r="5232" spans="13:13" ht="15" customHeight="1" x14ac:dyDescent="0.25">
      <c r="M5232" s="274"/>
    </row>
    <row r="5233" spans="13:13" ht="15" customHeight="1" x14ac:dyDescent="0.25">
      <c r="M5233" s="274"/>
    </row>
    <row r="5234" spans="13:13" ht="15" customHeight="1" x14ac:dyDescent="0.25">
      <c r="M5234" s="274"/>
    </row>
    <row r="5235" spans="13:13" ht="15" customHeight="1" x14ac:dyDescent="0.25">
      <c r="M5235" s="274"/>
    </row>
    <row r="5236" spans="13:13" ht="15" customHeight="1" x14ac:dyDescent="0.25">
      <c r="M5236" s="274"/>
    </row>
    <row r="5237" spans="13:13" ht="15" customHeight="1" x14ac:dyDescent="0.25">
      <c r="M5237" s="274"/>
    </row>
    <row r="5238" spans="13:13" ht="15" customHeight="1" x14ac:dyDescent="0.25">
      <c r="M5238" s="274"/>
    </row>
    <row r="5239" spans="13:13" ht="15" customHeight="1" x14ac:dyDescent="0.25">
      <c r="M5239" s="274"/>
    </row>
    <row r="5240" spans="13:13" ht="15" customHeight="1" x14ac:dyDescent="0.25">
      <c r="M5240" s="274"/>
    </row>
    <row r="5241" spans="13:13" ht="15" customHeight="1" x14ac:dyDescent="0.25">
      <c r="M5241" s="274"/>
    </row>
    <row r="5242" spans="13:13" ht="15" customHeight="1" x14ac:dyDescent="0.25">
      <c r="M5242" s="274"/>
    </row>
    <row r="5243" spans="13:13" ht="15" customHeight="1" x14ac:dyDescent="0.25">
      <c r="M5243" s="274"/>
    </row>
    <row r="5244" spans="13:13" ht="15" customHeight="1" x14ac:dyDescent="0.25">
      <c r="M5244" s="274"/>
    </row>
    <row r="5245" spans="13:13" ht="15" customHeight="1" x14ac:dyDescent="0.25">
      <c r="M5245" s="274"/>
    </row>
    <row r="5246" spans="13:13" ht="15" customHeight="1" x14ac:dyDescent="0.25">
      <c r="M5246" s="274"/>
    </row>
    <row r="5247" spans="13:13" ht="15" customHeight="1" x14ac:dyDescent="0.25">
      <c r="M5247" s="274"/>
    </row>
    <row r="5248" spans="13:13" ht="15" customHeight="1" x14ac:dyDescent="0.25">
      <c r="M5248" s="274"/>
    </row>
    <row r="5249" spans="13:13" ht="15" customHeight="1" x14ac:dyDescent="0.25">
      <c r="M5249" s="274"/>
    </row>
    <row r="5250" spans="13:13" ht="15" customHeight="1" x14ac:dyDescent="0.25">
      <c r="M5250" s="274"/>
    </row>
    <row r="5251" spans="13:13" ht="15" customHeight="1" x14ac:dyDescent="0.25">
      <c r="M5251" s="274"/>
    </row>
    <row r="5252" spans="13:13" ht="15" customHeight="1" x14ac:dyDescent="0.25">
      <c r="M5252" s="274"/>
    </row>
    <row r="5253" spans="13:13" ht="15" customHeight="1" x14ac:dyDescent="0.25">
      <c r="M5253" s="274"/>
    </row>
    <row r="5254" spans="13:13" ht="15" customHeight="1" x14ac:dyDescent="0.25">
      <c r="M5254" s="274"/>
    </row>
    <row r="5255" spans="13:13" ht="15" customHeight="1" x14ac:dyDescent="0.25">
      <c r="M5255" s="274"/>
    </row>
    <row r="5256" spans="13:13" ht="15" customHeight="1" x14ac:dyDescent="0.25">
      <c r="M5256" s="274"/>
    </row>
    <row r="5257" spans="13:13" ht="15" customHeight="1" x14ac:dyDescent="0.25">
      <c r="M5257" s="274"/>
    </row>
    <row r="5258" spans="13:13" ht="15" customHeight="1" x14ac:dyDescent="0.25">
      <c r="M5258" s="274"/>
    </row>
    <row r="5259" spans="13:13" ht="15" customHeight="1" x14ac:dyDescent="0.25">
      <c r="M5259" s="274"/>
    </row>
    <row r="5260" spans="13:13" ht="15" customHeight="1" x14ac:dyDescent="0.25">
      <c r="M5260" s="274"/>
    </row>
    <row r="5261" spans="13:13" ht="15" customHeight="1" x14ac:dyDescent="0.25">
      <c r="M5261" s="274"/>
    </row>
    <row r="5262" spans="13:13" ht="15" customHeight="1" x14ac:dyDescent="0.25">
      <c r="M5262" s="274"/>
    </row>
    <row r="5263" spans="13:13" ht="15" customHeight="1" x14ac:dyDescent="0.25">
      <c r="M5263" s="274"/>
    </row>
    <row r="5264" spans="13:13" ht="15" customHeight="1" x14ac:dyDescent="0.25">
      <c r="M5264" s="274"/>
    </row>
    <row r="5265" spans="13:13" ht="15" customHeight="1" x14ac:dyDescent="0.25">
      <c r="M5265" s="274"/>
    </row>
    <row r="5266" spans="13:13" ht="15" customHeight="1" x14ac:dyDescent="0.25">
      <c r="M5266" s="274"/>
    </row>
    <row r="5267" spans="13:13" ht="15" customHeight="1" x14ac:dyDescent="0.25">
      <c r="M5267" s="274"/>
    </row>
    <row r="5268" spans="13:13" ht="15" customHeight="1" x14ac:dyDescent="0.25">
      <c r="M5268" s="274"/>
    </row>
    <row r="5269" spans="13:13" ht="15" customHeight="1" x14ac:dyDescent="0.25">
      <c r="M5269" s="274"/>
    </row>
    <row r="5270" spans="13:13" ht="15" customHeight="1" x14ac:dyDescent="0.25">
      <c r="M5270" s="274"/>
    </row>
    <row r="5271" spans="13:13" ht="15" customHeight="1" x14ac:dyDescent="0.25">
      <c r="M5271" s="274"/>
    </row>
    <row r="5272" spans="13:13" ht="15" customHeight="1" x14ac:dyDescent="0.25">
      <c r="M5272" s="274"/>
    </row>
    <row r="5273" spans="13:13" ht="15" customHeight="1" x14ac:dyDescent="0.25">
      <c r="M5273" s="274"/>
    </row>
    <row r="5274" spans="13:13" ht="15" customHeight="1" x14ac:dyDescent="0.25">
      <c r="M5274" s="274"/>
    </row>
    <row r="5275" spans="13:13" ht="15" customHeight="1" x14ac:dyDescent="0.25">
      <c r="M5275" s="274"/>
    </row>
    <row r="5276" spans="13:13" ht="15" customHeight="1" x14ac:dyDescent="0.25">
      <c r="M5276" s="274"/>
    </row>
    <row r="5277" spans="13:13" ht="15" customHeight="1" x14ac:dyDescent="0.25">
      <c r="M5277" s="274"/>
    </row>
    <row r="5278" spans="13:13" ht="15" customHeight="1" x14ac:dyDescent="0.25">
      <c r="M5278" s="274"/>
    </row>
    <row r="5279" spans="13:13" ht="15" customHeight="1" x14ac:dyDescent="0.25">
      <c r="M5279" s="274"/>
    </row>
    <row r="5280" spans="13:13" ht="15" customHeight="1" x14ac:dyDescent="0.25">
      <c r="M5280" s="274"/>
    </row>
    <row r="5281" spans="13:13" ht="15" customHeight="1" x14ac:dyDescent="0.25">
      <c r="M5281" s="274"/>
    </row>
    <row r="5282" spans="13:13" ht="15" customHeight="1" x14ac:dyDescent="0.25">
      <c r="M5282" s="274"/>
    </row>
    <row r="5283" spans="13:13" ht="15" customHeight="1" x14ac:dyDescent="0.25">
      <c r="M5283" s="274"/>
    </row>
    <row r="5284" spans="13:13" ht="15" customHeight="1" x14ac:dyDescent="0.25">
      <c r="M5284" s="274"/>
    </row>
    <row r="5285" spans="13:13" ht="15" customHeight="1" x14ac:dyDescent="0.25">
      <c r="M5285" s="274"/>
    </row>
    <row r="5286" spans="13:13" ht="15" customHeight="1" x14ac:dyDescent="0.25">
      <c r="M5286" s="274"/>
    </row>
    <row r="5287" spans="13:13" ht="15" customHeight="1" x14ac:dyDescent="0.25">
      <c r="M5287" s="274"/>
    </row>
    <row r="5288" spans="13:13" ht="15" customHeight="1" x14ac:dyDescent="0.25">
      <c r="M5288" s="274"/>
    </row>
    <row r="5289" spans="13:13" ht="15" customHeight="1" x14ac:dyDescent="0.25">
      <c r="M5289" s="274"/>
    </row>
    <row r="5290" spans="13:13" ht="15" customHeight="1" x14ac:dyDescent="0.25">
      <c r="M5290" s="274"/>
    </row>
    <row r="5291" spans="13:13" ht="15" customHeight="1" x14ac:dyDescent="0.25">
      <c r="M5291" s="274"/>
    </row>
    <row r="5292" spans="13:13" ht="15" customHeight="1" x14ac:dyDescent="0.25">
      <c r="M5292" s="274"/>
    </row>
    <row r="5293" spans="13:13" ht="15" customHeight="1" x14ac:dyDescent="0.25">
      <c r="M5293" s="274"/>
    </row>
    <row r="5294" spans="13:13" ht="15" customHeight="1" x14ac:dyDescent="0.25">
      <c r="M5294" s="274"/>
    </row>
    <row r="5295" spans="13:13" ht="15" customHeight="1" x14ac:dyDescent="0.25">
      <c r="M5295" s="274"/>
    </row>
    <row r="5296" spans="13:13" ht="15" customHeight="1" x14ac:dyDescent="0.25">
      <c r="M5296" s="274"/>
    </row>
    <row r="5297" spans="13:13" ht="15" customHeight="1" x14ac:dyDescent="0.25">
      <c r="M5297" s="274"/>
    </row>
    <row r="5298" spans="13:13" ht="15" customHeight="1" x14ac:dyDescent="0.25">
      <c r="M5298" s="274"/>
    </row>
    <row r="5299" spans="13:13" ht="15" customHeight="1" x14ac:dyDescent="0.25">
      <c r="M5299" s="274"/>
    </row>
    <row r="5300" spans="13:13" ht="15" customHeight="1" x14ac:dyDescent="0.25">
      <c r="M5300" s="274"/>
    </row>
    <row r="5301" spans="13:13" ht="15" customHeight="1" x14ac:dyDescent="0.25">
      <c r="M5301" s="274"/>
    </row>
    <row r="5302" spans="13:13" ht="15" customHeight="1" x14ac:dyDescent="0.25">
      <c r="M5302" s="274"/>
    </row>
    <row r="5303" spans="13:13" ht="15" customHeight="1" x14ac:dyDescent="0.25">
      <c r="M5303" s="274"/>
    </row>
    <row r="5304" spans="13:13" ht="15" customHeight="1" x14ac:dyDescent="0.25">
      <c r="M5304" s="274"/>
    </row>
    <row r="5305" spans="13:13" ht="15" customHeight="1" x14ac:dyDescent="0.25">
      <c r="M5305" s="274"/>
    </row>
    <row r="5306" spans="13:13" ht="15" customHeight="1" x14ac:dyDescent="0.25">
      <c r="M5306" s="274"/>
    </row>
    <row r="5307" spans="13:13" ht="15" customHeight="1" x14ac:dyDescent="0.25">
      <c r="M5307" s="274"/>
    </row>
    <row r="5308" spans="13:13" ht="15" customHeight="1" x14ac:dyDescent="0.25">
      <c r="M5308" s="274"/>
    </row>
    <row r="5309" spans="13:13" ht="15" customHeight="1" x14ac:dyDescent="0.25">
      <c r="M5309" s="274"/>
    </row>
    <row r="5310" spans="13:13" ht="15" customHeight="1" x14ac:dyDescent="0.25">
      <c r="M5310" s="274"/>
    </row>
    <row r="5311" spans="13:13" ht="15" customHeight="1" x14ac:dyDescent="0.25">
      <c r="M5311" s="274"/>
    </row>
    <row r="5312" spans="13:13" ht="15" customHeight="1" x14ac:dyDescent="0.25">
      <c r="M5312" s="274"/>
    </row>
    <row r="5313" spans="13:13" ht="15" customHeight="1" x14ac:dyDescent="0.25">
      <c r="M5313" s="274"/>
    </row>
    <row r="5314" spans="13:13" ht="15" customHeight="1" x14ac:dyDescent="0.25">
      <c r="M5314" s="274"/>
    </row>
    <row r="5315" spans="13:13" ht="15" customHeight="1" x14ac:dyDescent="0.25">
      <c r="M5315" s="274"/>
    </row>
    <row r="5316" spans="13:13" ht="15" customHeight="1" x14ac:dyDescent="0.25">
      <c r="M5316" s="274"/>
    </row>
    <row r="5317" spans="13:13" ht="15" customHeight="1" x14ac:dyDescent="0.25">
      <c r="M5317" s="274"/>
    </row>
    <row r="5318" spans="13:13" ht="15" customHeight="1" x14ac:dyDescent="0.25">
      <c r="M5318" s="274"/>
    </row>
    <row r="5319" spans="13:13" ht="15" customHeight="1" x14ac:dyDescent="0.25">
      <c r="M5319" s="274"/>
    </row>
    <row r="5320" spans="13:13" ht="15" customHeight="1" x14ac:dyDescent="0.25">
      <c r="M5320" s="274"/>
    </row>
    <row r="5321" spans="13:13" ht="15" customHeight="1" x14ac:dyDescent="0.25">
      <c r="M5321" s="274"/>
    </row>
    <row r="5322" spans="13:13" ht="15" customHeight="1" x14ac:dyDescent="0.25">
      <c r="M5322" s="274"/>
    </row>
    <row r="5323" spans="13:13" ht="15" customHeight="1" x14ac:dyDescent="0.25">
      <c r="M5323" s="274"/>
    </row>
    <row r="5324" spans="13:13" ht="15" customHeight="1" x14ac:dyDescent="0.25">
      <c r="M5324" s="274"/>
    </row>
    <row r="5325" spans="13:13" ht="15" customHeight="1" x14ac:dyDescent="0.25">
      <c r="M5325" s="274"/>
    </row>
    <row r="5326" spans="13:13" ht="15" customHeight="1" x14ac:dyDescent="0.25">
      <c r="M5326" s="274"/>
    </row>
    <row r="5327" spans="13:13" ht="15" customHeight="1" x14ac:dyDescent="0.25">
      <c r="M5327" s="274"/>
    </row>
    <row r="5328" spans="13:13" ht="15" customHeight="1" x14ac:dyDescent="0.25">
      <c r="M5328" s="274"/>
    </row>
    <row r="5329" spans="13:13" ht="15" customHeight="1" x14ac:dyDescent="0.25">
      <c r="M5329" s="274"/>
    </row>
    <row r="5330" spans="13:13" ht="15" customHeight="1" x14ac:dyDescent="0.25">
      <c r="M5330" s="274"/>
    </row>
    <row r="5331" spans="13:13" ht="15" customHeight="1" x14ac:dyDescent="0.25">
      <c r="M5331" s="274"/>
    </row>
    <row r="5332" spans="13:13" ht="15" customHeight="1" x14ac:dyDescent="0.25">
      <c r="M5332" s="274"/>
    </row>
    <row r="5333" spans="13:13" ht="15" customHeight="1" x14ac:dyDescent="0.25">
      <c r="M5333" s="274"/>
    </row>
    <row r="5334" spans="13:13" ht="15" customHeight="1" x14ac:dyDescent="0.25">
      <c r="M5334" s="274"/>
    </row>
    <row r="5335" spans="13:13" ht="15" customHeight="1" x14ac:dyDescent="0.25">
      <c r="M5335" s="274"/>
    </row>
    <row r="5336" spans="13:13" ht="15" customHeight="1" x14ac:dyDescent="0.25">
      <c r="M5336" s="274"/>
    </row>
    <row r="5337" spans="13:13" ht="15" customHeight="1" x14ac:dyDescent="0.25">
      <c r="M5337" s="274"/>
    </row>
    <row r="5338" spans="13:13" ht="15" customHeight="1" x14ac:dyDescent="0.25">
      <c r="M5338" s="274"/>
    </row>
    <row r="5339" spans="13:13" ht="15" customHeight="1" x14ac:dyDescent="0.25">
      <c r="M5339" s="274"/>
    </row>
    <row r="5340" spans="13:13" ht="15" customHeight="1" x14ac:dyDescent="0.25">
      <c r="M5340" s="274"/>
    </row>
    <row r="5341" spans="13:13" ht="15" customHeight="1" x14ac:dyDescent="0.25">
      <c r="M5341" s="274"/>
    </row>
    <row r="5342" spans="13:13" ht="15" customHeight="1" x14ac:dyDescent="0.25">
      <c r="M5342" s="274"/>
    </row>
    <row r="5343" spans="13:13" ht="15" customHeight="1" x14ac:dyDescent="0.25">
      <c r="M5343" s="274"/>
    </row>
    <row r="5344" spans="13:13" ht="15" customHeight="1" x14ac:dyDescent="0.25">
      <c r="M5344" s="274"/>
    </row>
    <row r="5345" spans="13:13" ht="15" customHeight="1" x14ac:dyDescent="0.25">
      <c r="M5345" s="274"/>
    </row>
    <row r="5346" spans="13:13" ht="15" customHeight="1" x14ac:dyDescent="0.25">
      <c r="M5346" s="274"/>
    </row>
    <row r="5347" spans="13:13" ht="15" customHeight="1" x14ac:dyDescent="0.25">
      <c r="M5347" s="274"/>
    </row>
    <row r="5348" spans="13:13" ht="15" customHeight="1" x14ac:dyDescent="0.25">
      <c r="M5348" s="274"/>
    </row>
    <row r="5349" spans="13:13" ht="15" customHeight="1" x14ac:dyDescent="0.25">
      <c r="M5349" s="274"/>
    </row>
    <row r="5350" spans="13:13" ht="15" customHeight="1" x14ac:dyDescent="0.25">
      <c r="M5350" s="274"/>
    </row>
    <row r="5351" spans="13:13" ht="15" customHeight="1" x14ac:dyDescent="0.25">
      <c r="M5351" s="274"/>
    </row>
    <row r="5352" spans="13:13" ht="15" customHeight="1" x14ac:dyDescent="0.25">
      <c r="M5352" s="274"/>
    </row>
    <row r="5353" spans="13:13" ht="15" customHeight="1" x14ac:dyDescent="0.25">
      <c r="M5353" s="274"/>
    </row>
    <row r="5354" spans="13:13" ht="15" customHeight="1" x14ac:dyDescent="0.25">
      <c r="M5354" s="274"/>
    </row>
    <row r="5355" spans="13:13" ht="15" customHeight="1" x14ac:dyDescent="0.25">
      <c r="M5355" s="274"/>
    </row>
    <row r="5356" spans="13:13" ht="15" customHeight="1" x14ac:dyDescent="0.25">
      <c r="M5356" s="274"/>
    </row>
    <row r="5357" spans="13:13" ht="15" customHeight="1" x14ac:dyDescent="0.25">
      <c r="M5357" s="274"/>
    </row>
    <row r="5358" spans="13:13" ht="15" customHeight="1" x14ac:dyDescent="0.25">
      <c r="M5358" s="274"/>
    </row>
    <row r="5359" spans="13:13" ht="15" customHeight="1" x14ac:dyDescent="0.25">
      <c r="M5359" s="274"/>
    </row>
    <row r="5360" spans="13:13" ht="15" customHeight="1" x14ac:dyDescent="0.25">
      <c r="M5360" s="274"/>
    </row>
    <row r="5361" spans="13:13" ht="15" customHeight="1" x14ac:dyDescent="0.25">
      <c r="M5361" s="274"/>
    </row>
    <row r="5362" spans="13:13" ht="15" customHeight="1" x14ac:dyDescent="0.25">
      <c r="M5362" s="274"/>
    </row>
    <row r="5363" spans="13:13" ht="15" customHeight="1" x14ac:dyDescent="0.25">
      <c r="M5363" s="274"/>
    </row>
    <row r="5364" spans="13:13" ht="15" customHeight="1" x14ac:dyDescent="0.25">
      <c r="M5364" s="274"/>
    </row>
    <row r="5365" spans="13:13" ht="15" customHeight="1" x14ac:dyDescent="0.25">
      <c r="M5365" s="274"/>
    </row>
    <row r="5366" spans="13:13" ht="15" customHeight="1" x14ac:dyDescent="0.25">
      <c r="M5366" s="274"/>
    </row>
    <row r="5367" spans="13:13" ht="15" customHeight="1" x14ac:dyDescent="0.25">
      <c r="M5367" s="274"/>
    </row>
    <row r="5368" spans="13:13" ht="15" customHeight="1" x14ac:dyDescent="0.25">
      <c r="M5368" s="274"/>
    </row>
    <row r="5369" spans="13:13" ht="15" customHeight="1" x14ac:dyDescent="0.25">
      <c r="M5369" s="274"/>
    </row>
    <row r="5370" spans="13:13" ht="15" customHeight="1" x14ac:dyDescent="0.25">
      <c r="M5370" s="274"/>
    </row>
    <row r="5371" spans="13:13" ht="15" customHeight="1" x14ac:dyDescent="0.25">
      <c r="M5371" s="274"/>
    </row>
    <row r="5372" spans="13:13" ht="15" customHeight="1" x14ac:dyDescent="0.25">
      <c r="M5372" s="274"/>
    </row>
    <row r="5373" spans="13:13" ht="15" customHeight="1" x14ac:dyDescent="0.25">
      <c r="M5373" s="274"/>
    </row>
    <row r="5374" spans="13:13" ht="15" customHeight="1" x14ac:dyDescent="0.25">
      <c r="M5374" s="274"/>
    </row>
    <row r="5375" spans="13:13" ht="15" customHeight="1" x14ac:dyDescent="0.25">
      <c r="M5375" s="274"/>
    </row>
    <row r="5376" spans="13:13" ht="15" customHeight="1" x14ac:dyDescent="0.25">
      <c r="M5376" s="274"/>
    </row>
    <row r="5377" spans="13:13" ht="15" customHeight="1" x14ac:dyDescent="0.25">
      <c r="M5377" s="274"/>
    </row>
    <row r="5378" spans="13:13" ht="15" customHeight="1" x14ac:dyDescent="0.25">
      <c r="M5378" s="274"/>
    </row>
    <row r="5379" spans="13:13" ht="15" customHeight="1" x14ac:dyDescent="0.25">
      <c r="M5379" s="274"/>
    </row>
    <row r="5380" spans="13:13" ht="15" customHeight="1" x14ac:dyDescent="0.25">
      <c r="M5380" s="274"/>
    </row>
    <row r="5381" spans="13:13" ht="15" customHeight="1" x14ac:dyDescent="0.25">
      <c r="M5381" s="274"/>
    </row>
    <row r="5382" spans="13:13" ht="15" customHeight="1" x14ac:dyDescent="0.25">
      <c r="M5382" s="274"/>
    </row>
    <row r="5383" spans="13:13" ht="15" customHeight="1" x14ac:dyDescent="0.25">
      <c r="M5383" s="274"/>
    </row>
    <row r="5384" spans="13:13" ht="15" customHeight="1" x14ac:dyDescent="0.25">
      <c r="M5384" s="274"/>
    </row>
    <row r="5385" spans="13:13" ht="15" customHeight="1" x14ac:dyDescent="0.25">
      <c r="M5385" s="274"/>
    </row>
    <row r="5386" spans="13:13" ht="15" customHeight="1" x14ac:dyDescent="0.25">
      <c r="M5386" s="274"/>
    </row>
    <row r="5387" spans="13:13" ht="15" customHeight="1" x14ac:dyDescent="0.25">
      <c r="M5387" s="274"/>
    </row>
    <row r="5388" spans="13:13" ht="15" customHeight="1" x14ac:dyDescent="0.25">
      <c r="M5388" s="274"/>
    </row>
    <row r="5389" spans="13:13" ht="15" customHeight="1" x14ac:dyDescent="0.25">
      <c r="M5389" s="274"/>
    </row>
    <row r="5390" spans="13:13" ht="15" customHeight="1" x14ac:dyDescent="0.25">
      <c r="M5390" s="274"/>
    </row>
    <row r="5391" spans="13:13" ht="15" customHeight="1" x14ac:dyDescent="0.25">
      <c r="M5391" s="274"/>
    </row>
    <row r="5392" spans="13:13" ht="15" customHeight="1" x14ac:dyDescent="0.25">
      <c r="M5392" s="274"/>
    </row>
    <row r="5393" spans="13:13" ht="15" customHeight="1" x14ac:dyDescent="0.25">
      <c r="M5393" s="274"/>
    </row>
    <row r="5394" spans="13:13" ht="15" customHeight="1" x14ac:dyDescent="0.25">
      <c r="M5394" s="274"/>
    </row>
    <row r="5395" spans="13:13" ht="15" customHeight="1" x14ac:dyDescent="0.25">
      <c r="M5395" s="274"/>
    </row>
    <row r="5396" spans="13:13" ht="15" customHeight="1" x14ac:dyDescent="0.25">
      <c r="M5396" s="274"/>
    </row>
    <row r="5397" spans="13:13" ht="15" customHeight="1" x14ac:dyDescent="0.25">
      <c r="M5397" s="274"/>
    </row>
    <row r="5398" spans="13:13" ht="15" customHeight="1" x14ac:dyDescent="0.25">
      <c r="M5398" s="274"/>
    </row>
    <row r="5399" spans="13:13" ht="15" customHeight="1" x14ac:dyDescent="0.25">
      <c r="M5399" s="274"/>
    </row>
    <row r="5400" spans="13:13" ht="15" customHeight="1" x14ac:dyDescent="0.25">
      <c r="M5400" s="274"/>
    </row>
    <row r="5401" spans="13:13" ht="15" customHeight="1" x14ac:dyDescent="0.25">
      <c r="M5401" s="274"/>
    </row>
    <row r="5402" spans="13:13" ht="15" customHeight="1" x14ac:dyDescent="0.25">
      <c r="M5402" s="274"/>
    </row>
    <row r="5403" spans="13:13" ht="15" customHeight="1" x14ac:dyDescent="0.25">
      <c r="M5403" s="274"/>
    </row>
    <row r="5404" spans="13:13" ht="15" customHeight="1" x14ac:dyDescent="0.25">
      <c r="M5404" s="274"/>
    </row>
    <row r="5405" spans="13:13" ht="15" customHeight="1" x14ac:dyDescent="0.25">
      <c r="M5405" s="274"/>
    </row>
    <row r="5406" spans="13:13" ht="15" customHeight="1" x14ac:dyDescent="0.25">
      <c r="M5406" s="274"/>
    </row>
    <row r="5407" spans="13:13" ht="15" customHeight="1" x14ac:dyDescent="0.25">
      <c r="M5407" s="274"/>
    </row>
    <row r="5408" spans="13:13" ht="15" customHeight="1" x14ac:dyDescent="0.25">
      <c r="M5408" s="274"/>
    </row>
    <row r="5409" spans="13:13" ht="15" customHeight="1" x14ac:dyDescent="0.25">
      <c r="M5409" s="274"/>
    </row>
    <row r="5410" spans="13:13" ht="15" customHeight="1" x14ac:dyDescent="0.25">
      <c r="M5410" s="274"/>
    </row>
    <row r="5411" spans="13:13" ht="15" customHeight="1" x14ac:dyDescent="0.25">
      <c r="M5411" s="274"/>
    </row>
    <row r="5412" spans="13:13" ht="15" customHeight="1" x14ac:dyDescent="0.25">
      <c r="M5412" s="274"/>
    </row>
    <row r="5413" spans="13:13" ht="15" customHeight="1" x14ac:dyDescent="0.25">
      <c r="M5413" s="274"/>
    </row>
    <row r="5414" spans="13:13" ht="15" customHeight="1" x14ac:dyDescent="0.25">
      <c r="M5414" s="274"/>
    </row>
    <row r="5415" spans="13:13" ht="15" customHeight="1" x14ac:dyDescent="0.25">
      <c r="M5415" s="274"/>
    </row>
    <row r="5416" spans="13:13" ht="15" customHeight="1" x14ac:dyDescent="0.25">
      <c r="M5416" s="274"/>
    </row>
    <row r="5417" spans="13:13" ht="15" customHeight="1" x14ac:dyDescent="0.25">
      <c r="M5417" s="274"/>
    </row>
    <row r="5418" spans="13:13" ht="15" customHeight="1" x14ac:dyDescent="0.25">
      <c r="M5418" s="274"/>
    </row>
    <row r="5419" spans="13:13" ht="15" customHeight="1" x14ac:dyDescent="0.25">
      <c r="M5419" s="274"/>
    </row>
    <row r="5420" spans="13:13" ht="15" customHeight="1" x14ac:dyDescent="0.25">
      <c r="M5420" s="274"/>
    </row>
    <row r="5421" spans="13:13" ht="15" customHeight="1" x14ac:dyDescent="0.25">
      <c r="M5421" s="274"/>
    </row>
    <row r="5422" spans="13:13" ht="15" customHeight="1" x14ac:dyDescent="0.25">
      <c r="M5422" s="274"/>
    </row>
    <row r="5423" spans="13:13" ht="15" customHeight="1" x14ac:dyDescent="0.25">
      <c r="M5423" s="274"/>
    </row>
    <row r="5424" spans="13:13" ht="15" customHeight="1" x14ac:dyDescent="0.25">
      <c r="M5424" s="274"/>
    </row>
    <row r="5425" spans="13:13" ht="15" customHeight="1" x14ac:dyDescent="0.25">
      <c r="M5425" s="274"/>
    </row>
    <row r="5426" spans="13:13" ht="15" customHeight="1" x14ac:dyDescent="0.25">
      <c r="M5426" s="274"/>
    </row>
    <row r="5427" spans="13:13" ht="15" customHeight="1" x14ac:dyDescent="0.25">
      <c r="M5427" s="274"/>
    </row>
    <row r="5428" spans="13:13" ht="15" customHeight="1" x14ac:dyDescent="0.25">
      <c r="M5428" s="274"/>
    </row>
    <row r="5429" spans="13:13" ht="15" customHeight="1" x14ac:dyDescent="0.25">
      <c r="M5429" s="274"/>
    </row>
    <row r="5430" spans="13:13" ht="15" customHeight="1" x14ac:dyDescent="0.25">
      <c r="M5430" s="274"/>
    </row>
    <row r="5431" spans="13:13" ht="15" customHeight="1" x14ac:dyDescent="0.25">
      <c r="M5431" s="274"/>
    </row>
    <row r="5432" spans="13:13" ht="15" customHeight="1" x14ac:dyDescent="0.25">
      <c r="M5432" s="274"/>
    </row>
    <row r="5433" spans="13:13" ht="15" customHeight="1" x14ac:dyDescent="0.25">
      <c r="M5433" s="274"/>
    </row>
    <row r="5434" spans="13:13" ht="15" customHeight="1" x14ac:dyDescent="0.25">
      <c r="M5434" s="274"/>
    </row>
    <row r="5435" spans="13:13" ht="15" customHeight="1" x14ac:dyDescent="0.25">
      <c r="M5435" s="274"/>
    </row>
    <row r="5436" spans="13:13" ht="15" customHeight="1" x14ac:dyDescent="0.25">
      <c r="M5436" s="274"/>
    </row>
    <row r="5437" spans="13:13" ht="15" customHeight="1" x14ac:dyDescent="0.25">
      <c r="M5437" s="274"/>
    </row>
    <row r="5438" spans="13:13" ht="15" customHeight="1" x14ac:dyDescent="0.25">
      <c r="M5438" s="274"/>
    </row>
    <row r="5439" spans="13:13" ht="15" customHeight="1" x14ac:dyDescent="0.25">
      <c r="M5439" s="274"/>
    </row>
    <row r="5440" spans="13:13" ht="15" customHeight="1" x14ac:dyDescent="0.25">
      <c r="M5440" s="274"/>
    </row>
    <row r="5441" spans="13:13" ht="15" customHeight="1" x14ac:dyDescent="0.25">
      <c r="M5441" s="274"/>
    </row>
    <row r="5442" spans="13:13" ht="15" customHeight="1" x14ac:dyDescent="0.25">
      <c r="M5442" s="274"/>
    </row>
    <row r="5443" spans="13:13" ht="15" customHeight="1" x14ac:dyDescent="0.25">
      <c r="M5443" s="274"/>
    </row>
    <row r="5444" spans="13:13" ht="15" customHeight="1" x14ac:dyDescent="0.25">
      <c r="M5444" s="274"/>
    </row>
    <row r="5445" spans="13:13" ht="15" customHeight="1" x14ac:dyDescent="0.25">
      <c r="M5445" s="274"/>
    </row>
    <row r="5446" spans="13:13" ht="15" customHeight="1" x14ac:dyDescent="0.25">
      <c r="M5446" s="274"/>
    </row>
    <row r="5447" spans="13:13" ht="15" customHeight="1" x14ac:dyDescent="0.25">
      <c r="M5447" s="274"/>
    </row>
    <row r="5448" spans="13:13" ht="15" customHeight="1" x14ac:dyDescent="0.25">
      <c r="M5448" s="274"/>
    </row>
    <row r="5449" spans="13:13" ht="15" customHeight="1" x14ac:dyDescent="0.25">
      <c r="M5449" s="274"/>
    </row>
    <row r="5450" spans="13:13" ht="15" customHeight="1" x14ac:dyDescent="0.25">
      <c r="M5450" s="274"/>
    </row>
    <row r="5451" spans="13:13" ht="15" customHeight="1" x14ac:dyDescent="0.25">
      <c r="M5451" s="274"/>
    </row>
    <row r="5452" spans="13:13" ht="15" customHeight="1" x14ac:dyDescent="0.25">
      <c r="M5452" s="274"/>
    </row>
    <row r="5453" spans="13:13" ht="15" customHeight="1" x14ac:dyDescent="0.25">
      <c r="M5453" s="274"/>
    </row>
    <row r="5454" spans="13:13" ht="15" customHeight="1" x14ac:dyDescent="0.25">
      <c r="M5454" s="274"/>
    </row>
    <row r="5455" spans="13:13" ht="15" customHeight="1" x14ac:dyDescent="0.25">
      <c r="M5455" s="274"/>
    </row>
    <row r="5456" spans="13:13" ht="15" customHeight="1" x14ac:dyDescent="0.25">
      <c r="M5456" s="274"/>
    </row>
    <row r="5457" spans="13:13" ht="15" customHeight="1" x14ac:dyDescent="0.25">
      <c r="M5457" s="274"/>
    </row>
    <row r="5458" spans="13:13" ht="15" customHeight="1" x14ac:dyDescent="0.25">
      <c r="M5458" s="274"/>
    </row>
    <row r="5459" spans="13:13" ht="15" customHeight="1" x14ac:dyDescent="0.25">
      <c r="M5459" s="274"/>
    </row>
    <row r="5460" spans="13:13" ht="15" customHeight="1" x14ac:dyDescent="0.25">
      <c r="M5460" s="274"/>
    </row>
    <row r="5461" spans="13:13" ht="15" customHeight="1" x14ac:dyDescent="0.25">
      <c r="M5461" s="274"/>
    </row>
    <row r="5462" spans="13:13" ht="15" customHeight="1" x14ac:dyDescent="0.25">
      <c r="M5462" s="274"/>
    </row>
    <row r="5463" spans="13:13" ht="15" customHeight="1" x14ac:dyDescent="0.25">
      <c r="M5463" s="274"/>
    </row>
    <row r="5464" spans="13:13" ht="15" customHeight="1" x14ac:dyDescent="0.25">
      <c r="M5464" s="274"/>
    </row>
    <row r="5465" spans="13:13" ht="15" customHeight="1" x14ac:dyDescent="0.25">
      <c r="M5465" s="274"/>
    </row>
    <row r="5466" spans="13:13" ht="15" customHeight="1" x14ac:dyDescent="0.25">
      <c r="M5466" s="274"/>
    </row>
    <row r="5467" spans="13:13" ht="15" customHeight="1" x14ac:dyDescent="0.25">
      <c r="M5467" s="274"/>
    </row>
    <row r="5468" spans="13:13" ht="15" customHeight="1" x14ac:dyDescent="0.25">
      <c r="M5468" s="274"/>
    </row>
    <row r="5469" spans="13:13" ht="15" customHeight="1" x14ac:dyDescent="0.25">
      <c r="M5469" s="274"/>
    </row>
    <row r="5470" spans="13:13" ht="15" customHeight="1" x14ac:dyDescent="0.25">
      <c r="M5470" s="274"/>
    </row>
    <row r="5471" spans="13:13" ht="15" customHeight="1" x14ac:dyDescent="0.25">
      <c r="M5471" s="274"/>
    </row>
    <row r="5472" spans="13:13" ht="15" customHeight="1" x14ac:dyDescent="0.25">
      <c r="M5472" s="274"/>
    </row>
    <row r="5473" spans="13:13" ht="15" customHeight="1" x14ac:dyDescent="0.25">
      <c r="M5473" s="274"/>
    </row>
    <row r="5474" spans="13:13" ht="15" customHeight="1" x14ac:dyDescent="0.25">
      <c r="M5474" s="274"/>
    </row>
    <row r="5475" spans="13:13" ht="15" customHeight="1" x14ac:dyDescent="0.25">
      <c r="M5475" s="274"/>
    </row>
    <row r="5476" spans="13:13" ht="15" customHeight="1" x14ac:dyDescent="0.25">
      <c r="M5476" s="274"/>
    </row>
    <row r="5477" spans="13:13" ht="15" customHeight="1" x14ac:dyDescent="0.25">
      <c r="M5477" s="274"/>
    </row>
    <row r="5478" spans="13:13" ht="15" customHeight="1" x14ac:dyDescent="0.25">
      <c r="M5478" s="274"/>
    </row>
    <row r="5479" spans="13:13" ht="15" customHeight="1" x14ac:dyDescent="0.25">
      <c r="M5479" s="274"/>
    </row>
    <row r="5480" spans="13:13" ht="15" customHeight="1" x14ac:dyDescent="0.25">
      <c r="M5480" s="274"/>
    </row>
    <row r="5481" spans="13:13" ht="15" customHeight="1" x14ac:dyDescent="0.25">
      <c r="M5481" s="274"/>
    </row>
    <row r="5482" spans="13:13" ht="15" customHeight="1" x14ac:dyDescent="0.25">
      <c r="M5482" s="274"/>
    </row>
    <row r="5483" spans="13:13" ht="15" customHeight="1" x14ac:dyDescent="0.25">
      <c r="M5483" s="274"/>
    </row>
    <row r="5484" spans="13:13" ht="15" customHeight="1" x14ac:dyDescent="0.25">
      <c r="M5484" s="274"/>
    </row>
    <row r="5485" spans="13:13" ht="15" customHeight="1" x14ac:dyDescent="0.25">
      <c r="M5485" s="274"/>
    </row>
    <row r="5486" spans="13:13" ht="15" customHeight="1" x14ac:dyDescent="0.25">
      <c r="M5486" s="274"/>
    </row>
    <row r="5487" spans="13:13" ht="15" customHeight="1" x14ac:dyDescent="0.25">
      <c r="M5487" s="274"/>
    </row>
    <row r="5488" spans="13:13" ht="15" customHeight="1" x14ac:dyDescent="0.25">
      <c r="M5488" s="274"/>
    </row>
    <row r="5489" spans="13:13" ht="15" customHeight="1" x14ac:dyDescent="0.25">
      <c r="M5489" s="274"/>
    </row>
    <row r="5490" spans="13:13" ht="15" customHeight="1" x14ac:dyDescent="0.25">
      <c r="M5490" s="274"/>
    </row>
    <row r="5491" spans="13:13" ht="15" customHeight="1" x14ac:dyDescent="0.25">
      <c r="M5491" s="274"/>
    </row>
    <row r="5492" spans="13:13" ht="15" customHeight="1" x14ac:dyDescent="0.25">
      <c r="M5492" s="274"/>
    </row>
    <row r="5493" spans="13:13" ht="15" customHeight="1" x14ac:dyDescent="0.25">
      <c r="M5493" s="274"/>
    </row>
    <row r="5494" spans="13:13" ht="15" customHeight="1" x14ac:dyDescent="0.25">
      <c r="M5494" s="274"/>
    </row>
    <row r="5495" spans="13:13" ht="15" customHeight="1" x14ac:dyDescent="0.25">
      <c r="M5495" s="274"/>
    </row>
    <row r="5496" spans="13:13" ht="15" customHeight="1" x14ac:dyDescent="0.25">
      <c r="M5496" s="274"/>
    </row>
    <row r="5497" spans="13:13" ht="15" customHeight="1" x14ac:dyDescent="0.25">
      <c r="M5497" s="274"/>
    </row>
    <row r="5498" spans="13:13" ht="15" customHeight="1" x14ac:dyDescent="0.25">
      <c r="M5498" s="274"/>
    </row>
    <row r="5499" spans="13:13" ht="15" customHeight="1" x14ac:dyDescent="0.25">
      <c r="M5499" s="274"/>
    </row>
    <row r="5500" spans="13:13" ht="15" customHeight="1" x14ac:dyDescent="0.25">
      <c r="M5500" s="274"/>
    </row>
    <row r="5501" spans="13:13" ht="15" customHeight="1" x14ac:dyDescent="0.25">
      <c r="M5501" s="274"/>
    </row>
    <row r="5502" spans="13:13" ht="15" customHeight="1" x14ac:dyDescent="0.25">
      <c r="M5502" s="274"/>
    </row>
    <row r="5503" spans="13:13" ht="15" customHeight="1" x14ac:dyDescent="0.25">
      <c r="M5503" s="274"/>
    </row>
    <row r="5504" spans="13:13" ht="15" customHeight="1" x14ac:dyDescent="0.25">
      <c r="M5504" s="274"/>
    </row>
    <row r="5505" spans="13:13" ht="15" customHeight="1" x14ac:dyDescent="0.25">
      <c r="M5505" s="274"/>
    </row>
    <row r="5506" spans="13:13" ht="15" customHeight="1" x14ac:dyDescent="0.25">
      <c r="M5506" s="274"/>
    </row>
    <row r="5507" spans="13:13" ht="15" customHeight="1" x14ac:dyDescent="0.25">
      <c r="M5507" s="274"/>
    </row>
    <row r="5508" spans="13:13" ht="15" customHeight="1" x14ac:dyDescent="0.25">
      <c r="M5508" s="274"/>
    </row>
    <row r="5509" spans="13:13" ht="15" customHeight="1" x14ac:dyDescent="0.25">
      <c r="M5509" s="274"/>
    </row>
    <row r="5510" spans="13:13" ht="15" customHeight="1" x14ac:dyDescent="0.25">
      <c r="M5510" s="274"/>
    </row>
    <row r="5511" spans="13:13" ht="15" customHeight="1" x14ac:dyDescent="0.25">
      <c r="M5511" s="274"/>
    </row>
    <row r="5512" spans="13:13" ht="15" customHeight="1" x14ac:dyDescent="0.25">
      <c r="M5512" s="274"/>
    </row>
    <row r="5513" spans="13:13" ht="15" customHeight="1" x14ac:dyDescent="0.25">
      <c r="M5513" s="274"/>
    </row>
    <row r="5514" spans="13:13" ht="15" customHeight="1" x14ac:dyDescent="0.25">
      <c r="M5514" s="274"/>
    </row>
    <row r="5515" spans="13:13" ht="15" customHeight="1" x14ac:dyDescent="0.25">
      <c r="M5515" s="274"/>
    </row>
    <row r="5516" spans="13:13" ht="15" customHeight="1" x14ac:dyDescent="0.25">
      <c r="M5516" s="274"/>
    </row>
    <row r="5517" spans="13:13" ht="15" customHeight="1" x14ac:dyDescent="0.25">
      <c r="M5517" s="274"/>
    </row>
    <row r="5518" spans="13:13" ht="15" customHeight="1" x14ac:dyDescent="0.25">
      <c r="M5518" s="274"/>
    </row>
    <row r="5519" spans="13:13" ht="15" customHeight="1" x14ac:dyDescent="0.25">
      <c r="M5519" s="274"/>
    </row>
    <row r="5520" spans="13:13" ht="15" customHeight="1" x14ac:dyDescent="0.25">
      <c r="M5520" s="274"/>
    </row>
    <row r="5521" spans="13:13" ht="15" customHeight="1" x14ac:dyDescent="0.25">
      <c r="M5521" s="274"/>
    </row>
    <row r="5522" spans="13:13" ht="15" customHeight="1" x14ac:dyDescent="0.25">
      <c r="M5522" s="274"/>
    </row>
    <row r="5523" spans="13:13" ht="15" customHeight="1" x14ac:dyDescent="0.25">
      <c r="M5523" s="274"/>
    </row>
    <row r="5524" spans="13:13" ht="15" customHeight="1" x14ac:dyDescent="0.25">
      <c r="M5524" s="274"/>
    </row>
    <row r="5525" spans="13:13" ht="15" customHeight="1" x14ac:dyDescent="0.25">
      <c r="M5525" s="274"/>
    </row>
    <row r="5526" spans="13:13" ht="15" customHeight="1" x14ac:dyDescent="0.25">
      <c r="M5526" s="274"/>
    </row>
    <row r="5527" spans="13:13" ht="15" customHeight="1" x14ac:dyDescent="0.25">
      <c r="M5527" s="274"/>
    </row>
    <row r="5528" spans="13:13" ht="15" customHeight="1" x14ac:dyDescent="0.25">
      <c r="M5528" s="274"/>
    </row>
    <row r="5529" spans="13:13" ht="15" customHeight="1" x14ac:dyDescent="0.25">
      <c r="M5529" s="274"/>
    </row>
    <row r="5530" spans="13:13" ht="15" customHeight="1" x14ac:dyDescent="0.25">
      <c r="M5530" s="274"/>
    </row>
    <row r="5531" spans="13:13" ht="15" customHeight="1" x14ac:dyDescent="0.25">
      <c r="M5531" s="274"/>
    </row>
    <row r="5532" spans="13:13" ht="15" customHeight="1" x14ac:dyDescent="0.25">
      <c r="M5532" s="274"/>
    </row>
    <row r="5533" spans="13:13" ht="15" customHeight="1" x14ac:dyDescent="0.25">
      <c r="M5533" s="274"/>
    </row>
    <row r="5534" spans="13:13" ht="15" customHeight="1" x14ac:dyDescent="0.25">
      <c r="M5534" s="274"/>
    </row>
    <row r="5535" spans="13:13" ht="15" customHeight="1" x14ac:dyDescent="0.25">
      <c r="M5535" s="274"/>
    </row>
    <row r="5536" spans="13:13" ht="15" customHeight="1" x14ac:dyDescent="0.25">
      <c r="M5536" s="274"/>
    </row>
    <row r="5537" spans="13:13" ht="15" customHeight="1" x14ac:dyDescent="0.25">
      <c r="M5537" s="274"/>
    </row>
    <row r="5538" spans="13:13" ht="15" customHeight="1" x14ac:dyDescent="0.25">
      <c r="M5538" s="274"/>
    </row>
    <row r="5539" spans="13:13" ht="15" customHeight="1" x14ac:dyDescent="0.25">
      <c r="M5539" s="274"/>
    </row>
    <row r="5540" spans="13:13" ht="15" customHeight="1" x14ac:dyDescent="0.25">
      <c r="M5540" s="274"/>
    </row>
    <row r="5541" spans="13:13" ht="15" customHeight="1" x14ac:dyDescent="0.25">
      <c r="M5541" s="274"/>
    </row>
    <row r="5542" spans="13:13" ht="15" customHeight="1" x14ac:dyDescent="0.25">
      <c r="M5542" s="274"/>
    </row>
    <row r="5543" spans="13:13" ht="15" customHeight="1" x14ac:dyDescent="0.25">
      <c r="M5543" s="274"/>
    </row>
    <row r="5544" spans="13:13" ht="15" customHeight="1" x14ac:dyDescent="0.25">
      <c r="M5544" s="274"/>
    </row>
    <row r="5545" spans="13:13" ht="15" customHeight="1" x14ac:dyDescent="0.25">
      <c r="M5545" s="274"/>
    </row>
    <row r="5546" spans="13:13" ht="15" customHeight="1" x14ac:dyDescent="0.25">
      <c r="M5546" s="274"/>
    </row>
    <row r="5547" spans="13:13" ht="15" customHeight="1" x14ac:dyDescent="0.25">
      <c r="M5547" s="274"/>
    </row>
    <row r="5548" spans="13:13" ht="15" customHeight="1" x14ac:dyDescent="0.25">
      <c r="M5548" s="274"/>
    </row>
    <row r="5549" spans="13:13" ht="15" customHeight="1" x14ac:dyDescent="0.25">
      <c r="M5549" s="274"/>
    </row>
    <row r="5550" spans="13:13" ht="15" customHeight="1" x14ac:dyDescent="0.25">
      <c r="M5550" s="274"/>
    </row>
    <row r="5551" spans="13:13" ht="15" customHeight="1" x14ac:dyDescent="0.25">
      <c r="M5551" s="274"/>
    </row>
    <row r="5552" spans="13:13" ht="15" customHeight="1" x14ac:dyDescent="0.25">
      <c r="M5552" s="274"/>
    </row>
    <row r="5553" spans="13:13" ht="15" customHeight="1" x14ac:dyDescent="0.25">
      <c r="M5553" s="274"/>
    </row>
    <row r="5554" spans="13:13" ht="15" customHeight="1" x14ac:dyDescent="0.25">
      <c r="M5554" s="274"/>
    </row>
    <row r="5555" spans="13:13" ht="15" customHeight="1" x14ac:dyDescent="0.25">
      <c r="M5555" s="274"/>
    </row>
    <row r="5556" spans="13:13" ht="15" customHeight="1" x14ac:dyDescent="0.25">
      <c r="M5556" s="274"/>
    </row>
    <row r="5557" spans="13:13" ht="15" customHeight="1" x14ac:dyDescent="0.25">
      <c r="M5557" s="274"/>
    </row>
    <row r="5558" spans="13:13" ht="15" customHeight="1" x14ac:dyDescent="0.25">
      <c r="M5558" s="274"/>
    </row>
    <row r="5559" spans="13:13" ht="15" customHeight="1" x14ac:dyDescent="0.25">
      <c r="M5559" s="274"/>
    </row>
    <row r="5560" spans="13:13" ht="15" customHeight="1" x14ac:dyDescent="0.25">
      <c r="M5560" s="274"/>
    </row>
    <row r="5561" spans="13:13" ht="15" customHeight="1" x14ac:dyDescent="0.25">
      <c r="M5561" s="274"/>
    </row>
    <row r="5562" spans="13:13" ht="15" customHeight="1" x14ac:dyDescent="0.25">
      <c r="M5562" s="274"/>
    </row>
    <row r="5563" spans="13:13" ht="15" customHeight="1" x14ac:dyDescent="0.25">
      <c r="M5563" s="274"/>
    </row>
    <row r="5564" spans="13:13" ht="15" customHeight="1" x14ac:dyDescent="0.25">
      <c r="M5564" s="274"/>
    </row>
    <row r="5565" spans="13:13" ht="15" customHeight="1" x14ac:dyDescent="0.25">
      <c r="M5565" s="274"/>
    </row>
    <row r="5566" spans="13:13" ht="15" customHeight="1" x14ac:dyDescent="0.25">
      <c r="M5566" s="274"/>
    </row>
    <row r="5567" spans="13:13" ht="15" customHeight="1" x14ac:dyDescent="0.25">
      <c r="M5567" s="274"/>
    </row>
    <row r="5568" spans="13:13" ht="15" customHeight="1" x14ac:dyDescent="0.25">
      <c r="M5568" s="274"/>
    </row>
    <row r="5569" spans="13:13" ht="15" customHeight="1" x14ac:dyDescent="0.25">
      <c r="M5569" s="274"/>
    </row>
    <row r="5570" spans="13:13" ht="15" customHeight="1" x14ac:dyDescent="0.25">
      <c r="M5570" s="274"/>
    </row>
    <row r="5571" spans="13:13" ht="15" customHeight="1" x14ac:dyDescent="0.25">
      <c r="M5571" s="274"/>
    </row>
    <row r="5572" spans="13:13" ht="15" customHeight="1" x14ac:dyDescent="0.25">
      <c r="M5572" s="274"/>
    </row>
    <row r="5573" spans="13:13" ht="15" customHeight="1" x14ac:dyDescent="0.25">
      <c r="M5573" s="274"/>
    </row>
    <row r="5574" spans="13:13" ht="15" customHeight="1" x14ac:dyDescent="0.25">
      <c r="M5574" s="274"/>
    </row>
    <row r="5575" spans="13:13" ht="15" customHeight="1" x14ac:dyDescent="0.25">
      <c r="M5575" s="274"/>
    </row>
    <row r="5576" spans="13:13" ht="15" customHeight="1" x14ac:dyDescent="0.25">
      <c r="M5576" s="274"/>
    </row>
    <row r="5577" spans="13:13" ht="15" customHeight="1" x14ac:dyDescent="0.25">
      <c r="M5577" s="274"/>
    </row>
    <row r="5578" spans="13:13" ht="15" customHeight="1" x14ac:dyDescent="0.25">
      <c r="M5578" s="274"/>
    </row>
    <row r="5579" spans="13:13" ht="15" customHeight="1" x14ac:dyDescent="0.25">
      <c r="M5579" s="274"/>
    </row>
    <row r="5580" spans="13:13" ht="15" customHeight="1" x14ac:dyDescent="0.25">
      <c r="M5580" s="274"/>
    </row>
    <row r="5581" spans="13:13" ht="15" customHeight="1" x14ac:dyDescent="0.25">
      <c r="M5581" s="274"/>
    </row>
    <row r="5582" spans="13:13" ht="15" customHeight="1" x14ac:dyDescent="0.25">
      <c r="M5582" s="274"/>
    </row>
    <row r="5583" spans="13:13" ht="15" customHeight="1" x14ac:dyDescent="0.25">
      <c r="M5583" s="274"/>
    </row>
    <row r="5584" spans="13:13" ht="15" customHeight="1" x14ac:dyDescent="0.25">
      <c r="M5584" s="274"/>
    </row>
    <row r="5585" spans="13:13" ht="15" customHeight="1" x14ac:dyDescent="0.25">
      <c r="M5585" s="274"/>
    </row>
    <row r="5586" spans="13:13" ht="15" customHeight="1" x14ac:dyDescent="0.25">
      <c r="M5586" s="274"/>
    </row>
    <row r="5587" spans="13:13" ht="15" customHeight="1" x14ac:dyDescent="0.25">
      <c r="M5587" s="274"/>
    </row>
    <row r="5588" spans="13:13" ht="15" customHeight="1" x14ac:dyDescent="0.25">
      <c r="M5588" s="274"/>
    </row>
    <row r="5589" spans="13:13" ht="15" customHeight="1" x14ac:dyDescent="0.25">
      <c r="M5589" s="274"/>
    </row>
    <row r="5590" spans="13:13" ht="15" customHeight="1" x14ac:dyDescent="0.25">
      <c r="M5590" s="274"/>
    </row>
    <row r="5591" spans="13:13" ht="15" customHeight="1" x14ac:dyDescent="0.25">
      <c r="M5591" s="274"/>
    </row>
    <row r="5592" spans="13:13" ht="15" customHeight="1" x14ac:dyDescent="0.25">
      <c r="M5592" s="274"/>
    </row>
    <row r="5593" spans="13:13" ht="15" customHeight="1" x14ac:dyDescent="0.25">
      <c r="M5593" s="274"/>
    </row>
    <row r="5594" spans="13:13" ht="15" customHeight="1" x14ac:dyDescent="0.25">
      <c r="M5594" s="274"/>
    </row>
    <row r="5595" spans="13:13" ht="15" customHeight="1" x14ac:dyDescent="0.25">
      <c r="M5595" s="274"/>
    </row>
    <row r="5596" spans="13:13" ht="15" customHeight="1" x14ac:dyDescent="0.25">
      <c r="M5596" s="274"/>
    </row>
    <row r="5597" spans="13:13" ht="15" customHeight="1" x14ac:dyDescent="0.25">
      <c r="M5597" s="274"/>
    </row>
    <row r="5598" spans="13:13" ht="15" customHeight="1" x14ac:dyDescent="0.25">
      <c r="M5598" s="274"/>
    </row>
    <row r="5599" spans="13:13" ht="15" customHeight="1" x14ac:dyDescent="0.25">
      <c r="M5599" s="274"/>
    </row>
    <row r="5600" spans="13:13" ht="15" customHeight="1" x14ac:dyDescent="0.25">
      <c r="M5600" s="274"/>
    </row>
    <row r="5601" spans="13:13" ht="15" customHeight="1" x14ac:dyDescent="0.25">
      <c r="M5601" s="274"/>
    </row>
    <row r="5602" spans="13:13" ht="15" customHeight="1" x14ac:dyDescent="0.25">
      <c r="M5602" s="274"/>
    </row>
    <row r="5603" spans="13:13" ht="15" customHeight="1" x14ac:dyDescent="0.25">
      <c r="M5603" s="274"/>
    </row>
    <row r="5604" spans="13:13" ht="15" customHeight="1" x14ac:dyDescent="0.25">
      <c r="M5604" s="274"/>
    </row>
    <row r="5605" spans="13:13" ht="15" customHeight="1" x14ac:dyDescent="0.25">
      <c r="M5605" s="274"/>
    </row>
    <row r="5606" spans="13:13" ht="15" customHeight="1" x14ac:dyDescent="0.25">
      <c r="M5606" s="274"/>
    </row>
    <row r="5607" spans="13:13" ht="15" customHeight="1" x14ac:dyDescent="0.25">
      <c r="M5607" s="274"/>
    </row>
    <row r="5608" spans="13:13" ht="15" customHeight="1" x14ac:dyDescent="0.25">
      <c r="M5608" s="274"/>
    </row>
    <row r="5609" spans="13:13" ht="15" customHeight="1" x14ac:dyDescent="0.25">
      <c r="M5609" s="274"/>
    </row>
    <row r="5610" spans="13:13" ht="15" customHeight="1" x14ac:dyDescent="0.25">
      <c r="M5610" s="274"/>
    </row>
    <row r="5611" spans="13:13" ht="15" customHeight="1" x14ac:dyDescent="0.25">
      <c r="M5611" s="274"/>
    </row>
    <row r="5612" spans="13:13" ht="15" customHeight="1" x14ac:dyDescent="0.25">
      <c r="M5612" s="274"/>
    </row>
    <row r="5613" spans="13:13" ht="15" customHeight="1" x14ac:dyDescent="0.25">
      <c r="M5613" s="274"/>
    </row>
    <row r="5614" spans="13:13" ht="15" customHeight="1" x14ac:dyDescent="0.25">
      <c r="M5614" s="274"/>
    </row>
    <row r="5615" spans="13:13" ht="15" customHeight="1" x14ac:dyDescent="0.25">
      <c r="M5615" s="274"/>
    </row>
    <row r="5616" spans="13:13" ht="15" customHeight="1" x14ac:dyDescent="0.25">
      <c r="M5616" s="274"/>
    </row>
    <row r="5617" spans="13:13" ht="15" customHeight="1" x14ac:dyDescent="0.25">
      <c r="M5617" s="274"/>
    </row>
    <row r="5618" spans="13:13" ht="15" customHeight="1" x14ac:dyDescent="0.25">
      <c r="M5618" s="274"/>
    </row>
    <row r="5619" spans="13:13" ht="15" customHeight="1" x14ac:dyDescent="0.25">
      <c r="M5619" s="274"/>
    </row>
    <row r="5620" spans="13:13" ht="15" customHeight="1" x14ac:dyDescent="0.25">
      <c r="M5620" s="274"/>
    </row>
    <row r="5621" spans="13:13" ht="15" customHeight="1" x14ac:dyDescent="0.25">
      <c r="M5621" s="274"/>
    </row>
    <row r="5622" spans="13:13" ht="15" customHeight="1" x14ac:dyDescent="0.25">
      <c r="M5622" s="274"/>
    </row>
    <row r="5623" spans="13:13" ht="15" customHeight="1" x14ac:dyDescent="0.25">
      <c r="M5623" s="274"/>
    </row>
    <row r="5624" spans="13:13" ht="15" customHeight="1" x14ac:dyDescent="0.25">
      <c r="M5624" s="274"/>
    </row>
    <row r="5625" spans="13:13" ht="15" customHeight="1" x14ac:dyDescent="0.25">
      <c r="M5625" s="274"/>
    </row>
    <row r="5626" spans="13:13" ht="15" customHeight="1" x14ac:dyDescent="0.25">
      <c r="M5626" s="274"/>
    </row>
    <row r="5627" spans="13:13" ht="15" customHeight="1" x14ac:dyDescent="0.25">
      <c r="M5627" s="274"/>
    </row>
    <row r="5628" spans="13:13" ht="15" customHeight="1" x14ac:dyDescent="0.25">
      <c r="M5628" s="274"/>
    </row>
    <row r="5629" spans="13:13" ht="15" customHeight="1" x14ac:dyDescent="0.25">
      <c r="M5629" s="274"/>
    </row>
    <row r="5630" spans="13:13" ht="15" customHeight="1" x14ac:dyDescent="0.25">
      <c r="M5630" s="274"/>
    </row>
    <row r="5631" spans="13:13" ht="15" customHeight="1" x14ac:dyDescent="0.25">
      <c r="M5631" s="274"/>
    </row>
    <row r="5632" spans="13:13" ht="15" customHeight="1" x14ac:dyDescent="0.25">
      <c r="M5632" s="274"/>
    </row>
    <row r="5633" spans="13:13" ht="15" customHeight="1" x14ac:dyDescent="0.25">
      <c r="M5633" s="274"/>
    </row>
    <row r="5634" spans="13:13" ht="15" customHeight="1" x14ac:dyDescent="0.25">
      <c r="M5634" s="274"/>
    </row>
    <row r="5635" spans="13:13" ht="15" customHeight="1" x14ac:dyDescent="0.25">
      <c r="M5635" s="274"/>
    </row>
    <row r="5636" spans="13:13" ht="15" customHeight="1" x14ac:dyDescent="0.25">
      <c r="M5636" s="274"/>
    </row>
    <row r="5637" spans="13:13" ht="15" customHeight="1" x14ac:dyDescent="0.25">
      <c r="M5637" s="274"/>
    </row>
    <row r="5638" spans="13:13" ht="15" customHeight="1" x14ac:dyDescent="0.25">
      <c r="M5638" s="274"/>
    </row>
    <row r="5639" spans="13:13" ht="15" customHeight="1" x14ac:dyDescent="0.25">
      <c r="M5639" s="274"/>
    </row>
    <row r="5640" spans="13:13" ht="15" customHeight="1" x14ac:dyDescent="0.25">
      <c r="M5640" s="274"/>
    </row>
    <row r="5641" spans="13:13" ht="15" customHeight="1" x14ac:dyDescent="0.25">
      <c r="M5641" s="274"/>
    </row>
    <row r="5642" spans="13:13" ht="15" customHeight="1" x14ac:dyDescent="0.25">
      <c r="M5642" s="274"/>
    </row>
    <row r="5643" spans="13:13" ht="15" customHeight="1" x14ac:dyDescent="0.25">
      <c r="M5643" s="274"/>
    </row>
    <row r="5644" spans="13:13" ht="15" customHeight="1" x14ac:dyDescent="0.25">
      <c r="M5644" s="274"/>
    </row>
    <row r="5645" spans="13:13" ht="15" customHeight="1" x14ac:dyDescent="0.25">
      <c r="M5645" s="274"/>
    </row>
    <row r="5646" spans="13:13" ht="15" customHeight="1" x14ac:dyDescent="0.25">
      <c r="M5646" s="274"/>
    </row>
    <row r="5647" spans="13:13" ht="15" customHeight="1" x14ac:dyDescent="0.25">
      <c r="M5647" s="274"/>
    </row>
    <row r="5648" spans="13:13" ht="15" customHeight="1" x14ac:dyDescent="0.25">
      <c r="M5648" s="274"/>
    </row>
    <row r="5649" spans="13:13" ht="15" customHeight="1" x14ac:dyDescent="0.25">
      <c r="M5649" s="274"/>
    </row>
    <row r="5650" spans="13:13" ht="15" customHeight="1" x14ac:dyDescent="0.25">
      <c r="M5650" s="274"/>
    </row>
    <row r="5651" spans="13:13" ht="15" customHeight="1" x14ac:dyDescent="0.25">
      <c r="M5651" s="274"/>
    </row>
    <row r="5652" spans="13:13" ht="15" customHeight="1" x14ac:dyDescent="0.25">
      <c r="M5652" s="274"/>
    </row>
    <row r="5653" spans="13:13" ht="15" customHeight="1" x14ac:dyDescent="0.25">
      <c r="M5653" s="274"/>
    </row>
    <row r="5654" spans="13:13" ht="15" customHeight="1" x14ac:dyDescent="0.25">
      <c r="M5654" s="274"/>
    </row>
    <row r="5655" spans="13:13" ht="15" customHeight="1" x14ac:dyDescent="0.25">
      <c r="M5655" s="274"/>
    </row>
    <row r="5656" spans="13:13" ht="15" customHeight="1" x14ac:dyDescent="0.25">
      <c r="M5656" s="274"/>
    </row>
    <row r="5657" spans="13:13" ht="15" customHeight="1" x14ac:dyDescent="0.25">
      <c r="M5657" s="274"/>
    </row>
    <row r="5658" spans="13:13" ht="15" customHeight="1" x14ac:dyDescent="0.25">
      <c r="M5658" s="274"/>
    </row>
    <row r="5659" spans="13:13" ht="15" customHeight="1" x14ac:dyDescent="0.25">
      <c r="M5659" s="274"/>
    </row>
    <row r="5660" spans="13:13" ht="15" customHeight="1" x14ac:dyDescent="0.25">
      <c r="M5660" s="274"/>
    </row>
    <row r="5661" spans="13:13" ht="15" customHeight="1" x14ac:dyDescent="0.25">
      <c r="M5661" s="274"/>
    </row>
    <row r="5662" spans="13:13" ht="15" customHeight="1" x14ac:dyDescent="0.25">
      <c r="M5662" s="274"/>
    </row>
    <row r="5663" spans="13:13" ht="15" customHeight="1" x14ac:dyDescent="0.25">
      <c r="M5663" s="274"/>
    </row>
    <row r="5664" spans="13:13" ht="15" customHeight="1" x14ac:dyDescent="0.25">
      <c r="M5664" s="274"/>
    </row>
    <row r="5665" spans="13:13" ht="15" customHeight="1" x14ac:dyDescent="0.25">
      <c r="M5665" s="274"/>
    </row>
    <row r="5666" spans="13:13" ht="15" customHeight="1" x14ac:dyDescent="0.25">
      <c r="M5666" s="274"/>
    </row>
    <row r="5667" spans="13:13" ht="15" customHeight="1" x14ac:dyDescent="0.25">
      <c r="M5667" s="274"/>
    </row>
    <row r="5668" spans="13:13" ht="15" customHeight="1" x14ac:dyDescent="0.25">
      <c r="M5668" s="274"/>
    </row>
    <row r="5669" spans="13:13" ht="15" customHeight="1" x14ac:dyDescent="0.25">
      <c r="M5669" s="274"/>
    </row>
    <row r="5670" spans="13:13" ht="15" customHeight="1" x14ac:dyDescent="0.25">
      <c r="M5670" s="274"/>
    </row>
    <row r="5671" spans="13:13" ht="15" customHeight="1" x14ac:dyDescent="0.25">
      <c r="M5671" s="274"/>
    </row>
    <row r="5672" spans="13:13" ht="15" customHeight="1" x14ac:dyDescent="0.25">
      <c r="M5672" s="274"/>
    </row>
    <row r="5673" spans="13:13" ht="15" customHeight="1" x14ac:dyDescent="0.25">
      <c r="M5673" s="274"/>
    </row>
    <row r="5674" spans="13:13" ht="15" customHeight="1" x14ac:dyDescent="0.25">
      <c r="M5674" s="274"/>
    </row>
    <row r="5675" spans="13:13" ht="15" customHeight="1" x14ac:dyDescent="0.25">
      <c r="M5675" s="274"/>
    </row>
    <row r="5676" spans="13:13" ht="15" customHeight="1" x14ac:dyDescent="0.25">
      <c r="M5676" s="274"/>
    </row>
    <row r="5677" spans="13:13" ht="15" customHeight="1" x14ac:dyDescent="0.25">
      <c r="M5677" s="274"/>
    </row>
    <row r="5678" spans="13:13" ht="15" customHeight="1" x14ac:dyDescent="0.25">
      <c r="M5678" s="274"/>
    </row>
    <row r="5679" spans="13:13" ht="15" customHeight="1" x14ac:dyDescent="0.25">
      <c r="M5679" s="274"/>
    </row>
    <row r="5680" spans="13:13" ht="15" customHeight="1" x14ac:dyDescent="0.25">
      <c r="M5680" s="274"/>
    </row>
    <row r="5681" spans="13:13" ht="15" customHeight="1" x14ac:dyDescent="0.25">
      <c r="M5681" s="274"/>
    </row>
    <row r="5682" spans="13:13" ht="15" customHeight="1" x14ac:dyDescent="0.25">
      <c r="M5682" s="274"/>
    </row>
    <row r="5683" spans="13:13" ht="15" customHeight="1" x14ac:dyDescent="0.25">
      <c r="M5683" s="274"/>
    </row>
    <row r="5684" spans="13:13" ht="15" customHeight="1" x14ac:dyDescent="0.25">
      <c r="M5684" s="274"/>
    </row>
    <row r="5685" spans="13:13" ht="15" customHeight="1" x14ac:dyDescent="0.25">
      <c r="M5685" s="274"/>
    </row>
    <row r="5686" spans="13:13" ht="15" customHeight="1" x14ac:dyDescent="0.25">
      <c r="M5686" s="274"/>
    </row>
    <row r="5687" spans="13:13" ht="15" customHeight="1" x14ac:dyDescent="0.25">
      <c r="M5687" s="274"/>
    </row>
    <row r="5688" spans="13:13" ht="15" customHeight="1" x14ac:dyDescent="0.25">
      <c r="M5688" s="274"/>
    </row>
    <row r="5689" spans="13:13" ht="15" customHeight="1" x14ac:dyDescent="0.25">
      <c r="M5689" s="274"/>
    </row>
    <row r="5690" spans="13:13" ht="15" customHeight="1" x14ac:dyDescent="0.25">
      <c r="M5690" s="274"/>
    </row>
    <row r="5691" spans="13:13" ht="15" customHeight="1" x14ac:dyDescent="0.25">
      <c r="M5691" s="274"/>
    </row>
    <row r="5692" spans="13:13" ht="15" customHeight="1" x14ac:dyDescent="0.25">
      <c r="M5692" s="274"/>
    </row>
    <row r="5693" spans="13:13" ht="15" customHeight="1" x14ac:dyDescent="0.25">
      <c r="M5693" s="274"/>
    </row>
    <row r="5694" spans="13:13" ht="15" customHeight="1" x14ac:dyDescent="0.25">
      <c r="M5694" s="274"/>
    </row>
    <row r="5695" spans="13:13" ht="15" customHeight="1" x14ac:dyDescent="0.25">
      <c r="M5695" s="274"/>
    </row>
    <row r="5696" spans="13:13" ht="15" customHeight="1" x14ac:dyDescent="0.25">
      <c r="M5696" s="274"/>
    </row>
    <row r="5697" spans="13:13" ht="15" customHeight="1" x14ac:dyDescent="0.25">
      <c r="M5697" s="274"/>
    </row>
    <row r="5698" spans="13:13" ht="15" customHeight="1" x14ac:dyDescent="0.25">
      <c r="M5698" s="274"/>
    </row>
    <row r="5699" spans="13:13" ht="15" customHeight="1" x14ac:dyDescent="0.25">
      <c r="M5699" s="274"/>
    </row>
    <row r="5700" spans="13:13" ht="15" customHeight="1" x14ac:dyDescent="0.25">
      <c r="M5700" s="274"/>
    </row>
    <row r="5701" spans="13:13" ht="15" customHeight="1" x14ac:dyDescent="0.25">
      <c r="M5701" s="274"/>
    </row>
    <row r="5702" spans="13:13" ht="15" customHeight="1" x14ac:dyDescent="0.25">
      <c r="M5702" s="274"/>
    </row>
    <row r="5703" spans="13:13" ht="15" customHeight="1" x14ac:dyDescent="0.25">
      <c r="M5703" s="274"/>
    </row>
    <row r="5704" spans="13:13" ht="15" customHeight="1" x14ac:dyDescent="0.25">
      <c r="M5704" s="274"/>
    </row>
    <row r="5705" spans="13:13" ht="15" customHeight="1" x14ac:dyDescent="0.25">
      <c r="M5705" s="274"/>
    </row>
    <row r="5706" spans="13:13" ht="15" customHeight="1" x14ac:dyDescent="0.25">
      <c r="M5706" s="274"/>
    </row>
    <row r="5707" spans="13:13" ht="15" customHeight="1" x14ac:dyDescent="0.25">
      <c r="M5707" s="274"/>
    </row>
    <row r="5708" spans="13:13" ht="15" customHeight="1" x14ac:dyDescent="0.25">
      <c r="M5708" s="274"/>
    </row>
    <row r="5709" spans="13:13" ht="15" customHeight="1" x14ac:dyDescent="0.25">
      <c r="M5709" s="274"/>
    </row>
    <row r="5710" spans="13:13" ht="15" customHeight="1" x14ac:dyDescent="0.25">
      <c r="M5710" s="274"/>
    </row>
    <row r="5711" spans="13:13" ht="15" customHeight="1" x14ac:dyDescent="0.25">
      <c r="M5711" s="274"/>
    </row>
    <row r="5712" spans="13:13" ht="15" customHeight="1" x14ac:dyDescent="0.25">
      <c r="M5712" s="274"/>
    </row>
    <row r="5713" spans="13:13" ht="15" customHeight="1" x14ac:dyDescent="0.25">
      <c r="M5713" s="274"/>
    </row>
    <row r="5714" spans="13:13" ht="15" customHeight="1" x14ac:dyDescent="0.25">
      <c r="M5714" s="274"/>
    </row>
    <row r="5715" spans="13:13" ht="15" customHeight="1" x14ac:dyDescent="0.25">
      <c r="M5715" s="274"/>
    </row>
    <row r="5716" spans="13:13" ht="15" customHeight="1" x14ac:dyDescent="0.25">
      <c r="M5716" s="274"/>
    </row>
    <row r="5717" spans="13:13" ht="15" customHeight="1" x14ac:dyDescent="0.25">
      <c r="M5717" s="274"/>
    </row>
    <row r="5718" spans="13:13" ht="15" customHeight="1" x14ac:dyDescent="0.25">
      <c r="M5718" s="274"/>
    </row>
    <row r="5719" spans="13:13" ht="15" customHeight="1" x14ac:dyDescent="0.25">
      <c r="M5719" s="274"/>
    </row>
    <row r="5720" spans="13:13" ht="15" customHeight="1" x14ac:dyDescent="0.25">
      <c r="M5720" s="274"/>
    </row>
    <row r="5721" spans="13:13" ht="15" customHeight="1" x14ac:dyDescent="0.25">
      <c r="M5721" s="274"/>
    </row>
    <row r="5722" spans="13:13" ht="15" customHeight="1" x14ac:dyDescent="0.25">
      <c r="M5722" s="274"/>
    </row>
    <row r="5723" spans="13:13" ht="15" customHeight="1" x14ac:dyDescent="0.25">
      <c r="M5723" s="274"/>
    </row>
    <row r="5724" spans="13:13" ht="15" customHeight="1" x14ac:dyDescent="0.25">
      <c r="M5724" s="274"/>
    </row>
    <row r="5725" spans="13:13" ht="15" customHeight="1" x14ac:dyDescent="0.25">
      <c r="M5725" s="274"/>
    </row>
    <row r="5726" spans="13:13" ht="15" customHeight="1" x14ac:dyDescent="0.25">
      <c r="M5726" s="274"/>
    </row>
    <row r="5727" spans="13:13" ht="15" customHeight="1" x14ac:dyDescent="0.25">
      <c r="M5727" s="274"/>
    </row>
    <row r="5728" spans="13:13" ht="15" customHeight="1" x14ac:dyDescent="0.25">
      <c r="M5728" s="274"/>
    </row>
    <row r="5729" spans="13:13" ht="15" customHeight="1" x14ac:dyDescent="0.25">
      <c r="M5729" s="274"/>
    </row>
    <row r="5730" spans="13:13" ht="15" customHeight="1" x14ac:dyDescent="0.25">
      <c r="M5730" s="274"/>
    </row>
    <row r="5731" spans="13:13" ht="15" customHeight="1" x14ac:dyDescent="0.25">
      <c r="M5731" s="274"/>
    </row>
    <row r="5732" spans="13:13" ht="15" customHeight="1" x14ac:dyDescent="0.25">
      <c r="M5732" s="274"/>
    </row>
    <row r="5733" spans="13:13" ht="15" customHeight="1" x14ac:dyDescent="0.25">
      <c r="M5733" s="274"/>
    </row>
    <row r="5734" spans="13:13" ht="15" customHeight="1" x14ac:dyDescent="0.25">
      <c r="M5734" s="274"/>
    </row>
    <row r="5735" spans="13:13" ht="15" customHeight="1" x14ac:dyDescent="0.25">
      <c r="M5735" s="274"/>
    </row>
    <row r="5736" spans="13:13" ht="15" customHeight="1" x14ac:dyDescent="0.25">
      <c r="M5736" s="274"/>
    </row>
    <row r="5737" spans="13:13" ht="15" customHeight="1" x14ac:dyDescent="0.25">
      <c r="M5737" s="274"/>
    </row>
    <row r="5738" spans="13:13" ht="15" customHeight="1" x14ac:dyDescent="0.25">
      <c r="M5738" s="274"/>
    </row>
    <row r="5739" spans="13:13" ht="15" customHeight="1" x14ac:dyDescent="0.25">
      <c r="M5739" s="274"/>
    </row>
    <row r="5740" spans="13:13" ht="15" customHeight="1" x14ac:dyDescent="0.25">
      <c r="M5740" s="274"/>
    </row>
    <row r="5741" spans="13:13" ht="15" customHeight="1" x14ac:dyDescent="0.25">
      <c r="M5741" s="274"/>
    </row>
    <row r="5742" spans="13:13" ht="15" customHeight="1" x14ac:dyDescent="0.25">
      <c r="M5742" s="274"/>
    </row>
    <row r="5743" spans="13:13" ht="15" customHeight="1" x14ac:dyDescent="0.25">
      <c r="M5743" s="274"/>
    </row>
    <row r="5744" spans="13:13" ht="15" customHeight="1" x14ac:dyDescent="0.25">
      <c r="M5744" s="274"/>
    </row>
    <row r="5745" spans="13:13" ht="15" customHeight="1" x14ac:dyDescent="0.25">
      <c r="M5745" s="274"/>
    </row>
    <row r="5746" spans="13:13" ht="15" customHeight="1" x14ac:dyDescent="0.25">
      <c r="M5746" s="274"/>
    </row>
    <row r="5747" spans="13:13" ht="15" customHeight="1" x14ac:dyDescent="0.25">
      <c r="M5747" s="274"/>
    </row>
    <row r="5748" spans="13:13" ht="15" customHeight="1" x14ac:dyDescent="0.25">
      <c r="M5748" s="274"/>
    </row>
    <row r="5749" spans="13:13" ht="15" customHeight="1" x14ac:dyDescent="0.25">
      <c r="M5749" s="274"/>
    </row>
    <row r="5750" spans="13:13" ht="15" customHeight="1" x14ac:dyDescent="0.25">
      <c r="M5750" s="274"/>
    </row>
    <row r="5751" spans="13:13" ht="15" customHeight="1" x14ac:dyDescent="0.25">
      <c r="M5751" s="274"/>
    </row>
    <row r="5752" spans="13:13" ht="15" customHeight="1" x14ac:dyDescent="0.25">
      <c r="M5752" s="274"/>
    </row>
    <row r="5753" spans="13:13" ht="15" customHeight="1" x14ac:dyDescent="0.25">
      <c r="M5753" s="274"/>
    </row>
    <row r="5754" spans="13:13" ht="15" customHeight="1" x14ac:dyDescent="0.25">
      <c r="M5754" s="274"/>
    </row>
    <row r="5755" spans="13:13" ht="15" customHeight="1" x14ac:dyDescent="0.25">
      <c r="M5755" s="274"/>
    </row>
    <row r="5756" spans="13:13" ht="15" customHeight="1" x14ac:dyDescent="0.25">
      <c r="M5756" s="274"/>
    </row>
    <row r="5757" spans="13:13" ht="15" customHeight="1" x14ac:dyDescent="0.25">
      <c r="M5757" s="274"/>
    </row>
    <row r="5758" spans="13:13" ht="15" customHeight="1" x14ac:dyDescent="0.25">
      <c r="M5758" s="274"/>
    </row>
    <row r="5759" spans="13:13" ht="15" customHeight="1" x14ac:dyDescent="0.25">
      <c r="M5759" s="274"/>
    </row>
    <row r="5760" spans="13:13" ht="15" customHeight="1" x14ac:dyDescent="0.25">
      <c r="M5760" s="274"/>
    </row>
    <row r="5761" spans="13:13" ht="15" customHeight="1" x14ac:dyDescent="0.25">
      <c r="M5761" s="274"/>
    </row>
    <row r="5762" spans="13:13" ht="15" customHeight="1" x14ac:dyDescent="0.25">
      <c r="M5762" s="274"/>
    </row>
    <row r="5763" spans="13:13" ht="15" customHeight="1" x14ac:dyDescent="0.25">
      <c r="M5763" s="274"/>
    </row>
    <row r="5764" spans="13:13" ht="15" customHeight="1" x14ac:dyDescent="0.25">
      <c r="M5764" s="274"/>
    </row>
    <row r="5765" spans="13:13" ht="15" customHeight="1" x14ac:dyDescent="0.25">
      <c r="M5765" s="274"/>
    </row>
    <row r="5766" spans="13:13" ht="15" customHeight="1" x14ac:dyDescent="0.25">
      <c r="M5766" s="274"/>
    </row>
    <row r="5767" spans="13:13" ht="15" customHeight="1" x14ac:dyDescent="0.25">
      <c r="M5767" s="274"/>
    </row>
    <row r="5768" spans="13:13" ht="15" customHeight="1" x14ac:dyDescent="0.25">
      <c r="M5768" s="274"/>
    </row>
    <row r="5769" spans="13:13" ht="15" customHeight="1" x14ac:dyDescent="0.25">
      <c r="M5769" s="274"/>
    </row>
    <row r="5770" spans="13:13" ht="15" customHeight="1" x14ac:dyDescent="0.25">
      <c r="M5770" s="274"/>
    </row>
    <row r="5771" spans="13:13" ht="15" customHeight="1" x14ac:dyDescent="0.25">
      <c r="M5771" s="274"/>
    </row>
    <row r="5772" spans="13:13" ht="15" customHeight="1" x14ac:dyDescent="0.25">
      <c r="M5772" s="274"/>
    </row>
    <row r="5773" spans="13:13" ht="15" customHeight="1" x14ac:dyDescent="0.25">
      <c r="M5773" s="274"/>
    </row>
    <row r="5774" spans="13:13" ht="15" customHeight="1" x14ac:dyDescent="0.25">
      <c r="M5774" s="274"/>
    </row>
    <row r="5775" spans="13:13" ht="15" customHeight="1" x14ac:dyDescent="0.25">
      <c r="M5775" s="274"/>
    </row>
    <row r="5776" spans="13:13" ht="15" customHeight="1" x14ac:dyDescent="0.25">
      <c r="M5776" s="274"/>
    </row>
    <row r="5777" spans="13:13" ht="15" customHeight="1" x14ac:dyDescent="0.25">
      <c r="M5777" s="274"/>
    </row>
    <row r="5778" spans="13:13" ht="15" customHeight="1" x14ac:dyDescent="0.25">
      <c r="M5778" s="274"/>
    </row>
    <row r="5779" spans="13:13" ht="15" customHeight="1" x14ac:dyDescent="0.25">
      <c r="M5779" s="274"/>
    </row>
    <row r="5780" spans="13:13" ht="15" customHeight="1" x14ac:dyDescent="0.25">
      <c r="M5780" s="274"/>
    </row>
    <row r="5781" spans="13:13" ht="15" customHeight="1" x14ac:dyDescent="0.25">
      <c r="M5781" s="274"/>
    </row>
    <row r="5782" spans="13:13" ht="15" customHeight="1" x14ac:dyDescent="0.25">
      <c r="M5782" s="274"/>
    </row>
    <row r="5783" spans="13:13" ht="15" customHeight="1" x14ac:dyDescent="0.25">
      <c r="M5783" s="274"/>
    </row>
    <row r="5784" spans="13:13" ht="15" customHeight="1" x14ac:dyDescent="0.25">
      <c r="M5784" s="274"/>
    </row>
    <row r="5785" spans="13:13" ht="15" customHeight="1" x14ac:dyDescent="0.25">
      <c r="M5785" s="274"/>
    </row>
    <row r="5786" spans="13:13" ht="15" customHeight="1" x14ac:dyDescent="0.25">
      <c r="M5786" s="274"/>
    </row>
    <row r="5787" spans="13:13" ht="15" customHeight="1" x14ac:dyDescent="0.25">
      <c r="M5787" s="274"/>
    </row>
    <row r="5788" spans="13:13" ht="15" customHeight="1" x14ac:dyDescent="0.25">
      <c r="M5788" s="274"/>
    </row>
    <row r="5789" spans="13:13" ht="15" customHeight="1" x14ac:dyDescent="0.25">
      <c r="M5789" s="274"/>
    </row>
    <row r="5790" spans="13:13" ht="15" customHeight="1" x14ac:dyDescent="0.25">
      <c r="M5790" s="274"/>
    </row>
    <row r="5791" spans="13:13" ht="15" customHeight="1" x14ac:dyDescent="0.25">
      <c r="M5791" s="274"/>
    </row>
    <row r="5792" spans="13:13" ht="15" customHeight="1" x14ac:dyDescent="0.25">
      <c r="M5792" s="274"/>
    </row>
    <row r="5793" spans="13:13" ht="15" customHeight="1" x14ac:dyDescent="0.25">
      <c r="M5793" s="274"/>
    </row>
    <row r="5794" spans="13:13" ht="15" customHeight="1" x14ac:dyDescent="0.25">
      <c r="M5794" s="274"/>
    </row>
    <row r="5795" spans="13:13" ht="15" customHeight="1" x14ac:dyDescent="0.25">
      <c r="M5795" s="274"/>
    </row>
    <row r="5796" spans="13:13" ht="15" customHeight="1" x14ac:dyDescent="0.25">
      <c r="M5796" s="274"/>
    </row>
    <row r="5797" spans="13:13" ht="15" customHeight="1" x14ac:dyDescent="0.25">
      <c r="M5797" s="274"/>
    </row>
    <row r="5798" spans="13:13" ht="15" customHeight="1" x14ac:dyDescent="0.25">
      <c r="M5798" s="274"/>
    </row>
    <row r="5799" spans="13:13" ht="15" customHeight="1" x14ac:dyDescent="0.25">
      <c r="M5799" s="274"/>
    </row>
    <row r="5800" spans="13:13" ht="15" customHeight="1" x14ac:dyDescent="0.25">
      <c r="M5800" s="274"/>
    </row>
    <row r="5801" spans="13:13" ht="15" customHeight="1" x14ac:dyDescent="0.25">
      <c r="M5801" s="274"/>
    </row>
    <row r="5802" spans="13:13" ht="15" customHeight="1" x14ac:dyDescent="0.25">
      <c r="M5802" s="274"/>
    </row>
    <row r="5803" spans="13:13" ht="15" customHeight="1" x14ac:dyDescent="0.25">
      <c r="M5803" s="274"/>
    </row>
    <row r="5804" spans="13:13" ht="15" customHeight="1" x14ac:dyDescent="0.25">
      <c r="M5804" s="274"/>
    </row>
    <row r="5805" spans="13:13" ht="15" customHeight="1" x14ac:dyDescent="0.25">
      <c r="M5805" s="274"/>
    </row>
    <row r="5806" spans="13:13" ht="15" customHeight="1" x14ac:dyDescent="0.25">
      <c r="M5806" s="274"/>
    </row>
    <row r="5807" spans="13:13" ht="15" customHeight="1" x14ac:dyDescent="0.25">
      <c r="M5807" s="274"/>
    </row>
    <row r="5808" spans="13:13" ht="15" customHeight="1" x14ac:dyDescent="0.25">
      <c r="M5808" s="274"/>
    </row>
    <row r="5809" spans="13:13" ht="15" customHeight="1" x14ac:dyDescent="0.25">
      <c r="M5809" s="274"/>
    </row>
    <row r="5810" spans="13:13" ht="15" customHeight="1" x14ac:dyDescent="0.25">
      <c r="M5810" s="274"/>
    </row>
    <row r="5811" spans="13:13" ht="15" customHeight="1" x14ac:dyDescent="0.25">
      <c r="M5811" s="274"/>
    </row>
    <row r="5812" spans="13:13" ht="15" customHeight="1" x14ac:dyDescent="0.25">
      <c r="M5812" s="274"/>
    </row>
    <row r="5813" spans="13:13" ht="15" customHeight="1" x14ac:dyDescent="0.25">
      <c r="M5813" s="274"/>
    </row>
    <row r="5814" spans="13:13" ht="15" customHeight="1" x14ac:dyDescent="0.25">
      <c r="M5814" s="274"/>
    </row>
    <row r="5815" spans="13:13" ht="15" customHeight="1" x14ac:dyDescent="0.25">
      <c r="M5815" s="274"/>
    </row>
    <row r="5816" spans="13:13" ht="15" customHeight="1" x14ac:dyDescent="0.25">
      <c r="M5816" s="274"/>
    </row>
    <row r="5817" spans="13:13" ht="15" customHeight="1" x14ac:dyDescent="0.25">
      <c r="M5817" s="274"/>
    </row>
    <row r="5818" spans="13:13" ht="15" customHeight="1" x14ac:dyDescent="0.25">
      <c r="M5818" s="274"/>
    </row>
    <row r="5819" spans="13:13" ht="15" customHeight="1" x14ac:dyDescent="0.25">
      <c r="M5819" s="274"/>
    </row>
    <row r="5820" spans="13:13" ht="15" customHeight="1" x14ac:dyDescent="0.25">
      <c r="M5820" s="274"/>
    </row>
    <row r="5821" spans="13:13" ht="15" customHeight="1" x14ac:dyDescent="0.25">
      <c r="M5821" s="274"/>
    </row>
    <row r="5822" spans="13:13" ht="15" customHeight="1" x14ac:dyDescent="0.25">
      <c r="M5822" s="274"/>
    </row>
    <row r="5823" spans="13:13" ht="15" customHeight="1" x14ac:dyDescent="0.25">
      <c r="M5823" s="274"/>
    </row>
    <row r="5824" spans="13:13" ht="15" customHeight="1" x14ac:dyDescent="0.25">
      <c r="M5824" s="274"/>
    </row>
    <row r="5825" spans="13:13" ht="15" customHeight="1" x14ac:dyDescent="0.25">
      <c r="M5825" s="274"/>
    </row>
    <row r="5826" spans="13:13" ht="15" customHeight="1" x14ac:dyDescent="0.25">
      <c r="M5826" s="274"/>
    </row>
    <row r="5827" spans="13:13" ht="15" customHeight="1" x14ac:dyDescent="0.25">
      <c r="M5827" s="274"/>
    </row>
    <row r="5828" spans="13:13" ht="15" customHeight="1" x14ac:dyDescent="0.25">
      <c r="M5828" s="274"/>
    </row>
    <row r="5829" spans="13:13" ht="15" customHeight="1" x14ac:dyDescent="0.25">
      <c r="M5829" s="274"/>
    </row>
    <row r="5830" spans="13:13" ht="15" customHeight="1" x14ac:dyDescent="0.25">
      <c r="M5830" s="274"/>
    </row>
    <row r="5831" spans="13:13" ht="15" customHeight="1" x14ac:dyDescent="0.25">
      <c r="M5831" s="274"/>
    </row>
    <row r="5832" spans="13:13" ht="15" customHeight="1" x14ac:dyDescent="0.25">
      <c r="M5832" s="274"/>
    </row>
    <row r="5833" spans="13:13" ht="15" customHeight="1" x14ac:dyDescent="0.25">
      <c r="M5833" s="274"/>
    </row>
    <row r="5834" spans="13:13" ht="15" customHeight="1" x14ac:dyDescent="0.25">
      <c r="M5834" s="274"/>
    </row>
    <row r="5835" spans="13:13" ht="15" customHeight="1" x14ac:dyDescent="0.25">
      <c r="M5835" s="274"/>
    </row>
    <row r="5836" spans="13:13" ht="15" customHeight="1" x14ac:dyDescent="0.25">
      <c r="M5836" s="274"/>
    </row>
    <row r="5837" spans="13:13" ht="15" customHeight="1" x14ac:dyDescent="0.25">
      <c r="M5837" s="274"/>
    </row>
    <row r="5838" spans="13:13" ht="15" customHeight="1" x14ac:dyDescent="0.25">
      <c r="M5838" s="274"/>
    </row>
    <row r="5839" spans="13:13" ht="15" customHeight="1" x14ac:dyDescent="0.25">
      <c r="M5839" s="274"/>
    </row>
    <row r="5840" spans="13:13" ht="15" customHeight="1" x14ac:dyDescent="0.25">
      <c r="M5840" s="274"/>
    </row>
    <row r="5841" spans="13:13" ht="15" customHeight="1" x14ac:dyDescent="0.25">
      <c r="M5841" s="274"/>
    </row>
    <row r="5842" spans="13:13" ht="15" customHeight="1" x14ac:dyDescent="0.25">
      <c r="M5842" s="274"/>
    </row>
    <row r="5843" spans="13:13" ht="15" customHeight="1" x14ac:dyDescent="0.25">
      <c r="M5843" s="274"/>
    </row>
    <row r="5844" spans="13:13" ht="15" customHeight="1" x14ac:dyDescent="0.25">
      <c r="M5844" s="274"/>
    </row>
    <row r="5845" spans="13:13" ht="15" customHeight="1" x14ac:dyDescent="0.25">
      <c r="M5845" s="274"/>
    </row>
    <row r="5846" spans="13:13" ht="15" customHeight="1" x14ac:dyDescent="0.25">
      <c r="M5846" s="274"/>
    </row>
    <row r="5847" spans="13:13" ht="15" customHeight="1" x14ac:dyDescent="0.25">
      <c r="M5847" s="274"/>
    </row>
    <row r="5848" spans="13:13" ht="15" customHeight="1" x14ac:dyDescent="0.25">
      <c r="M5848" s="274"/>
    </row>
    <row r="5849" spans="13:13" ht="15" customHeight="1" x14ac:dyDescent="0.25">
      <c r="M5849" s="274"/>
    </row>
    <row r="5850" spans="13:13" ht="15" customHeight="1" x14ac:dyDescent="0.25">
      <c r="M5850" s="274"/>
    </row>
    <row r="5851" spans="13:13" ht="15" customHeight="1" x14ac:dyDescent="0.25">
      <c r="M5851" s="274"/>
    </row>
    <row r="5852" spans="13:13" ht="15" customHeight="1" x14ac:dyDescent="0.25">
      <c r="M5852" s="274"/>
    </row>
    <row r="5853" spans="13:13" ht="15" customHeight="1" x14ac:dyDescent="0.25">
      <c r="M5853" s="274"/>
    </row>
    <row r="5854" spans="13:13" ht="15" customHeight="1" x14ac:dyDescent="0.25">
      <c r="M5854" s="274"/>
    </row>
    <row r="5855" spans="13:13" ht="15" customHeight="1" x14ac:dyDescent="0.25">
      <c r="M5855" s="274"/>
    </row>
    <row r="5856" spans="13:13" ht="15" customHeight="1" x14ac:dyDescent="0.25">
      <c r="M5856" s="274"/>
    </row>
    <row r="5857" spans="13:13" ht="15" customHeight="1" x14ac:dyDescent="0.25">
      <c r="M5857" s="274"/>
    </row>
    <row r="5858" spans="13:13" ht="15" customHeight="1" x14ac:dyDescent="0.25">
      <c r="M5858" s="274"/>
    </row>
    <row r="5859" spans="13:13" ht="15" customHeight="1" x14ac:dyDescent="0.25">
      <c r="M5859" s="274"/>
    </row>
    <row r="5860" spans="13:13" ht="15" customHeight="1" x14ac:dyDescent="0.25">
      <c r="M5860" s="274"/>
    </row>
    <row r="5861" spans="13:13" ht="15" customHeight="1" x14ac:dyDescent="0.25">
      <c r="M5861" s="274"/>
    </row>
    <row r="5862" spans="13:13" ht="15" customHeight="1" x14ac:dyDescent="0.25">
      <c r="M5862" s="274"/>
    </row>
    <row r="5863" spans="13:13" ht="15" customHeight="1" x14ac:dyDescent="0.25">
      <c r="M5863" s="274"/>
    </row>
    <row r="5864" spans="13:13" ht="15" customHeight="1" x14ac:dyDescent="0.25">
      <c r="M5864" s="274"/>
    </row>
    <row r="5865" spans="13:13" ht="15" customHeight="1" x14ac:dyDescent="0.25">
      <c r="M5865" s="274"/>
    </row>
    <row r="5866" spans="13:13" ht="15" customHeight="1" x14ac:dyDescent="0.25">
      <c r="M5866" s="274"/>
    </row>
    <row r="5867" spans="13:13" ht="15" customHeight="1" x14ac:dyDescent="0.25">
      <c r="M5867" s="274"/>
    </row>
    <row r="5868" spans="13:13" ht="15" customHeight="1" x14ac:dyDescent="0.25">
      <c r="M5868" s="274"/>
    </row>
    <row r="5869" spans="13:13" ht="15" customHeight="1" x14ac:dyDescent="0.25">
      <c r="M5869" s="274"/>
    </row>
    <row r="5870" spans="13:13" ht="15" customHeight="1" x14ac:dyDescent="0.25">
      <c r="M5870" s="274"/>
    </row>
    <row r="5871" spans="13:13" ht="15" customHeight="1" x14ac:dyDescent="0.25">
      <c r="M5871" s="274"/>
    </row>
    <row r="5872" spans="13:13" ht="15" customHeight="1" x14ac:dyDescent="0.25">
      <c r="M5872" s="274"/>
    </row>
    <row r="5873" spans="13:13" ht="15" customHeight="1" x14ac:dyDescent="0.25">
      <c r="M5873" s="274"/>
    </row>
    <row r="5874" spans="13:13" ht="15" customHeight="1" x14ac:dyDescent="0.25">
      <c r="M5874" s="274"/>
    </row>
    <row r="5875" spans="13:13" ht="15" customHeight="1" x14ac:dyDescent="0.25">
      <c r="M5875" s="274"/>
    </row>
    <row r="5876" spans="13:13" ht="15" customHeight="1" x14ac:dyDescent="0.25">
      <c r="M5876" s="274"/>
    </row>
    <row r="5877" spans="13:13" ht="15" customHeight="1" x14ac:dyDescent="0.25">
      <c r="M5877" s="274"/>
    </row>
    <row r="5878" spans="13:13" ht="15" customHeight="1" x14ac:dyDescent="0.25">
      <c r="M5878" s="274"/>
    </row>
    <row r="5879" spans="13:13" ht="15" customHeight="1" x14ac:dyDescent="0.25">
      <c r="M5879" s="274"/>
    </row>
    <row r="5880" spans="13:13" ht="15" customHeight="1" x14ac:dyDescent="0.25">
      <c r="M5880" s="274"/>
    </row>
    <row r="5881" spans="13:13" ht="15" customHeight="1" x14ac:dyDescent="0.25">
      <c r="M5881" s="274"/>
    </row>
    <row r="5882" spans="13:13" ht="15" customHeight="1" x14ac:dyDescent="0.25">
      <c r="M5882" s="274"/>
    </row>
    <row r="5883" spans="13:13" ht="15" customHeight="1" x14ac:dyDescent="0.25">
      <c r="M5883" s="274"/>
    </row>
    <row r="5884" spans="13:13" ht="15" customHeight="1" x14ac:dyDescent="0.25">
      <c r="M5884" s="274"/>
    </row>
    <row r="5885" spans="13:13" ht="15" customHeight="1" x14ac:dyDescent="0.25">
      <c r="M5885" s="274"/>
    </row>
    <row r="5886" spans="13:13" ht="15" customHeight="1" x14ac:dyDescent="0.25">
      <c r="M5886" s="274"/>
    </row>
    <row r="5887" spans="13:13" ht="15" customHeight="1" x14ac:dyDescent="0.25">
      <c r="M5887" s="274"/>
    </row>
    <row r="5888" spans="13:13" ht="15" customHeight="1" x14ac:dyDescent="0.25">
      <c r="M5888" s="274"/>
    </row>
    <row r="5889" spans="13:13" ht="15" customHeight="1" x14ac:dyDescent="0.25">
      <c r="M5889" s="274"/>
    </row>
    <row r="5890" spans="13:13" ht="15" customHeight="1" x14ac:dyDescent="0.25">
      <c r="M5890" s="274"/>
    </row>
    <row r="5891" spans="13:13" ht="15" customHeight="1" x14ac:dyDescent="0.25">
      <c r="M5891" s="274"/>
    </row>
    <row r="5892" spans="13:13" ht="15" customHeight="1" x14ac:dyDescent="0.25">
      <c r="M5892" s="274"/>
    </row>
    <row r="5893" spans="13:13" ht="15" customHeight="1" x14ac:dyDescent="0.25">
      <c r="M5893" s="274"/>
    </row>
    <row r="5894" spans="13:13" ht="15" customHeight="1" x14ac:dyDescent="0.25">
      <c r="M5894" s="274"/>
    </row>
    <row r="5895" spans="13:13" ht="15" customHeight="1" x14ac:dyDescent="0.25">
      <c r="M5895" s="274"/>
    </row>
    <row r="5896" spans="13:13" ht="15" customHeight="1" x14ac:dyDescent="0.25">
      <c r="M5896" s="274"/>
    </row>
    <row r="5897" spans="13:13" ht="15" customHeight="1" x14ac:dyDescent="0.25">
      <c r="M5897" s="274"/>
    </row>
    <row r="5898" spans="13:13" ht="15" customHeight="1" x14ac:dyDescent="0.25">
      <c r="M5898" s="274"/>
    </row>
    <row r="5899" spans="13:13" ht="15" customHeight="1" x14ac:dyDescent="0.25">
      <c r="M5899" s="274"/>
    </row>
    <row r="5900" spans="13:13" ht="15" customHeight="1" x14ac:dyDescent="0.25">
      <c r="M5900" s="274"/>
    </row>
    <row r="5901" spans="13:13" ht="15" customHeight="1" x14ac:dyDescent="0.25">
      <c r="M5901" s="274"/>
    </row>
    <row r="5902" spans="13:13" ht="15" customHeight="1" x14ac:dyDescent="0.25">
      <c r="M5902" s="274"/>
    </row>
    <row r="5903" spans="13:13" ht="15" customHeight="1" x14ac:dyDescent="0.25">
      <c r="M5903" s="274"/>
    </row>
    <row r="5904" spans="13:13" ht="15" customHeight="1" x14ac:dyDescent="0.25">
      <c r="M5904" s="274"/>
    </row>
    <row r="5905" spans="13:13" ht="15" customHeight="1" x14ac:dyDescent="0.25">
      <c r="M5905" s="274"/>
    </row>
    <row r="5906" spans="13:13" ht="15" customHeight="1" x14ac:dyDescent="0.25">
      <c r="M5906" s="274"/>
    </row>
    <row r="5907" spans="13:13" ht="15" customHeight="1" x14ac:dyDescent="0.25">
      <c r="M5907" s="274"/>
    </row>
    <row r="5908" spans="13:13" ht="15" customHeight="1" x14ac:dyDescent="0.25">
      <c r="M5908" s="274"/>
    </row>
    <row r="5909" spans="13:13" ht="15" customHeight="1" x14ac:dyDescent="0.25">
      <c r="M5909" s="274"/>
    </row>
    <row r="5910" spans="13:13" ht="15" customHeight="1" x14ac:dyDescent="0.25">
      <c r="M5910" s="274"/>
    </row>
    <row r="5911" spans="13:13" ht="15" customHeight="1" x14ac:dyDescent="0.25">
      <c r="M5911" s="274"/>
    </row>
    <row r="5912" spans="13:13" ht="15" customHeight="1" x14ac:dyDescent="0.25">
      <c r="M5912" s="274"/>
    </row>
    <row r="5913" spans="13:13" ht="15" customHeight="1" x14ac:dyDescent="0.25">
      <c r="M5913" s="274"/>
    </row>
    <row r="5914" spans="13:13" ht="15" customHeight="1" x14ac:dyDescent="0.25">
      <c r="M5914" s="274"/>
    </row>
    <row r="5915" spans="13:13" ht="15" customHeight="1" x14ac:dyDescent="0.25">
      <c r="M5915" s="274"/>
    </row>
    <row r="5916" spans="13:13" ht="15" customHeight="1" x14ac:dyDescent="0.25">
      <c r="M5916" s="274"/>
    </row>
    <row r="5917" spans="13:13" ht="15" customHeight="1" x14ac:dyDescent="0.25">
      <c r="M5917" s="274"/>
    </row>
    <row r="5918" spans="13:13" ht="15" customHeight="1" x14ac:dyDescent="0.25">
      <c r="M5918" s="274"/>
    </row>
    <row r="5919" spans="13:13" ht="15" customHeight="1" x14ac:dyDescent="0.25">
      <c r="M5919" s="274"/>
    </row>
    <row r="5920" spans="13:13" ht="15" customHeight="1" x14ac:dyDescent="0.25">
      <c r="M5920" s="274"/>
    </row>
    <row r="5921" spans="13:13" ht="15" customHeight="1" x14ac:dyDescent="0.25">
      <c r="M5921" s="274"/>
    </row>
    <row r="5922" spans="13:13" ht="15" customHeight="1" x14ac:dyDescent="0.25">
      <c r="M5922" s="274"/>
    </row>
    <row r="5923" spans="13:13" ht="15" customHeight="1" x14ac:dyDescent="0.25">
      <c r="M5923" s="274"/>
    </row>
    <row r="5924" spans="13:13" ht="15" customHeight="1" x14ac:dyDescent="0.25">
      <c r="M5924" s="274"/>
    </row>
    <row r="5925" spans="13:13" ht="15" customHeight="1" x14ac:dyDescent="0.25">
      <c r="M5925" s="274"/>
    </row>
    <row r="5926" spans="13:13" ht="15" customHeight="1" x14ac:dyDescent="0.25">
      <c r="M5926" s="274"/>
    </row>
    <row r="5927" spans="13:13" ht="15" customHeight="1" x14ac:dyDescent="0.25">
      <c r="M5927" s="274"/>
    </row>
    <row r="5928" spans="13:13" ht="15" customHeight="1" x14ac:dyDescent="0.25">
      <c r="M5928" s="274"/>
    </row>
    <row r="5929" spans="13:13" ht="15" customHeight="1" x14ac:dyDescent="0.25">
      <c r="M5929" s="274"/>
    </row>
    <row r="5930" spans="13:13" ht="15" customHeight="1" x14ac:dyDescent="0.25">
      <c r="M5930" s="274"/>
    </row>
    <row r="5931" spans="13:13" ht="15" customHeight="1" x14ac:dyDescent="0.25">
      <c r="M5931" s="274"/>
    </row>
    <row r="5932" spans="13:13" ht="15" customHeight="1" x14ac:dyDescent="0.25">
      <c r="M5932" s="274"/>
    </row>
    <row r="5933" spans="13:13" ht="15" customHeight="1" x14ac:dyDescent="0.25">
      <c r="M5933" s="274"/>
    </row>
    <row r="5934" spans="13:13" ht="15" customHeight="1" x14ac:dyDescent="0.25">
      <c r="M5934" s="274"/>
    </row>
    <row r="5935" spans="13:13" ht="15" customHeight="1" x14ac:dyDescent="0.25">
      <c r="M5935" s="274"/>
    </row>
    <row r="5936" spans="13:13" ht="15" customHeight="1" x14ac:dyDescent="0.25">
      <c r="M5936" s="274"/>
    </row>
    <row r="5937" spans="13:13" ht="15" customHeight="1" x14ac:dyDescent="0.25">
      <c r="M5937" s="274"/>
    </row>
    <row r="5938" spans="13:13" ht="15" customHeight="1" x14ac:dyDescent="0.25">
      <c r="M5938" s="274"/>
    </row>
    <row r="5939" spans="13:13" ht="15" customHeight="1" x14ac:dyDescent="0.25">
      <c r="M5939" s="274"/>
    </row>
    <row r="5940" spans="13:13" ht="15" customHeight="1" x14ac:dyDescent="0.25">
      <c r="M5940" s="274"/>
    </row>
    <row r="5941" spans="13:13" ht="15" customHeight="1" x14ac:dyDescent="0.25">
      <c r="M5941" s="274"/>
    </row>
    <row r="5942" spans="13:13" ht="15" customHeight="1" x14ac:dyDescent="0.25">
      <c r="M5942" s="274"/>
    </row>
    <row r="5943" spans="13:13" ht="15" customHeight="1" x14ac:dyDescent="0.25">
      <c r="M5943" s="274"/>
    </row>
    <row r="5944" spans="13:13" ht="15" customHeight="1" x14ac:dyDescent="0.25">
      <c r="M5944" s="274"/>
    </row>
    <row r="5945" spans="13:13" ht="15" customHeight="1" x14ac:dyDescent="0.25">
      <c r="M5945" s="274"/>
    </row>
    <row r="5946" spans="13:13" ht="15" customHeight="1" x14ac:dyDescent="0.25">
      <c r="M5946" s="274"/>
    </row>
    <row r="5947" spans="13:13" ht="15" customHeight="1" x14ac:dyDescent="0.25">
      <c r="M5947" s="274"/>
    </row>
    <row r="5948" spans="13:13" ht="15" customHeight="1" x14ac:dyDescent="0.25">
      <c r="M5948" s="274"/>
    </row>
    <row r="5949" spans="13:13" ht="15" customHeight="1" x14ac:dyDescent="0.25">
      <c r="M5949" s="274"/>
    </row>
    <row r="5950" spans="13:13" ht="15" customHeight="1" x14ac:dyDescent="0.25">
      <c r="M5950" s="274"/>
    </row>
    <row r="5951" spans="13:13" ht="15" customHeight="1" x14ac:dyDescent="0.25">
      <c r="M5951" s="274"/>
    </row>
    <row r="5952" spans="13:13" ht="15" customHeight="1" x14ac:dyDescent="0.25">
      <c r="M5952" s="274"/>
    </row>
    <row r="5953" spans="13:13" ht="15" customHeight="1" x14ac:dyDescent="0.25">
      <c r="M5953" s="274"/>
    </row>
    <row r="5954" spans="13:13" ht="15" customHeight="1" x14ac:dyDescent="0.25">
      <c r="M5954" s="274"/>
    </row>
    <row r="5955" spans="13:13" ht="15" customHeight="1" x14ac:dyDescent="0.25">
      <c r="M5955" s="274"/>
    </row>
    <row r="5956" spans="13:13" ht="15" customHeight="1" x14ac:dyDescent="0.25">
      <c r="M5956" s="274"/>
    </row>
    <row r="5957" spans="13:13" ht="15" customHeight="1" x14ac:dyDescent="0.25">
      <c r="M5957" s="274"/>
    </row>
    <row r="5958" spans="13:13" ht="15" customHeight="1" x14ac:dyDescent="0.25">
      <c r="M5958" s="274"/>
    </row>
    <row r="5959" spans="13:13" ht="15" customHeight="1" x14ac:dyDescent="0.25">
      <c r="M5959" s="274"/>
    </row>
    <row r="5960" spans="13:13" ht="15" customHeight="1" x14ac:dyDescent="0.25">
      <c r="M5960" s="274"/>
    </row>
    <row r="5961" spans="13:13" ht="15" customHeight="1" x14ac:dyDescent="0.25">
      <c r="M5961" s="274"/>
    </row>
    <row r="5962" spans="13:13" ht="15" customHeight="1" x14ac:dyDescent="0.25">
      <c r="M5962" s="274"/>
    </row>
    <row r="5963" spans="13:13" ht="15" customHeight="1" x14ac:dyDescent="0.25">
      <c r="M5963" s="274"/>
    </row>
    <row r="5964" spans="13:13" ht="15" customHeight="1" x14ac:dyDescent="0.25">
      <c r="M5964" s="274"/>
    </row>
    <row r="5965" spans="13:13" ht="15" customHeight="1" x14ac:dyDescent="0.25">
      <c r="M5965" s="274"/>
    </row>
    <row r="5966" spans="13:13" ht="15" customHeight="1" x14ac:dyDescent="0.25">
      <c r="M5966" s="274"/>
    </row>
    <row r="5967" spans="13:13" ht="15" customHeight="1" x14ac:dyDescent="0.25">
      <c r="M5967" s="274"/>
    </row>
    <row r="5968" spans="13:13" ht="15" customHeight="1" x14ac:dyDescent="0.25">
      <c r="M5968" s="274"/>
    </row>
    <row r="5969" spans="13:13" ht="15" customHeight="1" x14ac:dyDescent="0.25">
      <c r="M5969" s="274"/>
    </row>
    <row r="5970" spans="13:13" ht="15" customHeight="1" x14ac:dyDescent="0.25">
      <c r="M5970" s="274"/>
    </row>
    <row r="5971" spans="13:13" ht="15" customHeight="1" x14ac:dyDescent="0.25">
      <c r="M5971" s="274"/>
    </row>
    <row r="5972" spans="13:13" ht="15" customHeight="1" x14ac:dyDescent="0.25">
      <c r="M5972" s="274"/>
    </row>
    <row r="5973" spans="13:13" ht="15" customHeight="1" x14ac:dyDescent="0.25">
      <c r="M5973" s="274"/>
    </row>
    <row r="5974" spans="13:13" ht="15" customHeight="1" x14ac:dyDescent="0.25">
      <c r="M5974" s="274"/>
    </row>
    <row r="5975" spans="13:13" ht="15" customHeight="1" x14ac:dyDescent="0.25">
      <c r="M5975" s="274"/>
    </row>
    <row r="5976" spans="13:13" ht="15" customHeight="1" x14ac:dyDescent="0.25">
      <c r="M5976" s="274"/>
    </row>
    <row r="5977" spans="13:13" ht="15" customHeight="1" x14ac:dyDescent="0.25">
      <c r="M5977" s="274"/>
    </row>
    <row r="5978" spans="13:13" ht="15" customHeight="1" x14ac:dyDescent="0.25">
      <c r="M5978" s="274"/>
    </row>
    <row r="5979" spans="13:13" ht="15" customHeight="1" x14ac:dyDescent="0.25">
      <c r="M5979" s="274"/>
    </row>
    <row r="5980" spans="13:13" ht="15" customHeight="1" x14ac:dyDescent="0.25">
      <c r="M5980" s="274"/>
    </row>
    <row r="5981" spans="13:13" ht="15" customHeight="1" x14ac:dyDescent="0.25">
      <c r="M5981" s="274"/>
    </row>
    <row r="5982" spans="13:13" ht="15" customHeight="1" x14ac:dyDescent="0.25">
      <c r="M5982" s="274"/>
    </row>
    <row r="5983" spans="13:13" ht="15" customHeight="1" x14ac:dyDescent="0.25">
      <c r="M5983" s="274"/>
    </row>
    <row r="5984" spans="13:13" ht="15" customHeight="1" x14ac:dyDescent="0.25">
      <c r="M5984" s="274"/>
    </row>
    <row r="5985" spans="13:13" ht="15" customHeight="1" x14ac:dyDescent="0.25">
      <c r="M5985" s="274"/>
    </row>
    <row r="5986" spans="13:13" ht="15" customHeight="1" x14ac:dyDescent="0.25">
      <c r="M5986" s="274"/>
    </row>
    <row r="5987" spans="13:13" ht="15" customHeight="1" x14ac:dyDescent="0.25">
      <c r="M5987" s="274"/>
    </row>
    <row r="5988" spans="13:13" ht="15" customHeight="1" x14ac:dyDescent="0.25">
      <c r="M5988" s="274"/>
    </row>
    <row r="5989" spans="13:13" ht="15" customHeight="1" x14ac:dyDescent="0.25">
      <c r="M5989" s="274"/>
    </row>
    <row r="5990" spans="13:13" ht="15" customHeight="1" x14ac:dyDescent="0.25">
      <c r="M5990" s="274"/>
    </row>
    <row r="5991" spans="13:13" ht="15" customHeight="1" x14ac:dyDescent="0.25">
      <c r="M5991" s="274"/>
    </row>
    <row r="5992" spans="13:13" ht="15" customHeight="1" x14ac:dyDescent="0.25">
      <c r="M5992" s="274"/>
    </row>
    <row r="5993" spans="13:13" ht="15" customHeight="1" x14ac:dyDescent="0.25">
      <c r="M5993" s="274"/>
    </row>
    <row r="5994" spans="13:13" ht="15" customHeight="1" x14ac:dyDescent="0.25">
      <c r="M5994" s="274"/>
    </row>
    <row r="5995" spans="13:13" ht="15" customHeight="1" x14ac:dyDescent="0.25">
      <c r="M5995" s="274"/>
    </row>
    <row r="5996" spans="13:13" ht="15" customHeight="1" x14ac:dyDescent="0.25">
      <c r="M5996" s="274"/>
    </row>
    <row r="5997" spans="13:13" ht="15" customHeight="1" x14ac:dyDescent="0.25">
      <c r="M5997" s="274"/>
    </row>
    <row r="5998" spans="13:13" ht="15" customHeight="1" x14ac:dyDescent="0.25">
      <c r="M5998" s="274"/>
    </row>
    <row r="5999" spans="13:13" ht="15" customHeight="1" x14ac:dyDescent="0.25">
      <c r="M5999" s="274"/>
    </row>
    <row r="6000" spans="13:13" ht="15" customHeight="1" x14ac:dyDescent="0.25">
      <c r="M6000" s="274"/>
    </row>
    <row r="6001" spans="13:13" ht="15" customHeight="1" x14ac:dyDescent="0.25">
      <c r="M6001" s="274"/>
    </row>
    <row r="6002" spans="13:13" ht="15" customHeight="1" x14ac:dyDescent="0.25">
      <c r="M6002" s="274"/>
    </row>
    <row r="6003" spans="13:13" ht="15" customHeight="1" x14ac:dyDescent="0.25">
      <c r="M6003" s="274"/>
    </row>
    <row r="6004" spans="13:13" ht="15" customHeight="1" x14ac:dyDescent="0.25">
      <c r="M6004" s="274"/>
    </row>
    <row r="6005" spans="13:13" ht="15" customHeight="1" x14ac:dyDescent="0.25">
      <c r="M6005" s="274"/>
    </row>
    <row r="6006" spans="13:13" ht="15" customHeight="1" x14ac:dyDescent="0.25">
      <c r="M6006" s="274"/>
    </row>
    <row r="6007" spans="13:13" ht="15" customHeight="1" x14ac:dyDescent="0.25">
      <c r="M6007" s="274"/>
    </row>
    <row r="6008" spans="13:13" ht="15" customHeight="1" x14ac:dyDescent="0.25">
      <c r="M6008" s="274"/>
    </row>
    <row r="6009" spans="13:13" ht="15" customHeight="1" x14ac:dyDescent="0.25">
      <c r="M6009" s="274"/>
    </row>
    <row r="6010" spans="13:13" ht="15" customHeight="1" x14ac:dyDescent="0.25">
      <c r="M6010" s="274"/>
    </row>
    <row r="6011" spans="13:13" ht="15" customHeight="1" x14ac:dyDescent="0.25">
      <c r="M6011" s="274"/>
    </row>
    <row r="6012" spans="13:13" ht="15" customHeight="1" x14ac:dyDescent="0.25">
      <c r="M6012" s="274"/>
    </row>
    <row r="6013" spans="13:13" ht="15" customHeight="1" x14ac:dyDescent="0.25">
      <c r="M6013" s="274"/>
    </row>
    <row r="6014" spans="13:13" ht="15" customHeight="1" x14ac:dyDescent="0.25">
      <c r="M6014" s="274"/>
    </row>
    <row r="6015" spans="13:13" ht="15" customHeight="1" x14ac:dyDescent="0.25">
      <c r="M6015" s="274"/>
    </row>
    <row r="6016" spans="13:13" ht="15" customHeight="1" x14ac:dyDescent="0.25">
      <c r="M6016" s="274"/>
    </row>
    <row r="6017" spans="13:13" ht="15" customHeight="1" x14ac:dyDescent="0.25">
      <c r="M6017" s="274"/>
    </row>
    <row r="6018" spans="13:13" ht="15" customHeight="1" x14ac:dyDescent="0.25">
      <c r="M6018" s="274"/>
    </row>
    <row r="6019" spans="13:13" ht="15" customHeight="1" x14ac:dyDescent="0.25">
      <c r="M6019" s="274"/>
    </row>
    <row r="6020" spans="13:13" ht="15" customHeight="1" x14ac:dyDescent="0.25">
      <c r="M6020" s="274"/>
    </row>
    <row r="6021" spans="13:13" ht="15" customHeight="1" x14ac:dyDescent="0.25">
      <c r="M6021" s="274"/>
    </row>
    <row r="6022" spans="13:13" ht="15" customHeight="1" x14ac:dyDescent="0.25">
      <c r="M6022" s="274"/>
    </row>
    <row r="6023" spans="13:13" ht="15" customHeight="1" x14ac:dyDescent="0.25">
      <c r="M6023" s="274"/>
    </row>
    <row r="6024" spans="13:13" ht="15" customHeight="1" x14ac:dyDescent="0.25">
      <c r="M6024" s="274"/>
    </row>
    <row r="6025" spans="13:13" ht="15" customHeight="1" x14ac:dyDescent="0.25">
      <c r="M6025" s="274"/>
    </row>
    <row r="6026" spans="13:13" ht="15" customHeight="1" x14ac:dyDescent="0.25">
      <c r="M6026" s="274"/>
    </row>
    <row r="6027" spans="13:13" ht="15" customHeight="1" x14ac:dyDescent="0.25">
      <c r="M6027" s="274"/>
    </row>
    <row r="6028" spans="13:13" ht="15" customHeight="1" x14ac:dyDescent="0.25">
      <c r="M6028" s="274"/>
    </row>
    <row r="6029" spans="13:13" ht="15" customHeight="1" x14ac:dyDescent="0.25">
      <c r="M6029" s="274"/>
    </row>
    <row r="6030" spans="13:13" ht="15" customHeight="1" x14ac:dyDescent="0.25">
      <c r="M6030" s="274"/>
    </row>
    <row r="6031" spans="13:13" ht="15" customHeight="1" x14ac:dyDescent="0.25">
      <c r="M6031" s="274"/>
    </row>
    <row r="6032" spans="13:13" ht="15" customHeight="1" x14ac:dyDescent="0.25">
      <c r="M6032" s="274"/>
    </row>
    <row r="6033" spans="13:13" ht="15" customHeight="1" x14ac:dyDescent="0.25">
      <c r="M6033" s="274"/>
    </row>
    <row r="6034" spans="13:13" ht="15" customHeight="1" x14ac:dyDescent="0.25">
      <c r="M6034" s="274"/>
    </row>
    <row r="6035" spans="13:13" ht="15" customHeight="1" x14ac:dyDescent="0.25">
      <c r="M6035" s="274"/>
    </row>
    <row r="6036" spans="13:13" ht="15" customHeight="1" x14ac:dyDescent="0.25">
      <c r="M6036" s="274"/>
    </row>
    <row r="6037" spans="13:13" ht="15" customHeight="1" x14ac:dyDescent="0.25">
      <c r="M6037" s="274"/>
    </row>
    <row r="6038" spans="13:13" ht="15" customHeight="1" x14ac:dyDescent="0.25">
      <c r="M6038" s="274"/>
    </row>
    <row r="6039" spans="13:13" ht="15" customHeight="1" x14ac:dyDescent="0.25">
      <c r="M6039" s="274"/>
    </row>
    <row r="6040" spans="13:13" ht="15" customHeight="1" x14ac:dyDescent="0.25">
      <c r="M6040" s="274"/>
    </row>
    <row r="6041" spans="13:13" ht="15" customHeight="1" x14ac:dyDescent="0.25">
      <c r="M6041" s="274"/>
    </row>
    <row r="6042" spans="13:13" ht="15" customHeight="1" x14ac:dyDescent="0.25">
      <c r="M6042" s="274"/>
    </row>
    <row r="6043" spans="13:13" ht="15" customHeight="1" x14ac:dyDescent="0.25">
      <c r="M6043" s="274"/>
    </row>
    <row r="6044" spans="13:13" ht="15" customHeight="1" x14ac:dyDescent="0.25">
      <c r="M6044" s="274"/>
    </row>
    <row r="6045" spans="13:13" ht="15" customHeight="1" x14ac:dyDescent="0.25">
      <c r="M6045" s="274"/>
    </row>
    <row r="6046" spans="13:13" ht="15" customHeight="1" x14ac:dyDescent="0.25">
      <c r="M6046" s="274"/>
    </row>
    <row r="6047" spans="13:13" ht="15" customHeight="1" x14ac:dyDescent="0.25">
      <c r="M6047" s="274"/>
    </row>
    <row r="6048" spans="13:13" ht="15" customHeight="1" x14ac:dyDescent="0.25">
      <c r="M6048" s="274"/>
    </row>
    <row r="6049" spans="13:13" ht="15" customHeight="1" x14ac:dyDescent="0.25">
      <c r="M6049" s="274"/>
    </row>
    <row r="6050" spans="13:13" ht="15" customHeight="1" x14ac:dyDescent="0.25">
      <c r="M6050" s="274"/>
    </row>
    <row r="6051" spans="13:13" ht="15" customHeight="1" x14ac:dyDescent="0.25">
      <c r="M6051" s="274"/>
    </row>
    <row r="6052" spans="13:13" ht="15" customHeight="1" x14ac:dyDescent="0.25">
      <c r="M6052" s="274"/>
    </row>
    <row r="6053" spans="13:13" ht="15" customHeight="1" x14ac:dyDescent="0.25">
      <c r="M6053" s="274"/>
    </row>
    <row r="6054" spans="13:13" ht="15" customHeight="1" x14ac:dyDescent="0.25">
      <c r="M6054" s="274"/>
    </row>
    <row r="6055" spans="13:13" ht="15" customHeight="1" x14ac:dyDescent="0.25">
      <c r="M6055" s="274"/>
    </row>
    <row r="6056" spans="13:13" ht="15" customHeight="1" x14ac:dyDescent="0.25">
      <c r="M6056" s="274"/>
    </row>
    <row r="6057" spans="13:13" ht="15" customHeight="1" x14ac:dyDescent="0.25">
      <c r="M6057" s="274"/>
    </row>
    <row r="6058" spans="13:13" ht="15" customHeight="1" x14ac:dyDescent="0.25">
      <c r="M6058" s="274"/>
    </row>
    <row r="6059" spans="13:13" ht="15" customHeight="1" x14ac:dyDescent="0.25">
      <c r="M6059" s="274"/>
    </row>
    <row r="6060" spans="13:13" ht="15" customHeight="1" x14ac:dyDescent="0.25">
      <c r="M6060" s="274"/>
    </row>
    <row r="6061" spans="13:13" ht="15" customHeight="1" x14ac:dyDescent="0.25">
      <c r="M6061" s="274"/>
    </row>
    <row r="6062" spans="13:13" ht="15" customHeight="1" x14ac:dyDescent="0.25">
      <c r="M6062" s="274"/>
    </row>
    <row r="6063" spans="13:13" ht="15" customHeight="1" x14ac:dyDescent="0.25">
      <c r="M6063" s="274"/>
    </row>
    <row r="6064" spans="13:13" ht="15" customHeight="1" x14ac:dyDescent="0.25">
      <c r="M6064" s="274"/>
    </row>
    <row r="6065" spans="13:13" ht="15" customHeight="1" x14ac:dyDescent="0.25">
      <c r="M6065" s="274"/>
    </row>
    <row r="6066" spans="13:13" ht="15" customHeight="1" x14ac:dyDescent="0.25">
      <c r="M6066" s="274"/>
    </row>
    <row r="6067" spans="13:13" ht="15" customHeight="1" x14ac:dyDescent="0.25">
      <c r="M6067" s="274"/>
    </row>
    <row r="6068" spans="13:13" ht="15" customHeight="1" x14ac:dyDescent="0.25">
      <c r="M6068" s="274"/>
    </row>
    <row r="6069" spans="13:13" ht="15" customHeight="1" x14ac:dyDescent="0.25">
      <c r="M6069" s="274"/>
    </row>
    <row r="6070" spans="13:13" ht="15" customHeight="1" x14ac:dyDescent="0.25">
      <c r="M6070" s="274"/>
    </row>
    <row r="6071" spans="13:13" ht="15" customHeight="1" x14ac:dyDescent="0.25">
      <c r="M6071" s="274"/>
    </row>
    <row r="6072" spans="13:13" ht="15" customHeight="1" x14ac:dyDescent="0.25">
      <c r="M6072" s="274"/>
    </row>
    <row r="6073" spans="13:13" ht="15" customHeight="1" x14ac:dyDescent="0.25">
      <c r="M6073" s="274"/>
    </row>
    <row r="6074" spans="13:13" ht="15" customHeight="1" x14ac:dyDescent="0.25">
      <c r="M6074" s="274"/>
    </row>
    <row r="6075" spans="13:13" ht="15" customHeight="1" x14ac:dyDescent="0.25">
      <c r="M6075" s="274"/>
    </row>
    <row r="6076" spans="13:13" ht="15" customHeight="1" x14ac:dyDescent="0.25">
      <c r="M6076" s="274"/>
    </row>
    <row r="6077" spans="13:13" ht="15" customHeight="1" x14ac:dyDescent="0.25">
      <c r="M6077" s="274"/>
    </row>
    <row r="6078" spans="13:13" ht="15" customHeight="1" x14ac:dyDescent="0.25">
      <c r="M6078" s="274"/>
    </row>
    <row r="6079" spans="13:13" ht="15" customHeight="1" x14ac:dyDescent="0.25">
      <c r="M6079" s="274"/>
    </row>
    <row r="6080" spans="13:13" ht="15" customHeight="1" x14ac:dyDescent="0.25">
      <c r="M6080" s="274"/>
    </row>
    <row r="6081" spans="13:13" ht="15" customHeight="1" x14ac:dyDescent="0.25">
      <c r="M6081" s="274"/>
    </row>
    <row r="6082" spans="13:13" ht="15" customHeight="1" x14ac:dyDescent="0.25">
      <c r="M6082" s="274"/>
    </row>
    <row r="6083" spans="13:13" ht="15" customHeight="1" x14ac:dyDescent="0.25">
      <c r="M6083" s="274"/>
    </row>
    <row r="6084" spans="13:13" ht="15" customHeight="1" x14ac:dyDescent="0.25">
      <c r="M6084" s="274"/>
    </row>
    <row r="6085" spans="13:13" ht="15" customHeight="1" x14ac:dyDescent="0.25">
      <c r="M6085" s="274"/>
    </row>
    <row r="6086" spans="13:13" ht="15" customHeight="1" x14ac:dyDescent="0.25">
      <c r="M6086" s="274"/>
    </row>
    <row r="6087" spans="13:13" ht="15" customHeight="1" x14ac:dyDescent="0.25">
      <c r="M6087" s="274"/>
    </row>
    <row r="6088" spans="13:13" ht="15" customHeight="1" x14ac:dyDescent="0.25">
      <c r="M6088" s="274"/>
    </row>
    <row r="6089" spans="13:13" ht="15" customHeight="1" x14ac:dyDescent="0.25">
      <c r="M6089" s="274"/>
    </row>
    <row r="6090" spans="13:13" ht="15" customHeight="1" x14ac:dyDescent="0.25">
      <c r="M6090" s="274"/>
    </row>
    <row r="6091" spans="13:13" ht="15" customHeight="1" x14ac:dyDescent="0.25">
      <c r="M6091" s="274"/>
    </row>
    <row r="6092" spans="13:13" ht="15" customHeight="1" x14ac:dyDescent="0.25">
      <c r="M6092" s="274"/>
    </row>
    <row r="6093" spans="13:13" ht="15" customHeight="1" x14ac:dyDescent="0.25">
      <c r="M6093" s="274"/>
    </row>
    <row r="6094" spans="13:13" ht="15" customHeight="1" x14ac:dyDescent="0.25">
      <c r="M6094" s="274"/>
    </row>
    <row r="6095" spans="13:13" ht="15" customHeight="1" x14ac:dyDescent="0.25">
      <c r="M6095" s="274"/>
    </row>
    <row r="6096" spans="13:13" ht="15" customHeight="1" x14ac:dyDescent="0.25">
      <c r="M6096" s="274"/>
    </row>
    <row r="6097" spans="13:13" ht="15" customHeight="1" x14ac:dyDescent="0.25">
      <c r="M6097" s="274"/>
    </row>
    <row r="6098" spans="13:13" ht="15" customHeight="1" x14ac:dyDescent="0.25">
      <c r="M6098" s="274"/>
    </row>
    <row r="6099" spans="13:13" ht="15" customHeight="1" x14ac:dyDescent="0.25">
      <c r="M6099" s="274"/>
    </row>
    <row r="6100" spans="13:13" ht="15" customHeight="1" x14ac:dyDescent="0.25">
      <c r="M6100" s="274"/>
    </row>
    <row r="6101" spans="13:13" ht="15" customHeight="1" x14ac:dyDescent="0.25">
      <c r="M6101" s="274"/>
    </row>
    <row r="6102" spans="13:13" ht="15" customHeight="1" x14ac:dyDescent="0.25">
      <c r="M6102" s="274"/>
    </row>
    <row r="6103" spans="13:13" ht="15" customHeight="1" x14ac:dyDescent="0.25">
      <c r="M6103" s="274"/>
    </row>
    <row r="6104" spans="13:13" ht="15" customHeight="1" x14ac:dyDescent="0.25">
      <c r="M6104" s="274"/>
    </row>
    <row r="6105" spans="13:13" ht="15" customHeight="1" x14ac:dyDescent="0.25">
      <c r="M6105" s="274"/>
    </row>
    <row r="6106" spans="13:13" ht="15" customHeight="1" x14ac:dyDescent="0.25">
      <c r="M6106" s="274"/>
    </row>
    <row r="6107" spans="13:13" ht="15" customHeight="1" x14ac:dyDescent="0.25">
      <c r="M6107" s="274"/>
    </row>
    <row r="6108" spans="13:13" ht="15" customHeight="1" x14ac:dyDescent="0.25">
      <c r="M6108" s="274"/>
    </row>
    <row r="6109" spans="13:13" ht="15" customHeight="1" x14ac:dyDescent="0.25">
      <c r="M6109" s="274"/>
    </row>
    <row r="6110" spans="13:13" ht="15" customHeight="1" x14ac:dyDescent="0.25">
      <c r="M6110" s="274"/>
    </row>
    <row r="6111" spans="13:13" ht="15" customHeight="1" x14ac:dyDescent="0.25">
      <c r="M6111" s="274"/>
    </row>
    <row r="6112" spans="13:13" ht="15" customHeight="1" x14ac:dyDescent="0.25">
      <c r="M6112" s="274"/>
    </row>
    <row r="6113" spans="13:13" ht="15" customHeight="1" x14ac:dyDescent="0.25">
      <c r="M6113" s="274"/>
    </row>
    <row r="6114" spans="13:13" ht="15" customHeight="1" x14ac:dyDescent="0.25">
      <c r="M6114" s="274"/>
    </row>
    <row r="6115" spans="13:13" ht="15" customHeight="1" x14ac:dyDescent="0.25">
      <c r="M6115" s="274"/>
    </row>
    <row r="6116" spans="13:13" ht="15" customHeight="1" x14ac:dyDescent="0.25">
      <c r="M6116" s="274"/>
    </row>
    <row r="6117" spans="13:13" ht="15" customHeight="1" x14ac:dyDescent="0.25">
      <c r="M6117" s="274"/>
    </row>
    <row r="6118" spans="13:13" ht="15" customHeight="1" x14ac:dyDescent="0.25">
      <c r="M6118" s="274"/>
    </row>
    <row r="6119" spans="13:13" ht="15" customHeight="1" x14ac:dyDescent="0.25">
      <c r="M6119" s="274"/>
    </row>
    <row r="6120" spans="13:13" ht="15" customHeight="1" x14ac:dyDescent="0.25">
      <c r="M6120" s="274"/>
    </row>
    <row r="6121" spans="13:13" ht="15" customHeight="1" x14ac:dyDescent="0.25">
      <c r="M6121" s="274"/>
    </row>
    <row r="6122" spans="13:13" ht="15" customHeight="1" x14ac:dyDescent="0.25">
      <c r="M6122" s="274"/>
    </row>
    <row r="6123" spans="13:13" ht="15" customHeight="1" x14ac:dyDescent="0.25">
      <c r="M6123" s="274"/>
    </row>
    <row r="6124" spans="13:13" ht="15" customHeight="1" x14ac:dyDescent="0.25">
      <c r="M6124" s="274"/>
    </row>
    <row r="6125" spans="13:13" ht="15" customHeight="1" x14ac:dyDescent="0.25">
      <c r="M6125" s="274"/>
    </row>
    <row r="6126" spans="13:13" ht="15" customHeight="1" x14ac:dyDescent="0.25">
      <c r="M6126" s="274"/>
    </row>
    <row r="6127" spans="13:13" ht="15" customHeight="1" x14ac:dyDescent="0.25">
      <c r="M6127" s="274"/>
    </row>
    <row r="6128" spans="13:13" ht="15" customHeight="1" x14ac:dyDescent="0.25">
      <c r="M6128" s="274"/>
    </row>
    <row r="6129" spans="13:13" ht="15" customHeight="1" x14ac:dyDescent="0.25">
      <c r="M6129" s="274"/>
    </row>
    <row r="6130" spans="13:13" ht="15" customHeight="1" x14ac:dyDescent="0.25">
      <c r="M6130" s="274"/>
    </row>
    <row r="6131" spans="13:13" ht="15" customHeight="1" x14ac:dyDescent="0.25">
      <c r="M6131" s="274"/>
    </row>
    <row r="6132" spans="13:13" ht="15" customHeight="1" x14ac:dyDescent="0.25">
      <c r="M6132" s="274"/>
    </row>
    <row r="6133" spans="13:13" ht="15" customHeight="1" x14ac:dyDescent="0.25">
      <c r="M6133" s="274"/>
    </row>
    <row r="6134" spans="13:13" ht="15" customHeight="1" x14ac:dyDescent="0.25">
      <c r="M6134" s="274"/>
    </row>
    <row r="6135" spans="13:13" ht="15" customHeight="1" x14ac:dyDescent="0.25">
      <c r="M6135" s="274"/>
    </row>
    <row r="6136" spans="13:13" ht="15" customHeight="1" x14ac:dyDescent="0.25">
      <c r="M6136" s="274"/>
    </row>
    <row r="6137" spans="13:13" ht="15" customHeight="1" x14ac:dyDescent="0.25">
      <c r="M6137" s="274"/>
    </row>
    <row r="6138" spans="13:13" ht="15" customHeight="1" x14ac:dyDescent="0.25">
      <c r="M6138" s="274"/>
    </row>
    <row r="6139" spans="13:13" ht="15" customHeight="1" x14ac:dyDescent="0.25">
      <c r="M6139" s="274"/>
    </row>
    <row r="6140" spans="13:13" ht="15" customHeight="1" x14ac:dyDescent="0.25">
      <c r="M6140" s="274"/>
    </row>
    <row r="6141" spans="13:13" ht="15" customHeight="1" x14ac:dyDescent="0.25">
      <c r="M6141" s="274"/>
    </row>
    <row r="6142" spans="13:13" ht="15" customHeight="1" x14ac:dyDescent="0.25">
      <c r="M6142" s="274"/>
    </row>
    <row r="6143" spans="13:13" ht="15" customHeight="1" x14ac:dyDescent="0.25">
      <c r="M6143" s="274"/>
    </row>
    <row r="6144" spans="13:13" ht="15" customHeight="1" x14ac:dyDescent="0.25">
      <c r="M6144" s="274"/>
    </row>
    <row r="6145" spans="13:13" ht="15" customHeight="1" x14ac:dyDescent="0.25">
      <c r="M6145" s="274"/>
    </row>
    <row r="6146" spans="13:13" ht="15" customHeight="1" x14ac:dyDescent="0.25">
      <c r="M6146" s="274"/>
    </row>
    <row r="6147" spans="13:13" ht="15" customHeight="1" x14ac:dyDescent="0.25">
      <c r="M6147" s="274"/>
    </row>
    <row r="6148" spans="13:13" ht="15" customHeight="1" x14ac:dyDescent="0.25">
      <c r="M6148" s="274"/>
    </row>
    <row r="6149" spans="13:13" ht="15" customHeight="1" x14ac:dyDescent="0.25">
      <c r="M6149" s="274"/>
    </row>
    <row r="6150" spans="13:13" ht="15" customHeight="1" x14ac:dyDescent="0.25">
      <c r="M6150" s="274"/>
    </row>
    <row r="6151" spans="13:13" ht="15" customHeight="1" x14ac:dyDescent="0.25">
      <c r="M6151" s="274"/>
    </row>
    <row r="6152" spans="13:13" ht="15" customHeight="1" x14ac:dyDescent="0.25">
      <c r="M6152" s="274"/>
    </row>
    <row r="6153" spans="13:13" ht="15" customHeight="1" x14ac:dyDescent="0.25">
      <c r="M6153" s="274"/>
    </row>
    <row r="6154" spans="13:13" ht="15" customHeight="1" x14ac:dyDescent="0.25">
      <c r="M6154" s="274"/>
    </row>
    <row r="6155" spans="13:13" ht="15" customHeight="1" x14ac:dyDescent="0.25">
      <c r="M6155" s="274"/>
    </row>
    <row r="6156" spans="13:13" ht="15" customHeight="1" x14ac:dyDescent="0.25">
      <c r="M6156" s="274"/>
    </row>
    <row r="6157" spans="13:13" ht="15" customHeight="1" x14ac:dyDescent="0.25">
      <c r="M6157" s="274"/>
    </row>
    <row r="6158" spans="13:13" ht="15" customHeight="1" x14ac:dyDescent="0.25">
      <c r="M6158" s="274"/>
    </row>
    <row r="6159" spans="13:13" ht="15" customHeight="1" x14ac:dyDescent="0.25">
      <c r="M6159" s="274"/>
    </row>
    <row r="6160" spans="13:13" ht="15" customHeight="1" x14ac:dyDescent="0.25">
      <c r="M6160" s="274"/>
    </row>
    <row r="6161" spans="13:13" ht="15" customHeight="1" x14ac:dyDescent="0.25">
      <c r="M6161" s="274"/>
    </row>
    <row r="6162" spans="13:13" ht="15" customHeight="1" x14ac:dyDescent="0.25">
      <c r="M6162" s="274"/>
    </row>
    <row r="6163" spans="13:13" ht="15" customHeight="1" x14ac:dyDescent="0.25">
      <c r="M6163" s="274"/>
    </row>
    <row r="6164" spans="13:13" ht="15" customHeight="1" x14ac:dyDescent="0.25">
      <c r="M6164" s="274"/>
    </row>
    <row r="6165" spans="13:13" ht="15" customHeight="1" x14ac:dyDescent="0.25">
      <c r="M6165" s="274"/>
    </row>
    <row r="6166" spans="13:13" ht="15" customHeight="1" x14ac:dyDescent="0.25">
      <c r="M6166" s="274"/>
    </row>
    <row r="6167" spans="13:13" ht="15" customHeight="1" x14ac:dyDescent="0.25">
      <c r="M6167" s="274"/>
    </row>
    <row r="6168" spans="13:13" ht="15" customHeight="1" x14ac:dyDescent="0.25">
      <c r="M6168" s="274"/>
    </row>
    <row r="6169" spans="13:13" ht="15" customHeight="1" x14ac:dyDescent="0.25">
      <c r="M6169" s="274"/>
    </row>
    <row r="6170" spans="13:13" ht="15" customHeight="1" x14ac:dyDescent="0.25">
      <c r="M6170" s="274"/>
    </row>
    <row r="6171" spans="13:13" ht="15" customHeight="1" x14ac:dyDescent="0.25">
      <c r="M6171" s="274"/>
    </row>
    <row r="6172" spans="13:13" ht="15" customHeight="1" x14ac:dyDescent="0.25">
      <c r="M6172" s="274"/>
    </row>
    <row r="6173" spans="13:13" ht="15" customHeight="1" x14ac:dyDescent="0.25">
      <c r="M6173" s="274"/>
    </row>
    <row r="6174" spans="13:13" ht="15" customHeight="1" x14ac:dyDescent="0.25">
      <c r="M6174" s="274"/>
    </row>
    <row r="6175" spans="13:13" ht="15" customHeight="1" x14ac:dyDescent="0.25">
      <c r="M6175" s="274"/>
    </row>
    <row r="6176" spans="13:13" ht="15" customHeight="1" x14ac:dyDescent="0.25">
      <c r="M6176" s="274"/>
    </row>
    <row r="6177" spans="13:13" ht="15" customHeight="1" x14ac:dyDescent="0.25">
      <c r="M6177" s="274"/>
    </row>
    <row r="6178" spans="13:13" ht="15" customHeight="1" x14ac:dyDescent="0.25">
      <c r="M6178" s="274"/>
    </row>
    <row r="6179" spans="13:13" ht="15" customHeight="1" x14ac:dyDescent="0.25">
      <c r="M6179" s="274"/>
    </row>
    <row r="6180" spans="13:13" ht="15" customHeight="1" x14ac:dyDescent="0.25">
      <c r="M6180" s="274"/>
    </row>
    <row r="6181" spans="13:13" ht="15" customHeight="1" x14ac:dyDescent="0.25">
      <c r="M6181" s="274"/>
    </row>
    <row r="6182" spans="13:13" ht="15" customHeight="1" x14ac:dyDescent="0.25">
      <c r="M6182" s="274"/>
    </row>
    <row r="6183" spans="13:13" ht="15" customHeight="1" x14ac:dyDescent="0.25">
      <c r="M6183" s="274"/>
    </row>
    <row r="6184" spans="13:13" ht="15" customHeight="1" x14ac:dyDescent="0.25">
      <c r="M6184" s="274"/>
    </row>
    <row r="6185" spans="13:13" ht="15" customHeight="1" x14ac:dyDescent="0.25">
      <c r="M6185" s="274"/>
    </row>
    <row r="6186" spans="13:13" ht="15" customHeight="1" x14ac:dyDescent="0.25">
      <c r="M6186" s="274"/>
    </row>
    <row r="6187" spans="13:13" ht="15" customHeight="1" x14ac:dyDescent="0.25">
      <c r="M6187" s="274"/>
    </row>
    <row r="6188" spans="13:13" ht="15" customHeight="1" x14ac:dyDescent="0.25">
      <c r="M6188" s="274"/>
    </row>
    <row r="6189" spans="13:13" ht="15" customHeight="1" x14ac:dyDescent="0.25">
      <c r="M6189" s="274"/>
    </row>
    <row r="6190" spans="13:13" ht="15" customHeight="1" x14ac:dyDescent="0.25">
      <c r="M6190" s="274"/>
    </row>
    <row r="6191" spans="13:13" ht="15" customHeight="1" x14ac:dyDescent="0.25">
      <c r="M6191" s="274"/>
    </row>
    <row r="6192" spans="13:13" ht="15" customHeight="1" x14ac:dyDescent="0.25">
      <c r="M6192" s="274"/>
    </row>
    <row r="6193" spans="13:13" ht="15" customHeight="1" x14ac:dyDescent="0.25">
      <c r="M6193" s="274"/>
    </row>
    <row r="6194" spans="13:13" ht="15" customHeight="1" x14ac:dyDescent="0.25">
      <c r="M6194" s="274"/>
    </row>
    <row r="6195" spans="13:13" ht="15" customHeight="1" x14ac:dyDescent="0.25">
      <c r="M6195" s="274"/>
    </row>
    <row r="6196" spans="13:13" ht="15" customHeight="1" x14ac:dyDescent="0.25">
      <c r="M6196" s="274"/>
    </row>
    <row r="6197" spans="13:13" ht="15" customHeight="1" x14ac:dyDescent="0.25">
      <c r="M6197" s="274"/>
    </row>
    <row r="6198" spans="13:13" ht="15" customHeight="1" x14ac:dyDescent="0.25">
      <c r="M6198" s="274"/>
    </row>
    <row r="6199" spans="13:13" ht="15" customHeight="1" x14ac:dyDescent="0.25">
      <c r="M6199" s="274"/>
    </row>
    <row r="6200" spans="13:13" ht="15" customHeight="1" x14ac:dyDescent="0.25">
      <c r="M6200" s="274"/>
    </row>
    <row r="6201" spans="13:13" ht="15" customHeight="1" x14ac:dyDescent="0.25">
      <c r="M6201" s="274"/>
    </row>
    <row r="6202" spans="13:13" ht="15" customHeight="1" x14ac:dyDescent="0.25">
      <c r="M6202" s="274"/>
    </row>
    <row r="6203" spans="13:13" ht="15" customHeight="1" x14ac:dyDescent="0.25">
      <c r="M6203" s="274"/>
    </row>
    <row r="6204" spans="13:13" ht="15" customHeight="1" x14ac:dyDescent="0.25">
      <c r="M6204" s="274"/>
    </row>
    <row r="6205" spans="13:13" ht="15" customHeight="1" x14ac:dyDescent="0.25">
      <c r="M6205" s="274"/>
    </row>
    <row r="6206" spans="13:13" ht="15" customHeight="1" x14ac:dyDescent="0.25">
      <c r="M6206" s="274"/>
    </row>
    <row r="6207" spans="13:13" ht="15" customHeight="1" x14ac:dyDescent="0.25">
      <c r="M6207" s="274"/>
    </row>
    <row r="6208" spans="13:13" ht="15" customHeight="1" x14ac:dyDescent="0.25">
      <c r="M6208" s="274"/>
    </row>
    <row r="6209" spans="13:13" ht="15" customHeight="1" x14ac:dyDescent="0.25">
      <c r="M6209" s="274"/>
    </row>
    <row r="6210" spans="13:13" ht="15" customHeight="1" x14ac:dyDescent="0.25">
      <c r="M6210" s="274"/>
    </row>
    <row r="6211" spans="13:13" ht="15" customHeight="1" x14ac:dyDescent="0.25">
      <c r="M6211" s="274"/>
    </row>
    <row r="6212" spans="13:13" ht="15" customHeight="1" x14ac:dyDescent="0.25">
      <c r="M6212" s="274"/>
    </row>
    <row r="6213" spans="13:13" ht="15" customHeight="1" x14ac:dyDescent="0.25">
      <c r="M6213" s="274"/>
    </row>
    <row r="6214" spans="13:13" ht="15" customHeight="1" x14ac:dyDescent="0.25">
      <c r="M6214" s="274"/>
    </row>
    <row r="6215" spans="13:13" ht="15" customHeight="1" x14ac:dyDescent="0.25">
      <c r="M6215" s="274"/>
    </row>
    <row r="6216" spans="13:13" ht="15" customHeight="1" x14ac:dyDescent="0.25">
      <c r="M6216" s="274"/>
    </row>
    <row r="6217" spans="13:13" ht="15" customHeight="1" x14ac:dyDescent="0.25">
      <c r="M6217" s="274"/>
    </row>
    <row r="6218" spans="13:13" ht="15" customHeight="1" x14ac:dyDescent="0.25">
      <c r="M6218" s="274"/>
    </row>
    <row r="6219" spans="13:13" ht="15" customHeight="1" x14ac:dyDescent="0.25">
      <c r="M6219" s="274"/>
    </row>
    <row r="6220" spans="13:13" ht="15" customHeight="1" x14ac:dyDescent="0.25">
      <c r="M6220" s="274"/>
    </row>
    <row r="6221" spans="13:13" ht="15" customHeight="1" x14ac:dyDescent="0.25">
      <c r="M6221" s="274"/>
    </row>
    <row r="6222" spans="13:13" ht="15" customHeight="1" x14ac:dyDescent="0.25">
      <c r="M6222" s="274"/>
    </row>
    <row r="6223" spans="13:13" ht="15" customHeight="1" x14ac:dyDescent="0.25">
      <c r="M6223" s="274"/>
    </row>
    <row r="6224" spans="13:13" ht="15" customHeight="1" x14ac:dyDescent="0.25">
      <c r="M6224" s="274"/>
    </row>
    <row r="6225" spans="13:13" ht="15" customHeight="1" x14ac:dyDescent="0.25">
      <c r="M6225" s="274"/>
    </row>
    <row r="6226" spans="13:13" ht="15" customHeight="1" x14ac:dyDescent="0.25">
      <c r="M6226" s="274"/>
    </row>
    <row r="6227" spans="13:13" ht="15" customHeight="1" x14ac:dyDescent="0.25">
      <c r="M6227" s="274"/>
    </row>
    <row r="6228" spans="13:13" ht="15" customHeight="1" x14ac:dyDescent="0.25">
      <c r="M6228" s="274"/>
    </row>
    <row r="6229" spans="13:13" ht="15" customHeight="1" x14ac:dyDescent="0.25">
      <c r="M6229" s="274"/>
    </row>
    <row r="6230" spans="13:13" ht="15" customHeight="1" x14ac:dyDescent="0.25">
      <c r="M6230" s="274"/>
    </row>
    <row r="6231" spans="13:13" ht="15" customHeight="1" x14ac:dyDescent="0.25">
      <c r="M6231" s="274"/>
    </row>
    <row r="6232" spans="13:13" ht="15" customHeight="1" x14ac:dyDescent="0.25">
      <c r="M6232" s="274"/>
    </row>
    <row r="6233" spans="13:13" ht="15" customHeight="1" x14ac:dyDescent="0.25">
      <c r="M6233" s="274"/>
    </row>
    <row r="6234" spans="13:13" ht="15" customHeight="1" x14ac:dyDescent="0.25">
      <c r="M6234" s="274"/>
    </row>
    <row r="6235" spans="13:13" ht="15" customHeight="1" x14ac:dyDescent="0.25">
      <c r="M6235" s="274"/>
    </row>
    <row r="6236" spans="13:13" ht="15" customHeight="1" x14ac:dyDescent="0.25">
      <c r="M6236" s="274"/>
    </row>
    <row r="6237" spans="13:13" ht="15" customHeight="1" x14ac:dyDescent="0.25">
      <c r="M6237" s="274"/>
    </row>
    <row r="6238" spans="13:13" ht="15" customHeight="1" x14ac:dyDescent="0.25">
      <c r="M6238" s="274"/>
    </row>
    <row r="6239" spans="13:13" ht="15" customHeight="1" x14ac:dyDescent="0.25">
      <c r="M6239" s="274"/>
    </row>
    <row r="6240" spans="13:13" ht="15" customHeight="1" x14ac:dyDescent="0.25">
      <c r="M6240" s="274"/>
    </row>
    <row r="6241" spans="13:13" ht="15" customHeight="1" x14ac:dyDescent="0.25">
      <c r="M6241" s="274"/>
    </row>
    <row r="6242" spans="13:13" ht="15" customHeight="1" x14ac:dyDescent="0.25">
      <c r="M6242" s="274"/>
    </row>
    <row r="6243" spans="13:13" ht="15" customHeight="1" x14ac:dyDescent="0.25">
      <c r="M6243" s="274"/>
    </row>
    <row r="6244" spans="13:13" ht="15" customHeight="1" x14ac:dyDescent="0.25">
      <c r="M6244" s="274"/>
    </row>
    <row r="6245" spans="13:13" ht="15" customHeight="1" x14ac:dyDescent="0.25">
      <c r="M6245" s="274"/>
    </row>
    <row r="6246" spans="13:13" ht="15" customHeight="1" x14ac:dyDescent="0.25">
      <c r="M6246" s="274"/>
    </row>
    <row r="6247" spans="13:13" ht="15" customHeight="1" x14ac:dyDescent="0.25">
      <c r="M6247" s="274"/>
    </row>
    <row r="6248" spans="13:13" ht="15" customHeight="1" x14ac:dyDescent="0.25">
      <c r="M6248" s="274"/>
    </row>
    <row r="6249" spans="13:13" ht="15" customHeight="1" x14ac:dyDescent="0.25">
      <c r="M6249" s="274"/>
    </row>
    <row r="6250" spans="13:13" ht="15" customHeight="1" x14ac:dyDescent="0.25">
      <c r="M6250" s="274"/>
    </row>
    <row r="6251" spans="13:13" ht="15" customHeight="1" x14ac:dyDescent="0.25">
      <c r="M6251" s="274"/>
    </row>
    <row r="6252" spans="13:13" ht="15" customHeight="1" x14ac:dyDescent="0.25">
      <c r="M6252" s="274"/>
    </row>
    <row r="6253" spans="13:13" ht="15" customHeight="1" x14ac:dyDescent="0.25">
      <c r="M6253" s="274"/>
    </row>
    <row r="6254" spans="13:13" ht="15" customHeight="1" x14ac:dyDescent="0.25">
      <c r="M6254" s="274"/>
    </row>
    <row r="6255" spans="13:13" ht="15" customHeight="1" x14ac:dyDescent="0.25">
      <c r="M6255" s="274"/>
    </row>
    <row r="6256" spans="13:13" ht="15" customHeight="1" x14ac:dyDescent="0.25">
      <c r="M6256" s="274"/>
    </row>
    <row r="6257" spans="13:13" ht="15" customHeight="1" x14ac:dyDescent="0.25">
      <c r="M6257" s="274"/>
    </row>
    <row r="6258" spans="13:13" ht="15" customHeight="1" x14ac:dyDescent="0.25">
      <c r="M6258" s="274"/>
    </row>
    <row r="6259" spans="13:13" ht="15" customHeight="1" x14ac:dyDescent="0.25">
      <c r="M6259" s="274"/>
    </row>
    <row r="6260" spans="13:13" ht="15" customHeight="1" x14ac:dyDescent="0.25">
      <c r="M6260" s="274"/>
    </row>
    <row r="6261" spans="13:13" ht="15" customHeight="1" x14ac:dyDescent="0.25">
      <c r="M6261" s="274"/>
    </row>
    <row r="6262" spans="13:13" ht="15" customHeight="1" x14ac:dyDescent="0.25">
      <c r="M6262" s="274"/>
    </row>
    <row r="6263" spans="13:13" ht="15" customHeight="1" x14ac:dyDescent="0.25">
      <c r="M6263" s="274"/>
    </row>
    <row r="6264" spans="13:13" ht="15" customHeight="1" x14ac:dyDescent="0.25">
      <c r="M6264" s="274"/>
    </row>
    <row r="6265" spans="13:13" ht="15" customHeight="1" x14ac:dyDescent="0.25">
      <c r="M6265" s="274"/>
    </row>
    <row r="6266" spans="13:13" ht="15" customHeight="1" x14ac:dyDescent="0.25">
      <c r="M6266" s="274"/>
    </row>
    <row r="6267" spans="13:13" ht="15" customHeight="1" x14ac:dyDescent="0.25">
      <c r="M6267" s="274"/>
    </row>
    <row r="6268" spans="13:13" ht="15" customHeight="1" x14ac:dyDescent="0.25">
      <c r="M6268" s="274"/>
    </row>
    <row r="6269" spans="13:13" ht="15" customHeight="1" x14ac:dyDescent="0.25">
      <c r="M6269" s="274"/>
    </row>
    <row r="6270" spans="13:13" ht="15" customHeight="1" x14ac:dyDescent="0.25">
      <c r="M6270" s="274"/>
    </row>
    <row r="6271" spans="13:13" ht="15" customHeight="1" x14ac:dyDescent="0.25">
      <c r="M6271" s="274"/>
    </row>
    <row r="6272" spans="13:13" ht="15" customHeight="1" x14ac:dyDescent="0.25">
      <c r="M6272" s="274"/>
    </row>
    <row r="6273" spans="13:13" ht="15" customHeight="1" x14ac:dyDescent="0.25">
      <c r="M6273" s="274"/>
    </row>
    <row r="6274" spans="13:13" ht="15" customHeight="1" x14ac:dyDescent="0.25">
      <c r="M6274" s="274"/>
    </row>
    <row r="6275" spans="13:13" ht="15" customHeight="1" x14ac:dyDescent="0.25">
      <c r="M6275" s="274"/>
    </row>
    <row r="6276" spans="13:13" ht="15" customHeight="1" x14ac:dyDescent="0.25">
      <c r="M6276" s="274"/>
    </row>
    <row r="6277" spans="13:13" ht="15" customHeight="1" x14ac:dyDescent="0.25">
      <c r="M6277" s="274"/>
    </row>
    <row r="6278" spans="13:13" ht="15" customHeight="1" x14ac:dyDescent="0.25">
      <c r="M6278" s="274"/>
    </row>
    <row r="6279" spans="13:13" ht="15" customHeight="1" x14ac:dyDescent="0.25">
      <c r="M6279" s="274"/>
    </row>
    <row r="6280" spans="13:13" ht="15" customHeight="1" x14ac:dyDescent="0.25">
      <c r="M6280" s="274"/>
    </row>
    <row r="6281" spans="13:13" ht="15" customHeight="1" x14ac:dyDescent="0.25">
      <c r="M6281" s="274"/>
    </row>
    <row r="6282" spans="13:13" ht="15" customHeight="1" x14ac:dyDescent="0.25">
      <c r="M6282" s="274"/>
    </row>
    <row r="6283" spans="13:13" ht="15" customHeight="1" x14ac:dyDescent="0.25">
      <c r="M6283" s="274"/>
    </row>
    <row r="6284" spans="13:13" ht="15" customHeight="1" x14ac:dyDescent="0.25">
      <c r="M6284" s="274"/>
    </row>
    <row r="6285" spans="13:13" ht="15" customHeight="1" x14ac:dyDescent="0.25">
      <c r="M6285" s="274"/>
    </row>
    <row r="6286" spans="13:13" ht="15" customHeight="1" x14ac:dyDescent="0.25">
      <c r="M6286" s="274"/>
    </row>
    <row r="6287" spans="13:13" ht="15" customHeight="1" x14ac:dyDescent="0.25">
      <c r="M6287" s="274"/>
    </row>
    <row r="6288" spans="13:13" ht="15" customHeight="1" x14ac:dyDescent="0.25">
      <c r="M6288" s="274"/>
    </row>
    <row r="6289" spans="13:13" ht="15" customHeight="1" x14ac:dyDescent="0.25">
      <c r="M6289" s="274"/>
    </row>
    <row r="6290" spans="13:13" ht="15" customHeight="1" x14ac:dyDescent="0.25">
      <c r="M6290" s="274"/>
    </row>
    <row r="6291" spans="13:13" ht="15" customHeight="1" x14ac:dyDescent="0.25">
      <c r="M6291" s="274"/>
    </row>
    <row r="6292" spans="13:13" ht="15" customHeight="1" x14ac:dyDescent="0.25">
      <c r="M6292" s="274"/>
    </row>
    <row r="6293" spans="13:13" ht="15" customHeight="1" x14ac:dyDescent="0.25">
      <c r="M6293" s="274"/>
    </row>
    <row r="6294" spans="13:13" ht="15" customHeight="1" x14ac:dyDescent="0.25">
      <c r="M6294" s="274"/>
    </row>
    <row r="6295" spans="13:13" ht="15" customHeight="1" x14ac:dyDescent="0.25">
      <c r="M6295" s="274"/>
    </row>
    <row r="6296" spans="13:13" ht="15" customHeight="1" x14ac:dyDescent="0.25">
      <c r="M6296" s="274"/>
    </row>
    <row r="6297" spans="13:13" ht="15" customHeight="1" x14ac:dyDescent="0.25">
      <c r="M6297" s="274"/>
    </row>
    <row r="6298" spans="13:13" ht="15" customHeight="1" x14ac:dyDescent="0.25">
      <c r="M6298" s="274"/>
    </row>
    <row r="6299" spans="13:13" ht="15" customHeight="1" x14ac:dyDescent="0.25">
      <c r="M6299" s="274"/>
    </row>
    <row r="6300" spans="13:13" ht="15" customHeight="1" x14ac:dyDescent="0.25">
      <c r="M6300" s="274"/>
    </row>
    <row r="6301" spans="13:13" ht="15" customHeight="1" x14ac:dyDescent="0.25">
      <c r="M6301" s="274"/>
    </row>
    <row r="6302" spans="13:13" ht="15" customHeight="1" x14ac:dyDescent="0.25">
      <c r="M6302" s="274"/>
    </row>
    <row r="6303" spans="13:13" ht="15" customHeight="1" x14ac:dyDescent="0.25">
      <c r="M6303" s="274"/>
    </row>
    <row r="6304" spans="13:13" ht="15" customHeight="1" x14ac:dyDescent="0.25">
      <c r="M6304" s="274"/>
    </row>
    <row r="6305" spans="13:13" ht="15" customHeight="1" x14ac:dyDescent="0.25">
      <c r="M6305" s="274"/>
    </row>
    <row r="6306" spans="13:13" ht="15" customHeight="1" x14ac:dyDescent="0.25">
      <c r="M6306" s="274"/>
    </row>
    <row r="6307" spans="13:13" ht="15" customHeight="1" x14ac:dyDescent="0.25">
      <c r="M6307" s="274"/>
    </row>
    <row r="6308" spans="13:13" ht="15" customHeight="1" x14ac:dyDescent="0.25">
      <c r="M6308" s="274"/>
    </row>
    <row r="6309" spans="13:13" ht="15" customHeight="1" x14ac:dyDescent="0.25">
      <c r="M6309" s="274"/>
    </row>
    <row r="6310" spans="13:13" ht="15" customHeight="1" x14ac:dyDescent="0.25">
      <c r="M6310" s="274"/>
    </row>
    <row r="6311" spans="13:13" ht="15" customHeight="1" x14ac:dyDescent="0.25">
      <c r="M6311" s="274"/>
    </row>
    <row r="6312" spans="13:13" ht="15" customHeight="1" x14ac:dyDescent="0.25">
      <c r="M6312" s="274"/>
    </row>
    <row r="6313" spans="13:13" ht="15" customHeight="1" x14ac:dyDescent="0.25">
      <c r="M6313" s="274"/>
    </row>
    <row r="6314" spans="13:13" ht="15" customHeight="1" x14ac:dyDescent="0.25">
      <c r="M6314" s="274"/>
    </row>
    <row r="6315" spans="13:13" ht="15" customHeight="1" x14ac:dyDescent="0.25">
      <c r="M6315" s="274"/>
    </row>
    <row r="6316" spans="13:13" ht="15" customHeight="1" x14ac:dyDescent="0.25">
      <c r="M6316" s="274"/>
    </row>
    <row r="6317" spans="13:13" ht="15" customHeight="1" x14ac:dyDescent="0.25">
      <c r="M6317" s="274"/>
    </row>
    <row r="6318" spans="13:13" ht="15" customHeight="1" x14ac:dyDescent="0.25">
      <c r="M6318" s="274"/>
    </row>
    <row r="6319" spans="13:13" ht="15" customHeight="1" x14ac:dyDescent="0.25">
      <c r="M6319" s="274"/>
    </row>
    <row r="6320" spans="13:13" ht="15" customHeight="1" x14ac:dyDescent="0.25">
      <c r="M6320" s="274"/>
    </row>
    <row r="6321" spans="13:13" ht="15" customHeight="1" x14ac:dyDescent="0.25">
      <c r="M6321" s="274"/>
    </row>
    <row r="6322" spans="13:13" ht="15" customHeight="1" x14ac:dyDescent="0.25">
      <c r="M6322" s="274"/>
    </row>
    <row r="6323" spans="13:13" ht="15" customHeight="1" x14ac:dyDescent="0.25">
      <c r="M6323" s="274"/>
    </row>
    <row r="6324" spans="13:13" ht="15" customHeight="1" x14ac:dyDescent="0.25">
      <c r="M6324" s="274"/>
    </row>
    <row r="6325" spans="13:13" ht="15" customHeight="1" x14ac:dyDescent="0.25">
      <c r="M6325" s="274"/>
    </row>
    <row r="6326" spans="13:13" ht="15" customHeight="1" x14ac:dyDescent="0.25">
      <c r="M6326" s="274"/>
    </row>
    <row r="6327" spans="13:13" ht="15" customHeight="1" x14ac:dyDescent="0.25">
      <c r="M6327" s="274"/>
    </row>
    <row r="6328" spans="13:13" ht="15" customHeight="1" x14ac:dyDescent="0.25">
      <c r="M6328" s="274"/>
    </row>
    <row r="6329" spans="13:13" ht="15" customHeight="1" x14ac:dyDescent="0.25">
      <c r="M6329" s="274"/>
    </row>
    <row r="6330" spans="13:13" ht="15" customHeight="1" x14ac:dyDescent="0.25">
      <c r="M6330" s="274"/>
    </row>
    <row r="6331" spans="13:13" ht="15" customHeight="1" x14ac:dyDescent="0.25">
      <c r="M6331" s="274"/>
    </row>
    <row r="6332" spans="13:13" ht="15" customHeight="1" x14ac:dyDescent="0.25">
      <c r="M6332" s="274"/>
    </row>
    <row r="6333" spans="13:13" ht="15" customHeight="1" x14ac:dyDescent="0.25">
      <c r="M6333" s="274"/>
    </row>
    <row r="6334" spans="13:13" ht="15" customHeight="1" x14ac:dyDescent="0.25">
      <c r="M6334" s="274"/>
    </row>
    <row r="6335" spans="13:13" ht="15" customHeight="1" x14ac:dyDescent="0.25">
      <c r="M6335" s="274"/>
    </row>
    <row r="6336" spans="13:13" ht="15" customHeight="1" x14ac:dyDescent="0.25">
      <c r="M6336" s="274"/>
    </row>
    <row r="6337" spans="13:13" ht="15" customHeight="1" x14ac:dyDescent="0.25">
      <c r="M6337" s="274"/>
    </row>
    <row r="6338" spans="13:13" ht="15" customHeight="1" x14ac:dyDescent="0.25">
      <c r="M6338" s="274"/>
    </row>
    <row r="6339" spans="13:13" ht="15" customHeight="1" x14ac:dyDescent="0.25">
      <c r="M6339" s="274"/>
    </row>
    <row r="6340" spans="13:13" ht="15" customHeight="1" x14ac:dyDescent="0.25">
      <c r="M6340" s="274"/>
    </row>
    <row r="6341" spans="13:13" ht="15" customHeight="1" x14ac:dyDescent="0.25">
      <c r="M6341" s="274"/>
    </row>
    <row r="6342" spans="13:13" ht="15" customHeight="1" x14ac:dyDescent="0.25">
      <c r="M6342" s="274"/>
    </row>
    <row r="6343" spans="13:13" ht="15" customHeight="1" x14ac:dyDescent="0.25">
      <c r="M6343" s="274"/>
    </row>
    <row r="6344" spans="13:13" ht="15" customHeight="1" x14ac:dyDescent="0.25">
      <c r="M6344" s="274"/>
    </row>
    <row r="6345" spans="13:13" ht="15" customHeight="1" x14ac:dyDescent="0.25">
      <c r="M6345" s="274"/>
    </row>
    <row r="6346" spans="13:13" ht="15" customHeight="1" x14ac:dyDescent="0.25">
      <c r="M6346" s="274"/>
    </row>
    <row r="6347" spans="13:13" ht="15" customHeight="1" x14ac:dyDescent="0.25">
      <c r="M6347" s="274"/>
    </row>
    <row r="6348" spans="13:13" ht="15" customHeight="1" x14ac:dyDescent="0.25">
      <c r="M6348" s="274"/>
    </row>
    <row r="6349" spans="13:13" ht="15" customHeight="1" x14ac:dyDescent="0.25">
      <c r="M6349" s="274"/>
    </row>
    <row r="6350" spans="13:13" ht="15" customHeight="1" x14ac:dyDescent="0.25">
      <c r="M6350" s="274"/>
    </row>
    <row r="6351" spans="13:13" ht="15" customHeight="1" x14ac:dyDescent="0.25">
      <c r="M6351" s="274"/>
    </row>
    <row r="6352" spans="13:13" ht="15" customHeight="1" x14ac:dyDescent="0.25">
      <c r="M6352" s="274"/>
    </row>
    <row r="6353" spans="13:13" ht="15" customHeight="1" x14ac:dyDescent="0.25">
      <c r="M6353" s="274"/>
    </row>
    <row r="6354" spans="13:13" ht="15" customHeight="1" x14ac:dyDescent="0.25">
      <c r="M6354" s="274"/>
    </row>
    <row r="6355" spans="13:13" ht="15" customHeight="1" x14ac:dyDescent="0.25">
      <c r="M6355" s="274"/>
    </row>
    <row r="6356" spans="13:13" ht="15" customHeight="1" x14ac:dyDescent="0.25">
      <c r="M6356" s="274"/>
    </row>
    <row r="6357" spans="13:13" ht="15" customHeight="1" x14ac:dyDescent="0.25">
      <c r="M6357" s="274"/>
    </row>
    <row r="6358" spans="13:13" ht="15" customHeight="1" x14ac:dyDescent="0.25">
      <c r="M6358" s="274"/>
    </row>
    <row r="6359" spans="13:13" ht="15" customHeight="1" x14ac:dyDescent="0.25">
      <c r="M6359" s="274"/>
    </row>
    <row r="6360" spans="13:13" ht="15" customHeight="1" x14ac:dyDescent="0.25">
      <c r="M6360" s="274"/>
    </row>
    <row r="6361" spans="13:13" ht="15" customHeight="1" x14ac:dyDescent="0.25">
      <c r="M6361" s="274"/>
    </row>
    <row r="6362" spans="13:13" ht="15" customHeight="1" x14ac:dyDescent="0.25">
      <c r="M6362" s="274"/>
    </row>
    <row r="6363" spans="13:13" ht="15" customHeight="1" x14ac:dyDescent="0.25">
      <c r="M6363" s="274"/>
    </row>
    <row r="6364" spans="13:13" ht="15" customHeight="1" x14ac:dyDescent="0.25">
      <c r="M6364" s="274"/>
    </row>
    <row r="6365" spans="13:13" ht="15" customHeight="1" x14ac:dyDescent="0.25">
      <c r="M6365" s="274"/>
    </row>
    <row r="6366" spans="13:13" ht="15" customHeight="1" x14ac:dyDescent="0.25">
      <c r="M6366" s="274"/>
    </row>
    <row r="6367" spans="13:13" ht="15" customHeight="1" x14ac:dyDescent="0.25">
      <c r="M6367" s="274"/>
    </row>
    <row r="6368" spans="13:13" ht="15" customHeight="1" x14ac:dyDescent="0.25">
      <c r="M6368" s="274"/>
    </row>
    <row r="6369" spans="13:13" ht="15" customHeight="1" x14ac:dyDescent="0.25">
      <c r="M6369" s="274"/>
    </row>
    <row r="6370" spans="13:13" ht="15" customHeight="1" x14ac:dyDescent="0.25">
      <c r="M6370" s="274"/>
    </row>
    <row r="6371" spans="13:13" ht="15" customHeight="1" x14ac:dyDescent="0.25">
      <c r="M6371" s="274"/>
    </row>
    <row r="6372" spans="13:13" ht="15" customHeight="1" x14ac:dyDescent="0.25">
      <c r="M6372" s="274"/>
    </row>
    <row r="6373" spans="13:13" ht="15" customHeight="1" x14ac:dyDescent="0.25">
      <c r="M6373" s="274"/>
    </row>
    <row r="6374" spans="13:13" ht="15" customHeight="1" x14ac:dyDescent="0.25">
      <c r="M6374" s="274"/>
    </row>
    <row r="6375" spans="13:13" ht="15" customHeight="1" x14ac:dyDescent="0.25">
      <c r="M6375" s="274"/>
    </row>
    <row r="6376" spans="13:13" ht="15" customHeight="1" x14ac:dyDescent="0.25">
      <c r="M6376" s="274"/>
    </row>
    <row r="6377" spans="13:13" ht="15" customHeight="1" x14ac:dyDescent="0.25">
      <c r="M6377" s="274"/>
    </row>
    <row r="6378" spans="13:13" ht="15" customHeight="1" x14ac:dyDescent="0.25">
      <c r="M6378" s="274"/>
    </row>
    <row r="6379" spans="13:13" ht="15" customHeight="1" x14ac:dyDescent="0.25">
      <c r="M6379" s="274"/>
    </row>
    <row r="6380" spans="13:13" ht="15" customHeight="1" x14ac:dyDescent="0.25">
      <c r="M6380" s="274"/>
    </row>
    <row r="6381" spans="13:13" ht="15" customHeight="1" x14ac:dyDescent="0.25">
      <c r="M6381" s="274"/>
    </row>
    <row r="6382" spans="13:13" ht="15" customHeight="1" x14ac:dyDescent="0.25">
      <c r="M6382" s="274"/>
    </row>
    <row r="6383" spans="13:13" ht="15" customHeight="1" x14ac:dyDescent="0.25">
      <c r="M6383" s="274"/>
    </row>
    <row r="6384" spans="13:13" ht="15" customHeight="1" x14ac:dyDescent="0.25">
      <c r="M6384" s="274"/>
    </row>
    <row r="6385" spans="13:13" ht="15" customHeight="1" x14ac:dyDescent="0.25">
      <c r="M6385" s="274"/>
    </row>
    <row r="6386" spans="13:13" ht="15" customHeight="1" x14ac:dyDescent="0.25">
      <c r="M6386" s="274"/>
    </row>
    <row r="6387" spans="13:13" ht="15" customHeight="1" x14ac:dyDescent="0.25">
      <c r="M6387" s="274"/>
    </row>
    <row r="6388" spans="13:13" ht="15" customHeight="1" x14ac:dyDescent="0.25">
      <c r="M6388" s="274"/>
    </row>
    <row r="6389" spans="13:13" ht="15" customHeight="1" x14ac:dyDescent="0.25">
      <c r="M6389" s="274"/>
    </row>
    <row r="6390" spans="13:13" ht="15" customHeight="1" x14ac:dyDescent="0.25">
      <c r="M6390" s="274"/>
    </row>
    <row r="6391" spans="13:13" ht="15" customHeight="1" x14ac:dyDescent="0.25">
      <c r="M6391" s="274"/>
    </row>
    <row r="6392" spans="13:13" ht="15" customHeight="1" x14ac:dyDescent="0.25">
      <c r="M6392" s="274"/>
    </row>
    <row r="6393" spans="13:13" ht="15" customHeight="1" x14ac:dyDescent="0.25">
      <c r="M6393" s="274"/>
    </row>
    <row r="6394" spans="13:13" ht="15" customHeight="1" x14ac:dyDescent="0.25">
      <c r="M6394" s="274"/>
    </row>
    <row r="6395" spans="13:13" ht="15" customHeight="1" x14ac:dyDescent="0.25">
      <c r="M6395" s="274"/>
    </row>
    <row r="6396" spans="13:13" ht="15" customHeight="1" x14ac:dyDescent="0.25">
      <c r="M6396" s="274"/>
    </row>
    <row r="6397" spans="13:13" ht="15" customHeight="1" x14ac:dyDescent="0.25">
      <c r="M6397" s="274"/>
    </row>
    <row r="6398" spans="13:13" ht="15" customHeight="1" x14ac:dyDescent="0.25">
      <c r="M6398" s="274"/>
    </row>
    <row r="6399" spans="13:13" ht="15" customHeight="1" x14ac:dyDescent="0.25">
      <c r="M6399" s="274"/>
    </row>
    <row r="6400" spans="13:13" ht="15" customHeight="1" x14ac:dyDescent="0.25">
      <c r="M6400" s="274"/>
    </row>
    <row r="6401" spans="13:13" ht="15" customHeight="1" x14ac:dyDescent="0.25">
      <c r="M6401" s="274"/>
    </row>
    <row r="6402" spans="13:13" ht="15" customHeight="1" x14ac:dyDescent="0.25">
      <c r="M6402" s="274"/>
    </row>
    <row r="6403" spans="13:13" ht="15" customHeight="1" x14ac:dyDescent="0.25">
      <c r="M6403" s="274"/>
    </row>
    <row r="6404" spans="13:13" ht="15" customHeight="1" x14ac:dyDescent="0.25">
      <c r="M6404" s="274"/>
    </row>
    <row r="6405" spans="13:13" ht="15" customHeight="1" x14ac:dyDescent="0.25">
      <c r="M6405" s="274"/>
    </row>
    <row r="6406" spans="13:13" ht="15" customHeight="1" x14ac:dyDescent="0.25">
      <c r="M6406" s="274"/>
    </row>
    <row r="6407" spans="13:13" ht="15" customHeight="1" x14ac:dyDescent="0.25">
      <c r="M6407" s="274"/>
    </row>
    <row r="6408" spans="13:13" ht="15" customHeight="1" x14ac:dyDescent="0.25">
      <c r="M6408" s="274"/>
    </row>
    <row r="6409" spans="13:13" ht="15" customHeight="1" x14ac:dyDescent="0.25">
      <c r="M6409" s="274"/>
    </row>
    <row r="6410" spans="13:13" ht="15" customHeight="1" x14ac:dyDescent="0.25">
      <c r="M6410" s="274"/>
    </row>
    <row r="6411" spans="13:13" ht="15" customHeight="1" x14ac:dyDescent="0.25">
      <c r="M6411" s="274"/>
    </row>
    <row r="6412" spans="13:13" ht="15" customHeight="1" x14ac:dyDescent="0.25">
      <c r="M6412" s="274"/>
    </row>
    <row r="6413" spans="13:13" ht="15" customHeight="1" x14ac:dyDescent="0.25">
      <c r="M6413" s="274"/>
    </row>
    <row r="6414" spans="13:13" ht="15" customHeight="1" x14ac:dyDescent="0.25">
      <c r="M6414" s="274"/>
    </row>
    <row r="6415" spans="13:13" ht="15" customHeight="1" x14ac:dyDescent="0.25">
      <c r="M6415" s="274"/>
    </row>
    <row r="6416" spans="13:13" ht="15" customHeight="1" x14ac:dyDescent="0.25">
      <c r="M6416" s="274"/>
    </row>
    <row r="6417" spans="13:13" ht="15" customHeight="1" x14ac:dyDescent="0.25">
      <c r="M6417" s="274"/>
    </row>
    <row r="6418" spans="13:13" ht="15" customHeight="1" x14ac:dyDescent="0.25">
      <c r="M6418" s="274"/>
    </row>
    <row r="6419" spans="13:13" ht="15" customHeight="1" x14ac:dyDescent="0.25">
      <c r="M6419" s="274"/>
    </row>
    <row r="6420" spans="13:13" ht="15" customHeight="1" x14ac:dyDescent="0.25">
      <c r="M6420" s="274"/>
    </row>
    <row r="6421" spans="13:13" ht="15" customHeight="1" x14ac:dyDescent="0.25">
      <c r="M6421" s="274"/>
    </row>
    <row r="6422" spans="13:13" ht="15" customHeight="1" x14ac:dyDescent="0.25">
      <c r="M6422" s="274"/>
    </row>
    <row r="6423" spans="13:13" ht="15" customHeight="1" x14ac:dyDescent="0.25">
      <c r="M6423" s="274"/>
    </row>
    <row r="6424" spans="13:13" ht="15" customHeight="1" x14ac:dyDescent="0.25">
      <c r="M6424" s="274"/>
    </row>
    <row r="6425" spans="13:13" ht="15" customHeight="1" x14ac:dyDescent="0.25">
      <c r="M6425" s="274"/>
    </row>
    <row r="6426" spans="13:13" ht="15" customHeight="1" x14ac:dyDescent="0.25">
      <c r="M6426" s="274"/>
    </row>
    <row r="6427" spans="13:13" ht="15" customHeight="1" x14ac:dyDescent="0.25">
      <c r="M6427" s="274"/>
    </row>
    <row r="6428" spans="13:13" ht="15" customHeight="1" x14ac:dyDescent="0.25">
      <c r="M6428" s="274"/>
    </row>
    <row r="6429" spans="13:13" ht="15" customHeight="1" x14ac:dyDescent="0.25">
      <c r="M6429" s="274"/>
    </row>
    <row r="6430" spans="13:13" ht="15" customHeight="1" x14ac:dyDescent="0.25">
      <c r="M6430" s="274"/>
    </row>
    <row r="6431" spans="13:13" ht="15" customHeight="1" x14ac:dyDescent="0.25">
      <c r="M6431" s="274"/>
    </row>
    <row r="6432" spans="13:13" ht="15" customHeight="1" x14ac:dyDescent="0.25">
      <c r="M6432" s="274"/>
    </row>
    <row r="6433" spans="13:13" ht="15" customHeight="1" x14ac:dyDescent="0.25">
      <c r="M6433" s="274"/>
    </row>
    <row r="6434" spans="13:13" ht="15" customHeight="1" x14ac:dyDescent="0.25">
      <c r="M6434" s="274"/>
    </row>
    <row r="6435" spans="13:13" ht="15" customHeight="1" x14ac:dyDescent="0.25">
      <c r="M6435" s="274"/>
    </row>
    <row r="6436" spans="13:13" ht="15" customHeight="1" x14ac:dyDescent="0.25">
      <c r="M6436" s="274"/>
    </row>
    <row r="6437" spans="13:13" ht="15" customHeight="1" x14ac:dyDescent="0.25">
      <c r="M6437" s="274"/>
    </row>
    <row r="6438" spans="13:13" ht="15" customHeight="1" x14ac:dyDescent="0.25">
      <c r="M6438" s="274"/>
    </row>
    <row r="6439" spans="13:13" ht="15" customHeight="1" x14ac:dyDescent="0.25">
      <c r="M6439" s="274"/>
    </row>
    <row r="6440" spans="13:13" ht="15" customHeight="1" x14ac:dyDescent="0.25">
      <c r="M6440" s="274"/>
    </row>
    <row r="6441" spans="13:13" ht="15" customHeight="1" x14ac:dyDescent="0.25">
      <c r="M6441" s="274"/>
    </row>
    <row r="6442" spans="13:13" ht="15" customHeight="1" x14ac:dyDescent="0.25">
      <c r="M6442" s="274"/>
    </row>
    <row r="6443" spans="13:13" ht="15" customHeight="1" x14ac:dyDescent="0.25">
      <c r="M6443" s="274"/>
    </row>
    <row r="6444" spans="13:13" ht="15" customHeight="1" x14ac:dyDescent="0.25">
      <c r="M6444" s="274"/>
    </row>
    <row r="6445" spans="13:13" ht="15" customHeight="1" x14ac:dyDescent="0.25">
      <c r="M6445" s="274"/>
    </row>
    <row r="6446" spans="13:13" ht="15" customHeight="1" x14ac:dyDescent="0.25">
      <c r="M6446" s="274"/>
    </row>
    <row r="6447" spans="13:13" ht="15" customHeight="1" x14ac:dyDescent="0.25">
      <c r="M6447" s="274"/>
    </row>
    <row r="6448" spans="13:13" ht="15" customHeight="1" x14ac:dyDescent="0.25">
      <c r="M6448" s="274"/>
    </row>
    <row r="6449" spans="13:13" ht="15" customHeight="1" x14ac:dyDescent="0.25">
      <c r="M6449" s="274"/>
    </row>
    <row r="6450" spans="13:13" ht="15" customHeight="1" x14ac:dyDescent="0.25">
      <c r="M6450" s="274"/>
    </row>
    <row r="6451" spans="13:13" ht="15" customHeight="1" x14ac:dyDescent="0.25">
      <c r="M6451" s="274"/>
    </row>
    <row r="6452" spans="13:13" ht="15" customHeight="1" x14ac:dyDescent="0.25">
      <c r="M6452" s="274"/>
    </row>
    <row r="6453" spans="13:13" ht="15" customHeight="1" x14ac:dyDescent="0.25">
      <c r="M6453" s="274"/>
    </row>
    <row r="6454" spans="13:13" ht="15" customHeight="1" x14ac:dyDescent="0.25">
      <c r="M6454" s="274"/>
    </row>
    <row r="6455" spans="13:13" ht="15" customHeight="1" x14ac:dyDescent="0.25">
      <c r="M6455" s="274"/>
    </row>
    <row r="6456" spans="13:13" ht="15" customHeight="1" x14ac:dyDescent="0.25">
      <c r="M6456" s="274"/>
    </row>
    <row r="6457" spans="13:13" ht="15" customHeight="1" x14ac:dyDescent="0.25">
      <c r="M6457" s="274"/>
    </row>
    <row r="6458" spans="13:13" ht="15" customHeight="1" x14ac:dyDescent="0.25">
      <c r="M6458" s="274"/>
    </row>
    <row r="6459" spans="13:13" ht="15" customHeight="1" x14ac:dyDescent="0.25">
      <c r="M6459" s="274"/>
    </row>
    <row r="6460" spans="13:13" ht="15" customHeight="1" x14ac:dyDescent="0.25">
      <c r="M6460" s="274"/>
    </row>
    <row r="6461" spans="13:13" ht="15" customHeight="1" x14ac:dyDescent="0.25">
      <c r="M6461" s="274"/>
    </row>
    <row r="6462" spans="13:13" ht="15" customHeight="1" x14ac:dyDescent="0.25">
      <c r="M6462" s="274"/>
    </row>
    <row r="6463" spans="13:13" ht="15" customHeight="1" x14ac:dyDescent="0.25">
      <c r="M6463" s="274"/>
    </row>
    <row r="6464" spans="13:13" ht="15" customHeight="1" x14ac:dyDescent="0.25">
      <c r="M6464" s="274"/>
    </row>
    <row r="6465" spans="13:13" ht="15" customHeight="1" x14ac:dyDescent="0.25">
      <c r="M6465" s="274"/>
    </row>
    <row r="6466" spans="13:13" ht="15" customHeight="1" x14ac:dyDescent="0.25">
      <c r="M6466" s="274"/>
    </row>
    <row r="6467" spans="13:13" ht="15" customHeight="1" x14ac:dyDescent="0.25">
      <c r="M6467" s="274"/>
    </row>
    <row r="6468" spans="13:13" ht="15" customHeight="1" x14ac:dyDescent="0.25">
      <c r="M6468" s="274"/>
    </row>
    <row r="6469" spans="13:13" ht="15" customHeight="1" x14ac:dyDescent="0.25">
      <c r="M6469" s="274"/>
    </row>
    <row r="6470" spans="13:13" ht="15" customHeight="1" x14ac:dyDescent="0.25">
      <c r="M6470" s="274"/>
    </row>
    <row r="6471" spans="13:13" ht="15" customHeight="1" x14ac:dyDescent="0.25">
      <c r="M6471" s="274"/>
    </row>
    <row r="6472" spans="13:13" ht="15" customHeight="1" x14ac:dyDescent="0.25">
      <c r="M6472" s="274"/>
    </row>
    <row r="6473" spans="13:13" ht="15" customHeight="1" x14ac:dyDescent="0.25">
      <c r="M6473" s="274"/>
    </row>
    <row r="6474" spans="13:13" ht="15" customHeight="1" x14ac:dyDescent="0.25">
      <c r="M6474" s="274"/>
    </row>
    <row r="6475" spans="13:13" ht="15" customHeight="1" x14ac:dyDescent="0.25">
      <c r="M6475" s="274"/>
    </row>
    <row r="6476" spans="13:13" ht="15" customHeight="1" x14ac:dyDescent="0.25">
      <c r="M6476" s="274"/>
    </row>
    <row r="6477" spans="13:13" ht="15" customHeight="1" x14ac:dyDescent="0.25">
      <c r="M6477" s="274"/>
    </row>
    <row r="6478" spans="13:13" ht="15" customHeight="1" x14ac:dyDescent="0.25">
      <c r="M6478" s="274"/>
    </row>
    <row r="6479" spans="13:13" ht="15" customHeight="1" x14ac:dyDescent="0.25">
      <c r="M6479" s="274"/>
    </row>
    <row r="6480" spans="13:13" ht="15" customHeight="1" x14ac:dyDescent="0.25">
      <c r="M6480" s="274"/>
    </row>
    <row r="6481" spans="2:13" ht="15" customHeight="1" x14ac:dyDescent="0.25">
      <c r="M6481" s="274"/>
    </row>
    <row r="6482" spans="2:13" ht="15" customHeight="1" x14ac:dyDescent="0.25">
      <c r="M6482" s="274"/>
    </row>
    <row r="6483" spans="2:13" ht="15" customHeight="1" x14ac:dyDescent="0.25">
      <c r="M6483" s="274"/>
    </row>
    <row r="6484" spans="2:13" ht="15" customHeight="1" x14ac:dyDescent="0.25">
      <c r="M6484" s="274"/>
    </row>
    <row r="6485" spans="2:13" ht="15" customHeight="1" x14ac:dyDescent="0.25">
      <c r="M6485" s="274"/>
    </row>
    <row r="6486" spans="2:13" ht="15" customHeight="1" x14ac:dyDescent="0.25">
      <c r="M6486" s="274"/>
    </row>
    <row r="6487" spans="2:13" ht="15" customHeight="1" x14ac:dyDescent="0.25">
      <c r="B6487" s="289">
        <v>6444</v>
      </c>
      <c r="C6487" s="261">
        <v>123</v>
      </c>
      <c r="D6487" s="244" t="s">
        <v>12</v>
      </c>
      <c r="E6487" s="263">
        <v>86</v>
      </c>
      <c r="F6487" s="294" t="s">
        <v>126</v>
      </c>
      <c r="G6487" s="294" t="s">
        <v>739</v>
      </c>
      <c r="H6487" s="298">
        <v>1</v>
      </c>
      <c r="M6487" s="274"/>
    </row>
    <row r="6488" spans="2:13" ht="15" customHeight="1" x14ac:dyDescent="0.25">
      <c r="B6488" s="289">
        <v>6444</v>
      </c>
      <c r="C6488" s="261">
        <v>126</v>
      </c>
      <c r="D6488" s="244" t="s">
        <v>12</v>
      </c>
      <c r="E6488" s="263">
        <v>8</v>
      </c>
      <c r="F6488" s="294" t="s">
        <v>126</v>
      </c>
      <c r="G6488" s="294" t="s">
        <v>740</v>
      </c>
      <c r="H6488" s="298">
        <v>1</v>
      </c>
      <c r="M6488" s="274"/>
    </row>
    <row r="6489" spans="2:13" ht="15" customHeight="1" x14ac:dyDescent="0.25">
      <c r="B6489" s="289">
        <v>6445</v>
      </c>
      <c r="C6489" s="261">
        <v>123</v>
      </c>
      <c r="D6489" s="244" t="s">
        <v>12</v>
      </c>
      <c r="E6489" s="263">
        <v>90</v>
      </c>
      <c r="F6489" s="294" t="s">
        <v>126</v>
      </c>
      <c r="G6489" s="294" t="s">
        <v>741</v>
      </c>
      <c r="H6489" s="298">
        <v>1</v>
      </c>
      <c r="M6489" s="274"/>
    </row>
    <row r="6490" spans="2:13" ht="15" customHeight="1" x14ac:dyDescent="0.25">
      <c r="B6490" s="289">
        <v>6446</v>
      </c>
      <c r="C6490" s="261">
        <v>123</v>
      </c>
      <c r="D6490" s="244" t="s">
        <v>12</v>
      </c>
      <c r="E6490" s="263">
        <v>90</v>
      </c>
      <c r="F6490" s="294" t="s">
        <v>126</v>
      </c>
      <c r="G6490" s="294" t="s">
        <v>741</v>
      </c>
      <c r="H6490" s="298">
        <v>1</v>
      </c>
      <c r="M6490" s="274"/>
    </row>
    <row r="6491" spans="2:13" ht="15" customHeight="1" x14ac:dyDescent="0.25">
      <c r="B6491" s="289">
        <v>6447</v>
      </c>
      <c r="C6491" s="261">
        <v>123</v>
      </c>
      <c r="D6491" s="244" t="s">
        <v>12</v>
      </c>
      <c r="E6491" s="263">
        <v>95</v>
      </c>
      <c r="F6491" s="294" t="s">
        <v>126</v>
      </c>
      <c r="G6491" s="294" t="s">
        <v>742</v>
      </c>
      <c r="H6491" s="298">
        <v>1</v>
      </c>
      <c r="M6491" s="274"/>
    </row>
    <row r="6492" spans="2:13" ht="15" customHeight="1" x14ac:dyDescent="0.25">
      <c r="B6492" s="289">
        <v>6448</v>
      </c>
      <c r="C6492" s="261">
        <v>123</v>
      </c>
      <c r="D6492" s="244" t="s">
        <v>12</v>
      </c>
      <c r="E6492" s="263">
        <v>98</v>
      </c>
      <c r="F6492" s="294" t="s">
        <v>126</v>
      </c>
      <c r="G6492" s="294" t="s">
        <v>743</v>
      </c>
      <c r="H6492" s="298">
        <v>1</v>
      </c>
      <c r="M6492" s="274"/>
    </row>
    <row r="6493" spans="2:13" ht="15" customHeight="1" x14ac:dyDescent="0.25">
      <c r="B6493" s="289">
        <v>6449</v>
      </c>
      <c r="C6493" s="261">
        <v>123</v>
      </c>
      <c r="D6493" s="244" t="s">
        <v>12</v>
      </c>
      <c r="E6493" s="263">
        <v>83</v>
      </c>
      <c r="F6493" s="294" t="s">
        <v>126</v>
      </c>
      <c r="G6493" s="294" t="s">
        <v>744</v>
      </c>
      <c r="H6493" s="298">
        <v>1</v>
      </c>
      <c r="M6493" s="274"/>
    </row>
    <row r="6494" spans="2:13" ht="15" customHeight="1" x14ac:dyDescent="0.25">
      <c r="B6494" s="289">
        <v>6450</v>
      </c>
      <c r="C6494" s="261">
        <v>123</v>
      </c>
      <c r="D6494" s="244" t="s">
        <v>12</v>
      </c>
      <c r="E6494" s="263">
        <v>71</v>
      </c>
      <c r="F6494" s="294" t="s">
        <v>126</v>
      </c>
      <c r="G6494" s="294" t="s">
        <v>745</v>
      </c>
      <c r="H6494" s="298">
        <v>1</v>
      </c>
      <c r="M6494" s="274"/>
    </row>
    <row r="6495" spans="2:13" ht="15" customHeight="1" x14ac:dyDescent="0.25">
      <c r="B6495" s="289">
        <v>6451</v>
      </c>
      <c r="C6495" s="261">
        <v>123</v>
      </c>
      <c r="D6495" s="244" t="s">
        <v>12</v>
      </c>
      <c r="E6495" s="263">
        <v>64</v>
      </c>
      <c r="F6495" s="294" t="s">
        <v>126</v>
      </c>
      <c r="G6495" s="294" t="s">
        <v>746</v>
      </c>
      <c r="H6495" s="298">
        <v>1</v>
      </c>
      <c r="M6495" s="274"/>
    </row>
    <row r="6496" spans="2:13" ht="15" customHeight="1" x14ac:dyDescent="0.25">
      <c r="B6496" s="289">
        <v>6452</v>
      </c>
      <c r="C6496" s="261">
        <v>123</v>
      </c>
      <c r="D6496" s="244" t="s">
        <v>12</v>
      </c>
      <c r="E6496" s="263">
        <v>68</v>
      </c>
      <c r="F6496" s="294" t="s">
        <v>126</v>
      </c>
      <c r="G6496" s="294" t="s">
        <v>747</v>
      </c>
      <c r="H6496" s="298">
        <v>1</v>
      </c>
      <c r="M6496" s="274"/>
    </row>
    <row r="6497" spans="2:13" ht="15" customHeight="1" x14ac:dyDescent="0.25">
      <c r="B6497" s="289">
        <v>6453</v>
      </c>
      <c r="C6497" s="261">
        <v>123</v>
      </c>
      <c r="D6497" s="244" t="s">
        <v>12</v>
      </c>
      <c r="E6497" s="263">
        <v>63</v>
      </c>
      <c r="F6497" s="294" t="s">
        <v>126</v>
      </c>
      <c r="G6497" s="294" t="s">
        <v>748</v>
      </c>
      <c r="H6497" s="298">
        <v>1</v>
      </c>
      <c r="M6497" s="274"/>
    </row>
    <row r="6498" spans="2:13" ht="15" customHeight="1" x14ac:dyDescent="0.25">
      <c r="B6498" s="289">
        <v>6454</v>
      </c>
      <c r="C6498" s="261">
        <v>123</v>
      </c>
      <c r="D6498" s="244" t="s">
        <v>12</v>
      </c>
      <c r="E6498" s="263">
        <v>71</v>
      </c>
      <c r="F6498" s="294" t="s">
        <v>126</v>
      </c>
      <c r="G6498" s="294" t="s">
        <v>749</v>
      </c>
      <c r="H6498" s="298">
        <v>1</v>
      </c>
      <c r="M6498" s="274"/>
    </row>
    <row r="6499" spans="2:13" ht="15" customHeight="1" x14ac:dyDescent="0.25">
      <c r="B6499" s="289">
        <v>6455</v>
      </c>
      <c r="C6499" s="261">
        <v>123</v>
      </c>
      <c r="D6499" s="244" t="s">
        <v>12</v>
      </c>
      <c r="E6499" s="263">
        <v>68</v>
      </c>
      <c r="F6499" s="294" t="s">
        <v>126</v>
      </c>
      <c r="G6499" s="294" t="s">
        <v>750</v>
      </c>
      <c r="H6499" s="298">
        <v>1</v>
      </c>
      <c r="M6499" s="274"/>
    </row>
    <row r="6500" spans="2:13" ht="15" customHeight="1" x14ac:dyDescent="0.25">
      <c r="B6500" s="289">
        <v>6456</v>
      </c>
      <c r="C6500" s="261">
        <v>123</v>
      </c>
      <c r="D6500" s="244" t="s">
        <v>12</v>
      </c>
      <c r="E6500" s="263">
        <v>25</v>
      </c>
      <c r="F6500" s="294" t="s">
        <v>126</v>
      </c>
      <c r="G6500" s="294" t="s">
        <v>751</v>
      </c>
      <c r="H6500" s="298">
        <v>1</v>
      </c>
      <c r="M6500" s="274"/>
    </row>
    <row r="6501" spans="2:13" ht="15" customHeight="1" x14ac:dyDescent="0.25">
      <c r="B6501" s="289">
        <v>6457</v>
      </c>
      <c r="C6501" s="261">
        <v>123</v>
      </c>
      <c r="D6501" s="244" t="s">
        <v>12</v>
      </c>
      <c r="E6501" s="263">
        <v>25</v>
      </c>
      <c r="F6501" s="294" t="s">
        <v>126</v>
      </c>
      <c r="G6501" s="294" t="s">
        <v>751</v>
      </c>
      <c r="H6501" s="298">
        <v>1</v>
      </c>
      <c r="M6501" s="274"/>
    </row>
    <row r="6502" spans="2:13" ht="15" customHeight="1" x14ac:dyDescent="0.25">
      <c r="B6502" s="289">
        <v>6458</v>
      </c>
      <c r="C6502" s="261">
        <v>123</v>
      </c>
      <c r="D6502" s="244" t="s">
        <v>12</v>
      </c>
      <c r="E6502" s="263">
        <v>64</v>
      </c>
      <c r="F6502" s="294" t="s">
        <v>126</v>
      </c>
      <c r="G6502" s="294" t="s">
        <v>752</v>
      </c>
      <c r="H6502" s="298">
        <v>1</v>
      </c>
      <c r="M6502" s="274"/>
    </row>
    <row r="6503" spans="2:13" ht="15" customHeight="1" x14ac:dyDescent="0.25">
      <c r="B6503" s="289">
        <v>6459</v>
      </c>
      <c r="C6503" s="261">
        <v>123</v>
      </c>
      <c r="D6503" s="244" t="s">
        <v>12</v>
      </c>
      <c r="E6503" s="263">
        <v>68</v>
      </c>
      <c r="F6503" s="294" t="s">
        <v>126</v>
      </c>
      <c r="G6503" s="294" t="s">
        <v>753</v>
      </c>
      <c r="H6503" s="298">
        <v>1</v>
      </c>
      <c r="M6503" s="274"/>
    </row>
    <row r="6504" spans="2:13" ht="15" customHeight="1" x14ac:dyDescent="0.25">
      <c r="B6504" s="289">
        <v>6460</v>
      </c>
      <c r="C6504" s="261">
        <v>123</v>
      </c>
      <c r="D6504" s="244" t="s">
        <v>12</v>
      </c>
      <c r="E6504" s="263">
        <v>99</v>
      </c>
      <c r="F6504" s="294" t="s">
        <v>126</v>
      </c>
      <c r="G6504" s="294" t="s">
        <v>754</v>
      </c>
      <c r="H6504" s="298">
        <v>1</v>
      </c>
      <c r="M6504" s="274"/>
    </row>
    <row r="6505" spans="2:13" ht="15" customHeight="1" x14ac:dyDescent="0.25">
      <c r="B6505" s="289">
        <v>6461</v>
      </c>
      <c r="C6505" s="261">
        <v>123</v>
      </c>
      <c r="D6505" s="244" t="s">
        <v>12</v>
      </c>
      <c r="E6505" s="263">
        <v>60</v>
      </c>
      <c r="F6505" s="294" t="s">
        <v>126</v>
      </c>
      <c r="G6505" s="294" t="s">
        <v>755</v>
      </c>
      <c r="H6505" s="298">
        <v>1</v>
      </c>
      <c r="M6505" s="274"/>
    </row>
    <row r="6506" spans="2:13" ht="15" customHeight="1" x14ac:dyDescent="0.25">
      <c r="B6506" s="289">
        <v>6462</v>
      </c>
      <c r="C6506" s="261">
        <v>123</v>
      </c>
      <c r="D6506" s="244" t="s">
        <v>12</v>
      </c>
      <c r="E6506" s="263">
        <v>86</v>
      </c>
      <c r="F6506" s="294" t="s">
        <v>126</v>
      </c>
      <c r="G6506" s="294" t="s">
        <v>756</v>
      </c>
      <c r="H6506" s="298">
        <v>1</v>
      </c>
      <c r="M6506" s="274"/>
    </row>
    <row r="6507" spans="2:13" ht="15" customHeight="1" x14ac:dyDescent="0.25">
      <c r="B6507" s="289">
        <v>6463</v>
      </c>
      <c r="C6507" s="261">
        <v>123</v>
      </c>
      <c r="D6507" s="244" t="s">
        <v>12</v>
      </c>
      <c r="E6507" s="263">
        <v>68</v>
      </c>
      <c r="F6507" s="294" t="s">
        <v>126</v>
      </c>
      <c r="G6507" s="294" t="s">
        <v>757</v>
      </c>
      <c r="H6507" s="298">
        <v>1</v>
      </c>
      <c r="M6507" s="274"/>
    </row>
    <row r="6508" spans="2:13" ht="15" customHeight="1" x14ac:dyDescent="0.25">
      <c r="B6508" s="289">
        <v>6464</v>
      </c>
      <c r="C6508" s="261">
        <v>123</v>
      </c>
      <c r="D6508" s="244" t="s">
        <v>12</v>
      </c>
      <c r="E6508" s="263">
        <v>86</v>
      </c>
      <c r="F6508" s="294" t="s">
        <v>126</v>
      </c>
      <c r="G6508" s="294" t="s">
        <v>758</v>
      </c>
      <c r="H6508" s="298">
        <v>1</v>
      </c>
      <c r="M6508" s="274"/>
    </row>
    <row r="6509" spans="2:13" ht="15" customHeight="1" x14ac:dyDescent="0.25">
      <c r="B6509" s="289">
        <v>6464</v>
      </c>
      <c r="C6509" s="261">
        <v>126</v>
      </c>
      <c r="D6509" s="244" t="s">
        <v>11</v>
      </c>
      <c r="E6509" s="263">
        <v>2</v>
      </c>
      <c r="F6509" s="294" t="s">
        <v>433</v>
      </c>
      <c r="G6509" s="294" t="s">
        <v>126</v>
      </c>
      <c r="H6509" s="298">
        <v>1</v>
      </c>
      <c r="M6509" s="274"/>
    </row>
    <row r="6510" spans="2:13" ht="15" customHeight="1" x14ac:dyDescent="0.25">
      <c r="B6510" s="289">
        <v>6465</v>
      </c>
      <c r="C6510" s="261">
        <v>123</v>
      </c>
      <c r="D6510" s="244" t="s">
        <v>12</v>
      </c>
      <c r="E6510" s="263">
        <v>90</v>
      </c>
      <c r="F6510" s="294" t="s">
        <v>126</v>
      </c>
      <c r="G6510" s="294" t="s">
        <v>759</v>
      </c>
      <c r="H6510" s="298">
        <v>1</v>
      </c>
      <c r="M6510" s="274"/>
    </row>
    <row r="6511" spans="2:13" ht="15" customHeight="1" x14ac:dyDescent="0.25">
      <c r="B6511" s="289">
        <v>6466</v>
      </c>
      <c r="C6511" s="261">
        <v>123</v>
      </c>
      <c r="D6511" s="244" t="s">
        <v>12</v>
      </c>
      <c r="E6511" s="263">
        <v>86</v>
      </c>
      <c r="F6511" s="294" t="s">
        <v>126</v>
      </c>
      <c r="G6511" s="294" t="s">
        <v>760</v>
      </c>
      <c r="H6511" s="298">
        <v>1</v>
      </c>
      <c r="M6511" s="274"/>
    </row>
    <row r="6512" spans="2:13" ht="15" customHeight="1" x14ac:dyDescent="0.25">
      <c r="B6512" s="289">
        <v>6467</v>
      </c>
      <c r="C6512" s="261">
        <v>123</v>
      </c>
      <c r="D6512" s="244" t="s">
        <v>12</v>
      </c>
      <c r="E6512" s="263">
        <v>90</v>
      </c>
      <c r="F6512" s="294" t="s">
        <v>126</v>
      </c>
      <c r="G6512" s="294" t="s">
        <v>761</v>
      </c>
      <c r="H6512" s="298">
        <v>1</v>
      </c>
      <c r="M6512" s="274"/>
    </row>
    <row r="6513" spans="2:13" ht="15" customHeight="1" x14ac:dyDescent="0.25">
      <c r="B6513" s="289">
        <v>6468</v>
      </c>
      <c r="C6513" s="261">
        <v>123</v>
      </c>
      <c r="D6513" s="244" t="s">
        <v>12</v>
      </c>
      <c r="E6513" s="263">
        <v>86</v>
      </c>
      <c r="F6513" s="294" t="s">
        <v>126</v>
      </c>
      <c r="G6513" s="294" t="s">
        <v>762</v>
      </c>
      <c r="H6513" s="298">
        <v>1</v>
      </c>
      <c r="M6513" s="274"/>
    </row>
    <row r="6514" spans="2:13" ht="15" customHeight="1" x14ac:dyDescent="0.25">
      <c r="B6514" s="289">
        <v>6469</v>
      </c>
      <c r="C6514" s="261">
        <v>123</v>
      </c>
      <c r="D6514" s="244" t="s">
        <v>12</v>
      </c>
      <c r="E6514" s="263">
        <v>27</v>
      </c>
      <c r="F6514" s="294" t="s">
        <v>126</v>
      </c>
      <c r="G6514" s="294" t="s">
        <v>763</v>
      </c>
      <c r="H6514" s="298">
        <v>1</v>
      </c>
      <c r="M6514" s="274"/>
    </row>
    <row r="6515" spans="2:13" ht="15" customHeight="1" x14ac:dyDescent="0.25">
      <c r="B6515" s="289">
        <v>6470</v>
      </c>
      <c r="C6515" s="261">
        <v>123</v>
      </c>
      <c r="D6515" s="244" t="s">
        <v>12</v>
      </c>
      <c r="E6515" s="263">
        <v>19</v>
      </c>
      <c r="F6515" s="294" t="s">
        <v>126</v>
      </c>
      <c r="G6515" s="294" t="s">
        <v>764</v>
      </c>
      <c r="H6515" s="298">
        <v>1</v>
      </c>
      <c r="M6515" s="274"/>
    </row>
    <row r="6516" spans="2:13" ht="15" customHeight="1" x14ac:dyDescent="0.25">
      <c r="B6516" s="289">
        <v>6471</v>
      </c>
      <c r="C6516" s="261">
        <v>132</v>
      </c>
      <c r="D6516" s="244" t="s">
        <v>12</v>
      </c>
      <c r="E6516" s="263">
        <v>15</v>
      </c>
      <c r="F6516" s="294" t="s">
        <v>126</v>
      </c>
      <c r="G6516" s="294" t="s">
        <v>765</v>
      </c>
      <c r="H6516" s="298">
        <v>1</v>
      </c>
      <c r="M6516" s="274"/>
    </row>
    <row r="6517" spans="2:13" ht="15" customHeight="1" x14ac:dyDescent="0.25">
      <c r="B6517" s="289">
        <v>6472</v>
      </c>
      <c r="C6517" s="261">
        <v>141</v>
      </c>
      <c r="D6517" s="244" t="s">
        <v>12</v>
      </c>
      <c r="E6517" s="263">
        <v>15</v>
      </c>
      <c r="F6517" s="294" t="s">
        <v>126</v>
      </c>
      <c r="G6517" s="294" t="s">
        <v>766</v>
      </c>
      <c r="H6517" s="298">
        <v>1</v>
      </c>
      <c r="M6517" s="274"/>
    </row>
    <row r="6518" spans="2:13" ht="15" customHeight="1" x14ac:dyDescent="0.25">
      <c r="B6518" s="289">
        <v>6473</v>
      </c>
      <c r="C6518" s="261">
        <v>123</v>
      </c>
      <c r="D6518" s="244" t="s">
        <v>12</v>
      </c>
      <c r="E6518" s="263">
        <v>82</v>
      </c>
      <c r="F6518" s="294" t="s">
        <v>126</v>
      </c>
      <c r="G6518" s="294" t="s">
        <v>767</v>
      </c>
      <c r="H6518" s="298">
        <v>1</v>
      </c>
      <c r="M6518" s="274"/>
    </row>
    <row r="6519" spans="2:13" ht="15" customHeight="1" x14ac:dyDescent="0.25">
      <c r="B6519" s="289">
        <v>6474</v>
      </c>
      <c r="C6519" s="261">
        <v>123</v>
      </c>
      <c r="D6519" s="244" t="s">
        <v>12</v>
      </c>
      <c r="E6519" s="263">
        <v>82</v>
      </c>
      <c r="F6519" s="294" t="s">
        <v>126</v>
      </c>
      <c r="G6519" s="294" t="s">
        <v>768</v>
      </c>
      <c r="H6519" s="298">
        <v>1</v>
      </c>
      <c r="M6519" s="274"/>
    </row>
    <row r="6520" spans="2:13" ht="15" customHeight="1" x14ac:dyDescent="0.25">
      <c r="B6520" s="289">
        <v>6475</v>
      </c>
      <c r="C6520" s="261">
        <v>123</v>
      </c>
      <c r="D6520" s="244" t="s">
        <v>12</v>
      </c>
      <c r="E6520" s="263">
        <v>82</v>
      </c>
      <c r="F6520" s="294" t="s">
        <v>126</v>
      </c>
      <c r="G6520" s="294" t="s">
        <v>769</v>
      </c>
      <c r="H6520" s="298">
        <v>1</v>
      </c>
      <c r="M6520" s="274"/>
    </row>
    <row r="6521" spans="2:13" ht="15" customHeight="1" x14ac:dyDescent="0.25">
      <c r="B6521" s="289">
        <v>6476</v>
      </c>
      <c r="C6521" s="261">
        <v>123</v>
      </c>
      <c r="D6521" s="244" t="s">
        <v>12</v>
      </c>
      <c r="E6521" s="263">
        <v>68</v>
      </c>
      <c r="F6521" s="294" t="s">
        <v>126</v>
      </c>
      <c r="G6521" s="294" t="s">
        <v>770</v>
      </c>
      <c r="H6521" s="298">
        <v>1</v>
      </c>
      <c r="M6521" s="274"/>
    </row>
    <row r="6522" spans="2:13" ht="15" customHeight="1" x14ac:dyDescent="0.25">
      <c r="B6522" s="289">
        <v>6477</v>
      </c>
      <c r="C6522" s="261">
        <v>123</v>
      </c>
      <c r="D6522" s="244" t="s">
        <v>12</v>
      </c>
      <c r="E6522" s="263">
        <v>68</v>
      </c>
      <c r="F6522" s="294" t="s">
        <v>126</v>
      </c>
      <c r="G6522" s="294" t="s">
        <v>771</v>
      </c>
      <c r="H6522" s="298">
        <v>1</v>
      </c>
      <c r="M6522" s="274"/>
    </row>
    <row r="6523" spans="2:13" ht="15" customHeight="1" x14ac:dyDescent="0.25">
      <c r="B6523" s="289">
        <v>6480</v>
      </c>
      <c r="C6523" s="261">
        <v>127</v>
      </c>
      <c r="D6523" s="244" t="s">
        <v>12</v>
      </c>
      <c r="E6523" s="263">
        <v>3</v>
      </c>
      <c r="F6523" s="294" t="s">
        <v>126</v>
      </c>
      <c r="G6523" s="294" t="s">
        <v>648</v>
      </c>
      <c r="H6523" s="298">
        <v>1</v>
      </c>
      <c r="M6523" s="274"/>
    </row>
    <row r="6524" spans="2:13" ht="15" customHeight="1" x14ac:dyDescent="0.25">
      <c r="B6524" s="289">
        <v>6481</v>
      </c>
      <c r="C6524" s="261">
        <v>127</v>
      </c>
      <c r="D6524" s="244" t="s">
        <v>12</v>
      </c>
      <c r="E6524" s="263">
        <v>1</v>
      </c>
      <c r="F6524" s="294" t="s">
        <v>126</v>
      </c>
      <c r="G6524" s="294" t="s">
        <v>235</v>
      </c>
      <c r="H6524" s="298">
        <v>1</v>
      </c>
      <c r="M6524" s="274"/>
    </row>
    <row r="6525" spans="2:13" ht="15" customHeight="1" x14ac:dyDescent="0.25">
      <c r="B6525" s="289">
        <v>6483</v>
      </c>
      <c r="C6525" s="261">
        <v>123</v>
      </c>
      <c r="D6525" s="244" t="s">
        <v>12</v>
      </c>
      <c r="E6525" s="263">
        <v>76</v>
      </c>
      <c r="F6525" s="294" t="s">
        <v>126</v>
      </c>
      <c r="G6525" s="294" t="s">
        <v>772</v>
      </c>
      <c r="H6525" s="298">
        <v>1</v>
      </c>
      <c r="M6525" s="274"/>
    </row>
    <row r="6526" spans="2:13" ht="15" customHeight="1" x14ac:dyDescent="0.25">
      <c r="B6526" s="289">
        <v>6484</v>
      </c>
      <c r="C6526" s="261">
        <v>122</v>
      </c>
      <c r="D6526" s="244" t="s">
        <v>12</v>
      </c>
      <c r="E6526" s="263">
        <v>2</v>
      </c>
      <c r="F6526" s="294" t="s">
        <v>126</v>
      </c>
      <c r="G6526" s="294" t="s">
        <v>233</v>
      </c>
      <c r="H6526" s="298">
        <v>1</v>
      </c>
      <c r="M6526" s="274"/>
    </row>
    <row r="6527" spans="2:13" ht="15" customHeight="1" x14ac:dyDescent="0.25">
      <c r="B6527" s="289">
        <v>6486</v>
      </c>
      <c r="C6527" s="261">
        <v>123</v>
      </c>
      <c r="D6527" s="244" t="s">
        <v>12</v>
      </c>
      <c r="E6527" s="263">
        <v>74</v>
      </c>
      <c r="F6527" s="294" t="s">
        <v>126</v>
      </c>
      <c r="G6527" s="294" t="s">
        <v>773</v>
      </c>
      <c r="H6527" s="298">
        <v>1</v>
      </c>
      <c r="M6527" s="274"/>
    </row>
    <row r="6528" spans="2:13" ht="15" customHeight="1" x14ac:dyDescent="0.25">
      <c r="B6528" s="289">
        <v>6487</v>
      </c>
      <c r="C6528" s="261">
        <v>123</v>
      </c>
      <c r="D6528" s="244" t="s">
        <v>12</v>
      </c>
      <c r="E6528" s="263">
        <v>74</v>
      </c>
      <c r="F6528" s="294" t="s">
        <v>126</v>
      </c>
      <c r="G6528" s="294" t="s">
        <v>774</v>
      </c>
      <c r="H6528" s="298">
        <v>1</v>
      </c>
      <c r="M6528" s="274"/>
    </row>
    <row r="6529" spans="2:13" ht="15" customHeight="1" x14ac:dyDescent="0.25">
      <c r="B6529" s="289">
        <v>6488</v>
      </c>
      <c r="C6529" s="261">
        <v>123</v>
      </c>
      <c r="D6529" s="244" t="s">
        <v>12</v>
      </c>
      <c r="E6529" s="263">
        <v>6</v>
      </c>
      <c r="F6529" s="294" t="s">
        <v>126</v>
      </c>
      <c r="G6529" s="294" t="s">
        <v>775</v>
      </c>
      <c r="H6529" s="298">
        <v>1</v>
      </c>
      <c r="M6529" s="274"/>
    </row>
    <row r="6530" spans="2:13" ht="15" customHeight="1" x14ac:dyDescent="0.25">
      <c r="B6530" s="289">
        <v>6489</v>
      </c>
      <c r="C6530" s="261">
        <v>122</v>
      </c>
      <c r="D6530" s="244" t="s">
        <v>11</v>
      </c>
      <c r="E6530" s="263">
        <v>7</v>
      </c>
      <c r="F6530" s="294" t="s">
        <v>776</v>
      </c>
      <c r="G6530" s="294" t="s">
        <v>126</v>
      </c>
      <c r="H6530" s="298">
        <v>1</v>
      </c>
      <c r="M6530" s="274"/>
    </row>
    <row r="6531" spans="2:13" ht="15" customHeight="1" x14ac:dyDescent="0.25">
      <c r="B6531" s="289">
        <v>6490</v>
      </c>
      <c r="C6531" s="261">
        <v>121</v>
      </c>
      <c r="D6531" s="244" t="s">
        <v>12</v>
      </c>
      <c r="E6531" s="263">
        <v>8</v>
      </c>
      <c r="F6531" s="294" t="s">
        <v>126</v>
      </c>
      <c r="G6531" s="294" t="s">
        <v>777</v>
      </c>
      <c r="H6531" s="298">
        <v>1</v>
      </c>
      <c r="M6531" s="274"/>
    </row>
    <row r="6532" spans="2:13" ht="15" customHeight="1" x14ac:dyDescent="0.25">
      <c r="B6532" s="289">
        <v>6491</v>
      </c>
      <c r="C6532" s="261">
        <v>121</v>
      </c>
      <c r="D6532" s="244" t="s">
        <v>12</v>
      </c>
      <c r="E6532" s="263">
        <v>1</v>
      </c>
      <c r="F6532" s="294" t="s">
        <v>126</v>
      </c>
      <c r="G6532" s="294" t="s">
        <v>235</v>
      </c>
      <c r="H6532" s="298">
        <v>1</v>
      </c>
      <c r="M6532" s="274"/>
    </row>
    <row r="6533" spans="2:13" ht="15" customHeight="1" x14ac:dyDescent="0.25">
      <c r="B6533" s="289">
        <v>6492</v>
      </c>
      <c r="C6533" s="261">
        <v>121</v>
      </c>
      <c r="D6533" s="244" t="s">
        <v>12</v>
      </c>
      <c r="E6533" s="263">
        <v>1</v>
      </c>
      <c r="F6533" s="294" t="s">
        <v>126</v>
      </c>
      <c r="G6533" s="294" t="s">
        <v>235</v>
      </c>
      <c r="H6533" s="298">
        <v>1</v>
      </c>
      <c r="M6533" s="274"/>
    </row>
    <row r="6534" spans="2:13" ht="15" customHeight="1" x14ac:dyDescent="0.25">
      <c r="B6534" s="289">
        <v>6493</v>
      </c>
      <c r="C6534" s="261">
        <v>123</v>
      </c>
      <c r="D6534" s="244" t="s">
        <v>12</v>
      </c>
      <c r="E6534" s="263">
        <v>26</v>
      </c>
      <c r="F6534" s="294" t="s">
        <v>126</v>
      </c>
      <c r="G6534" s="294" t="s">
        <v>778</v>
      </c>
      <c r="H6534" s="298">
        <v>1</v>
      </c>
      <c r="M6534" s="274"/>
    </row>
    <row r="6535" spans="2:13" ht="15" customHeight="1" x14ac:dyDescent="0.25">
      <c r="B6535" s="289">
        <v>6494</v>
      </c>
      <c r="C6535" s="261">
        <v>123</v>
      </c>
      <c r="D6535" s="244" t="s">
        <v>12</v>
      </c>
      <c r="E6535" s="263">
        <v>88</v>
      </c>
      <c r="F6535" s="294" t="s">
        <v>126</v>
      </c>
      <c r="G6535" s="294" t="s">
        <v>779</v>
      </c>
      <c r="H6535" s="298">
        <v>1</v>
      </c>
      <c r="M6535" s="274"/>
    </row>
    <row r="6536" spans="2:13" ht="15" customHeight="1" x14ac:dyDescent="0.25">
      <c r="B6536" s="289">
        <v>6495</v>
      </c>
      <c r="C6536" s="261">
        <v>123</v>
      </c>
      <c r="D6536" s="244" t="s">
        <v>11</v>
      </c>
      <c r="E6536" s="263">
        <v>9</v>
      </c>
      <c r="F6536" s="294" t="s">
        <v>436</v>
      </c>
      <c r="G6536" s="294" t="s">
        <v>126</v>
      </c>
      <c r="H6536" s="298">
        <v>1</v>
      </c>
      <c r="M6536" s="274"/>
    </row>
    <row r="6537" spans="2:13" ht="15" customHeight="1" x14ac:dyDescent="0.25">
      <c r="B6537" s="289">
        <v>6497</v>
      </c>
      <c r="C6537" s="261">
        <v>123</v>
      </c>
      <c r="D6537" s="244" t="s">
        <v>12</v>
      </c>
      <c r="E6537" s="263">
        <v>98</v>
      </c>
      <c r="F6537" s="294" t="s">
        <v>126</v>
      </c>
      <c r="G6537" s="294" t="s">
        <v>780</v>
      </c>
      <c r="H6537" s="298">
        <v>1</v>
      </c>
      <c r="M6537" s="274"/>
    </row>
    <row r="6538" spans="2:13" ht="15" customHeight="1" x14ac:dyDescent="0.25">
      <c r="B6538" s="289">
        <v>6498</v>
      </c>
      <c r="C6538" s="261">
        <v>123</v>
      </c>
      <c r="D6538" s="244" t="s">
        <v>12</v>
      </c>
      <c r="E6538" s="263">
        <v>49</v>
      </c>
      <c r="F6538" s="294" t="s">
        <v>126</v>
      </c>
      <c r="G6538" s="294" t="s">
        <v>680</v>
      </c>
      <c r="H6538" s="298">
        <v>1</v>
      </c>
      <c r="M6538" s="274"/>
    </row>
    <row r="6539" spans="2:13" ht="15" customHeight="1" x14ac:dyDescent="0.25">
      <c r="B6539" s="289">
        <v>6499</v>
      </c>
      <c r="C6539" s="261">
        <v>125</v>
      </c>
      <c r="D6539" s="244" t="s">
        <v>11</v>
      </c>
      <c r="E6539" s="263">
        <v>23</v>
      </c>
      <c r="F6539" s="294" t="s">
        <v>781</v>
      </c>
      <c r="G6539" s="294" t="s">
        <v>126</v>
      </c>
      <c r="H6539" s="298">
        <v>1</v>
      </c>
      <c r="M6539" s="274"/>
    </row>
    <row r="6540" spans="2:13" ht="15" customHeight="1" x14ac:dyDescent="0.25">
      <c r="B6540" s="289">
        <v>6500</v>
      </c>
      <c r="C6540" s="261">
        <v>123</v>
      </c>
      <c r="D6540" s="244" t="s">
        <v>12</v>
      </c>
      <c r="E6540" s="263">
        <v>42</v>
      </c>
      <c r="F6540" s="294" t="s">
        <v>126</v>
      </c>
      <c r="G6540" s="294" t="s">
        <v>427</v>
      </c>
      <c r="H6540" s="298">
        <v>1</v>
      </c>
      <c r="M6540" s="274"/>
    </row>
    <row r="6541" spans="2:13" ht="15" customHeight="1" x14ac:dyDescent="0.25">
      <c r="B6541" s="289">
        <v>6501</v>
      </c>
      <c r="C6541" s="261">
        <v>124</v>
      </c>
      <c r="D6541" s="244" t="s">
        <v>11</v>
      </c>
      <c r="E6541" s="263">
        <v>3</v>
      </c>
      <c r="F6541" s="294" t="s">
        <v>782</v>
      </c>
      <c r="G6541" s="294" t="s">
        <v>126</v>
      </c>
      <c r="H6541" s="298">
        <v>1</v>
      </c>
      <c r="M6541" s="274"/>
    </row>
    <row r="6542" spans="2:13" ht="15" customHeight="1" x14ac:dyDescent="0.25">
      <c r="B6542" s="289">
        <v>6502</v>
      </c>
      <c r="C6542" s="261">
        <v>123</v>
      </c>
      <c r="D6542" s="244" t="s">
        <v>12</v>
      </c>
      <c r="E6542" s="263">
        <v>58</v>
      </c>
      <c r="F6542" s="294" t="s">
        <v>126</v>
      </c>
      <c r="G6542" s="294" t="s">
        <v>783</v>
      </c>
      <c r="H6542" s="298">
        <v>1</v>
      </c>
      <c r="M6542" s="274"/>
    </row>
    <row r="6543" spans="2:13" ht="15" customHeight="1" x14ac:dyDescent="0.25">
      <c r="B6543" s="289">
        <v>6503</v>
      </c>
      <c r="C6543" s="261">
        <v>123</v>
      </c>
      <c r="D6543" s="244" t="s">
        <v>12</v>
      </c>
      <c r="E6543" s="263">
        <v>54</v>
      </c>
      <c r="F6543" s="294" t="s">
        <v>126</v>
      </c>
      <c r="G6543" s="294" t="s">
        <v>784</v>
      </c>
      <c r="H6543" s="298">
        <v>1</v>
      </c>
      <c r="M6543" s="274"/>
    </row>
    <row r="6544" spans="2:13" ht="15" customHeight="1" x14ac:dyDescent="0.25">
      <c r="B6544" s="289">
        <v>6504</v>
      </c>
      <c r="C6544" s="261">
        <v>122</v>
      </c>
      <c r="D6544" s="244" t="s">
        <v>12</v>
      </c>
      <c r="E6544" s="263">
        <v>2</v>
      </c>
      <c r="F6544" s="294" t="s">
        <v>126</v>
      </c>
      <c r="G6544" s="294" t="s">
        <v>587</v>
      </c>
      <c r="H6544" s="298">
        <v>1</v>
      </c>
      <c r="M6544" s="274"/>
    </row>
    <row r="6545" spans="2:13" ht="15" customHeight="1" x14ac:dyDescent="0.25">
      <c r="B6545" s="289">
        <v>6505</v>
      </c>
      <c r="C6545" s="261">
        <v>123</v>
      </c>
      <c r="D6545" s="244" t="s">
        <v>12</v>
      </c>
      <c r="E6545" s="263">
        <v>98</v>
      </c>
      <c r="F6545" s="294" t="s">
        <v>126</v>
      </c>
      <c r="G6545" s="294" t="s">
        <v>785</v>
      </c>
      <c r="H6545" s="298">
        <v>1</v>
      </c>
      <c r="M6545" s="274"/>
    </row>
    <row r="6546" spans="2:13" ht="15" customHeight="1" x14ac:dyDescent="0.25">
      <c r="B6546" s="289">
        <v>6507</v>
      </c>
      <c r="C6546" s="261">
        <v>123</v>
      </c>
      <c r="D6546" s="244" t="s">
        <v>12</v>
      </c>
      <c r="E6546" s="263">
        <v>81</v>
      </c>
      <c r="F6546" s="294" t="s">
        <v>126</v>
      </c>
      <c r="G6546" s="294" t="s">
        <v>786</v>
      </c>
      <c r="H6546" s="298">
        <v>1</v>
      </c>
      <c r="M6546" s="274"/>
    </row>
    <row r="6547" spans="2:13" ht="15" customHeight="1" x14ac:dyDescent="0.25">
      <c r="B6547" s="289">
        <v>6508</v>
      </c>
      <c r="C6547" s="261">
        <v>123</v>
      </c>
      <c r="D6547" s="244" t="s">
        <v>12</v>
      </c>
      <c r="E6547" s="263">
        <v>1</v>
      </c>
      <c r="F6547" s="294" t="s">
        <v>126</v>
      </c>
      <c r="G6547" s="294" t="s">
        <v>426</v>
      </c>
      <c r="H6547" s="298">
        <v>1</v>
      </c>
      <c r="M6547" s="274"/>
    </row>
    <row r="6548" spans="2:13" ht="15" customHeight="1" x14ac:dyDescent="0.25">
      <c r="B6548" s="289">
        <v>6509</v>
      </c>
      <c r="C6548" s="261">
        <v>123</v>
      </c>
      <c r="D6548" s="244" t="s">
        <v>12</v>
      </c>
      <c r="E6548" s="263">
        <v>8</v>
      </c>
      <c r="F6548" s="294" t="s">
        <v>126</v>
      </c>
      <c r="G6548" s="294" t="s">
        <v>787</v>
      </c>
      <c r="H6548" s="298">
        <v>1</v>
      </c>
      <c r="M6548" s="274"/>
    </row>
    <row r="6549" spans="2:13" ht="15" customHeight="1" x14ac:dyDescent="0.25">
      <c r="B6549" s="289">
        <v>6510</v>
      </c>
      <c r="C6549" s="261">
        <v>123</v>
      </c>
      <c r="D6549" s="244" t="s">
        <v>12</v>
      </c>
      <c r="E6549" s="263">
        <v>72</v>
      </c>
      <c r="F6549" s="294" t="s">
        <v>126</v>
      </c>
      <c r="G6549" s="294" t="s">
        <v>788</v>
      </c>
      <c r="H6549" s="298">
        <v>1</v>
      </c>
      <c r="M6549" s="274"/>
    </row>
    <row r="6550" spans="2:13" ht="15" customHeight="1" x14ac:dyDescent="0.25">
      <c r="B6550" s="289">
        <v>6511</v>
      </c>
      <c r="C6550" s="261">
        <v>130</v>
      </c>
      <c r="D6550" s="244" t="s">
        <v>12</v>
      </c>
      <c r="E6550" s="263">
        <v>1</v>
      </c>
      <c r="F6550" s="294" t="s">
        <v>126</v>
      </c>
      <c r="G6550" s="294" t="s">
        <v>235</v>
      </c>
      <c r="H6550" s="298">
        <v>1</v>
      </c>
      <c r="M6550" s="274"/>
    </row>
    <row r="6551" spans="2:13" ht="15" customHeight="1" x14ac:dyDescent="0.25">
      <c r="B6551" s="289">
        <v>6512</v>
      </c>
      <c r="C6551" s="261">
        <v>123</v>
      </c>
      <c r="D6551" s="244" t="s">
        <v>11</v>
      </c>
      <c r="E6551" s="263">
        <v>3</v>
      </c>
      <c r="F6551" s="294" t="s">
        <v>528</v>
      </c>
      <c r="G6551" s="294" t="s">
        <v>126</v>
      </c>
      <c r="H6551" s="298">
        <v>1</v>
      </c>
      <c r="M6551" s="274"/>
    </row>
    <row r="6552" spans="2:13" ht="15" customHeight="1" x14ac:dyDescent="0.25">
      <c r="B6552" s="289">
        <v>6513</v>
      </c>
      <c r="C6552" s="261">
        <v>125</v>
      </c>
      <c r="D6552" s="244" t="s">
        <v>11</v>
      </c>
      <c r="E6552" s="263">
        <v>2</v>
      </c>
      <c r="F6552" s="294" t="s">
        <v>789</v>
      </c>
      <c r="G6552" s="294" t="s">
        <v>126</v>
      </c>
      <c r="H6552" s="298">
        <v>1</v>
      </c>
      <c r="M6552" s="274"/>
    </row>
    <row r="6553" spans="2:13" ht="15" customHeight="1" x14ac:dyDescent="0.25">
      <c r="B6553" s="289">
        <v>6514</v>
      </c>
      <c r="C6553" s="261">
        <v>127</v>
      </c>
      <c r="D6553" s="244" t="s">
        <v>11</v>
      </c>
      <c r="E6553" s="263">
        <v>7</v>
      </c>
      <c r="F6553" s="294" t="s">
        <v>790</v>
      </c>
      <c r="G6553" s="294" t="s">
        <v>126</v>
      </c>
      <c r="H6553" s="298">
        <v>1</v>
      </c>
      <c r="M6553" s="274"/>
    </row>
    <row r="6554" spans="2:13" ht="15" customHeight="1" x14ac:dyDescent="0.25">
      <c r="B6554" s="289">
        <v>6515</v>
      </c>
      <c r="C6554" s="261">
        <v>121</v>
      </c>
      <c r="D6554" s="244" t="s">
        <v>12</v>
      </c>
      <c r="E6554" s="263">
        <v>3</v>
      </c>
      <c r="F6554" s="294" t="s">
        <v>126</v>
      </c>
      <c r="G6554" s="294" t="s">
        <v>791</v>
      </c>
      <c r="H6554" s="298">
        <v>1</v>
      </c>
      <c r="M6554" s="274"/>
    </row>
    <row r="6555" spans="2:13" ht="15" customHeight="1" x14ac:dyDescent="0.25">
      <c r="B6555" s="289">
        <v>6516</v>
      </c>
      <c r="C6555" s="261">
        <v>121</v>
      </c>
      <c r="D6555" s="244" t="s">
        <v>12</v>
      </c>
      <c r="E6555" s="263">
        <v>6</v>
      </c>
      <c r="F6555" s="294" t="s">
        <v>126</v>
      </c>
      <c r="G6555" s="294" t="s">
        <v>792</v>
      </c>
      <c r="H6555" s="298">
        <v>1</v>
      </c>
      <c r="M6555" s="274"/>
    </row>
    <row r="6556" spans="2:13" ht="15" customHeight="1" x14ac:dyDescent="0.25">
      <c r="B6556" s="289">
        <v>6517</v>
      </c>
      <c r="C6556" s="261">
        <v>123</v>
      </c>
      <c r="D6556" s="244" t="s">
        <v>12</v>
      </c>
      <c r="E6556" s="263">
        <v>29</v>
      </c>
      <c r="F6556" s="294" t="s">
        <v>126</v>
      </c>
      <c r="G6556" s="294" t="s">
        <v>793</v>
      </c>
      <c r="H6556" s="298">
        <v>1</v>
      </c>
      <c r="M6556" s="274"/>
    </row>
    <row r="6557" spans="2:13" ht="15" customHeight="1" x14ac:dyDescent="0.25">
      <c r="B6557" s="289">
        <v>6518</v>
      </c>
      <c r="C6557" s="261">
        <v>123</v>
      </c>
      <c r="D6557" s="244" t="s">
        <v>12</v>
      </c>
      <c r="E6557" s="263">
        <v>42</v>
      </c>
      <c r="F6557" s="294" t="s">
        <v>126</v>
      </c>
      <c r="G6557" s="294" t="s">
        <v>794</v>
      </c>
      <c r="H6557" s="298">
        <v>1</v>
      </c>
      <c r="M6557" s="274"/>
    </row>
    <row r="6558" spans="2:13" ht="15" customHeight="1" x14ac:dyDescent="0.25">
      <c r="B6558" s="289">
        <v>6519</v>
      </c>
      <c r="C6558" s="261">
        <v>123</v>
      </c>
      <c r="D6558" s="244" t="s">
        <v>12</v>
      </c>
      <c r="E6558" s="263">
        <v>34</v>
      </c>
      <c r="F6558" s="294" t="s">
        <v>126</v>
      </c>
      <c r="G6558" s="294" t="s">
        <v>795</v>
      </c>
      <c r="H6558" s="298">
        <v>1</v>
      </c>
      <c r="M6558" s="274"/>
    </row>
    <row r="6559" spans="2:13" ht="15" customHeight="1" x14ac:dyDescent="0.25">
      <c r="B6559" s="289">
        <v>6520</v>
      </c>
      <c r="C6559" s="261">
        <v>123</v>
      </c>
      <c r="D6559" s="244" t="s">
        <v>12</v>
      </c>
      <c r="E6559" s="263">
        <v>98</v>
      </c>
      <c r="F6559" s="294" t="s">
        <v>126</v>
      </c>
      <c r="G6559" s="294" t="s">
        <v>796</v>
      </c>
      <c r="H6559" s="298">
        <v>1</v>
      </c>
      <c r="M6559" s="274"/>
    </row>
    <row r="6560" spans="2:13" ht="15" customHeight="1" x14ac:dyDescent="0.25">
      <c r="B6560" s="289">
        <v>6521</v>
      </c>
      <c r="C6560" s="261">
        <v>123</v>
      </c>
      <c r="D6560" s="244" t="s">
        <v>12</v>
      </c>
      <c r="E6560" s="263">
        <v>71</v>
      </c>
      <c r="F6560" s="294" t="s">
        <v>126</v>
      </c>
      <c r="G6560" s="294" t="s">
        <v>797</v>
      </c>
      <c r="H6560" s="298">
        <v>1</v>
      </c>
      <c r="M6560" s="274"/>
    </row>
    <row r="6561" spans="2:13" ht="15" customHeight="1" x14ac:dyDescent="0.25">
      <c r="B6561" s="289">
        <v>6522</v>
      </c>
      <c r="C6561" s="261">
        <v>123</v>
      </c>
      <c r="D6561" s="244" t="s">
        <v>12</v>
      </c>
      <c r="E6561" s="263">
        <v>74</v>
      </c>
      <c r="F6561" s="294" t="s">
        <v>126</v>
      </c>
      <c r="G6561" s="294" t="s">
        <v>798</v>
      </c>
      <c r="H6561" s="298">
        <v>1</v>
      </c>
      <c r="M6561" s="274"/>
    </row>
    <row r="6562" spans="2:13" ht="15" customHeight="1" x14ac:dyDescent="0.25">
      <c r="B6562" s="289">
        <v>6523</v>
      </c>
      <c r="C6562" s="261">
        <v>123</v>
      </c>
      <c r="D6562" s="244" t="s">
        <v>12</v>
      </c>
      <c r="E6562" s="263">
        <v>86</v>
      </c>
      <c r="F6562" s="294" t="s">
        <v>126</v>
      </c>
      <c r="G6562" s="294" t="s">
        <v>799</v>
      </c>
      <c r="H6562" s="298">
        <v>1</v>
      </c>
      <c r="M6562" s="274"/>
    </row>
    <row r="6563" spans="2:13" ht="15" customHeight="1" x14ac:dyDescent="0.25">
      <c r="B6563" s="289">
        <v>6524</v>
      </c>
      <c r="C6563" s="261">
        <v>123</v>
      </c>
      <c r="D6563" s="244" t="s">
        <v>12</v>
      </c>
      <c r="E6563" s="263">
        <v>42</v>
      </c>
      <c r="F6563" s="294" t="s">
        <v>126</v>
      </c>
      <c r="G6563" s="294" t="s">
        <v>427</v>
      </c>
      <c r="H6563" s="298">
        <v>1</v>
      </c>
      <c r="M6563" s="274"/>
    </row>
    <row r="6564" spans="2:13" ht="15" customHeight="1" x14ac:dyDescent="0.25">
      <c r="B6564" s="289">
        <v>6524</v>
      </c>
      <c r="C6564" s="261">
        <v>139</v>
      </c>
      <c r="D6564" s="244" t="s">
        <v>12</v>
      </c>
      <c r="E6564" s="263">
        <v>30</v>
      </c>
      <c r="F6564" s="294" t="s">
        <v>126</v>
      </c>
      <c r="G6564" s="294" t="s">
        <v>800</v>
      </c>
      <c r="H6564" s="298">
        <v>1</v>
      </c>
      <c r="M6564" s="274"/>
    </row>
    <row r="6565" spans="2:13" ht="15" customHeight="1" x14ac:dyDescent="0.25">
      <c r="B6565" s="289">
        <v>6525</v>
      </c>
      <c r="C6565" s="261">
        <v>123</v>
      </c>
      <c r="D6565" s="244" t="s">
        <v>12</v>
      </c>
      <c r="E6565" s="263">
        <v>91</v>
      </c>
      <c r="F6565" s="294" t="s">
        <v>126</v>
      </c>
      <c r="G6565" s="294" t="s">
        <v>801</v>
      </c>
      <c r="H6565" s="298">
        <v>1</v>
      </c>
      <c r="M6565" s="274"/>
    </row>
    <row r="6566" spans="2:13" ht="15" customHeight="1" x14ac:dyDescent="0.25">
      <c r="B6566" s="289">
        <v>6526</v>
      </c>
      <c r="C6566" s="261">
        <v>123</v>
      </c>
      <c r="D6566" s="244" t="s">
        <v>12</v>
      </c>
      <c r="E6566" s="263">
        <v>42</v>
      </c>
      <c r="F6566" s="294" t="s">
        <v>126</v>
      </c>
      <c r="G6566" s="294" t="s">
        <v>427</v>
      </c>
      <c r="H6566" s="298">
        <v>1</v>
      </c>
      <c r="M6566" s="274"/>
    </row>
    <row r="6567" spans="2:13" ht="15" customHeight="1" x14ac:dyDescent="0.25">
      <c r="B6567" s="289">
        <v>6527</v>
      </c>
      <c r="C6567" s="261">
        <v>123</v>
      </c>
      <c r="D6567" s="244" t="s">
        <v>12</v>
      </c>
      <c r="E6567" s="263">
        <v>55</v>
      </c>
      <c r="F6567" s="294" t="s">
        <v>126</v>
      </c>
      <c r="G6567" s="294" t="s">
        <v>802</v>
      </c>
      <c r="H6567" s="298">
        <v>1</v>
      </c>
      <c r="M6567" s="274"/>
    </row>
    <row r="6568" spans="2:13" ht="15" customHeight="1" x14ac:dyDescent="0.25">
      <c r="B6568" s="289">
        <v>6528</v>
      </c>
      <c r="C6568" s="261">
        <v>123</v>
      </c>
      <c r="D6568" s="244" t="s">
        <v>12</v>
      </c>
      <c r="E6568" s="263">
        <v>42</v>
      </c>
      <c r="F6568" s="294" t="s">
        <v>126</v>
      </c>
      <c r="G6568" s="294" t="s">
        <v>427</v>
      </c>
      <c r="H6568" s="298">
        <v>1</v>
      </c>
      <c r="M6568" s="274"/>
    </row>
    <row r="6569" spans="2:13" ht="15" customHeight="1" x14ac:dyDescent="0.25">
      <c r="B6569" s="289">
        <v>6529</v>
      </c>
      <c r="C6569" s="261">
        <v>123</v>
      </c>
      <c r="D6569" s="244" t="s">
        <v>12</v>
      </c>
      <c r="E6569" s="263">
        <v>43</v>
      </c>
      <c r="F6569" s="294" t="s">
        <v>126</v>
      </c>
      <c r="G6569" s="294" t="s">
        <v>803</v>
      </c>
      <c r="H6569" s="298">
        <v>1</v>
      </c>
      <c r="M6569" s="274"/>
    </row>
    <row r="6570" spans="2:13" ht="15" customHeight="1" x14ac:dyDescent="0.25">
      <c r="B6570" s="289">
        <v>6530</v>
      </c>
      <c r="C6570" s="261">
        <v>123</v>
      </c>
      <c r="D6570" s="244" t="s">
        <v>12</v>
      </c>
      <c r="E6570" s="263">
        <v>42</v>
      </c>
      <c r="F6570" s="294" t="s">
        <v>126</v>
      </c>
      <c r="G6570" s="294" t="s">
        <v>804</v>
      </c>
      <c r="H6570" s="298">
        <v>1</v>
      </c>
      <c r="M6570" s="274"/>
    </row>
    <row r="6571" spans="2:13" ht="15" customHeight="1" x14ac:dyDescent="0.25">
      <c r="B6571" s="289">
        <v>6531</v>
      </c>
      <c r="C6571" s="261">
        <v>123</v>
      </c>
      <c r="D6571" s="244" t="s">
        <v>12</v>
      </c>
      <c r="E6571" s="263">
        <v>84</v>
      </c>
      <c r="F6571" s="294" t="s">
        <v>126</v>
      </c>
      <c r="G6571" s="294" t="s">
        <v>805</v>
      </c>
      <c r="H6571" s="298">
        <v>1</v>
      </c>
      <c r="M6571" s="274"/>
    </row>
    <row r="6572" spans="2:13" ht="15" customHeight="1" x14ac:dyDescent="0.25">
      <c r="B6572" s="289">
        <v>6532</v>
      </c>
      <c r="C6572" s="261">
        <v>123</v>
      </c>
      <c r="D6572" s="244" t="s">
        <v>12</v>
      </c>
      <c r="E6572" s="263">
        <v>84</v>
      </c>
      <c r="F6572" s="294" t="s">
        <v>126</v>
      </c>
      <c r="G6572" s="294" t="s">
        <v>806</v>
      </c>
      <c r="H6572" s="298">
        <v>1</v>
      </c>
      <c r="M6572" s="274"/>
    </row>
    <row r="6573" spans="2:13" ht="15" customHeight="1" x14ac:dyDescent="0.25">
      <c r="B6573" s="289">
        <v>6533</v>
      </c>
      <c r="C6573" s="261">
        <v>123</v>
      </c>
      <c r="D6573" s="244" t="s">
        <v>12</v>
      </c>
      <c r="E6573" s="263">
        <v>84</v>
      </c>
      <c r="F6573" s="294" t="s">
        <v>126</v>
      </c>
      <c r="G6573" s="294" t="s">
        <v>807</v>
      </c>
      <c r="H6573" s="298">
        <v>1</v>
      </c>
      <c r="M6573" s="274"/>
    </row>
    <row r="6574" spans="2:13" ht="15" customHeight="1" x14ac:dyDescent="0.25">
      <c r="B6574" s="289">
        <v>6534</v>
      </c>
      <c r="C6574" s="261">
        <v>123</v>
      </c>
      <c r="D6574" s="244" t="s">
        <v>12</v>
      </c>
      <c r="E6574" s="263">
        <v>98</v>
      </c>
      <c r="F6574" s="294" t="s">
        <v>126</v>
      </c>
      <c r="G6574" s="294" t="s">
        <v>808</v>
      </c>
      <c r="H6574" s="298">
        <v>1</v>
      </c>
      <c r="M6574" s="274"/>
    </row>
    <row r="6575" spans="2:13" ht="15" customHeight="1" x14ac:dyDescent="0.25">
      <c r="B6575" s="289">
        <v>6535</v>
      </c>
      <c r="C6575" s="261">
        <v>123</v>
      </c>
      <c r="D6575" s="244" t="s">
        <v>12</v>
      </c>
      <c r="E6575" s="263">
        <v>32</v>
      </c>
      <c r="F6575" s="294" t="s">
        <v>126</v>
      </c>
      <c r="G6575" s="294" t="s">
        <v>809</v>
      </c>
      <c r="H6575" s="298">
        <v>1</v>
      </c>
      <c r="M6575" s="274"/>
    </row>
    <row r="6576" spans="2:13" ht="15" customHeight="1" x14ac:dyDescent="0.25">
      <c r="B6576" s="289">
        <v>6536</v>
      </c>
      <c r="C6576" s="261">
        <v>123</v>
      </c>
      <c r="D6576" s="244" t="s">
        <v>12</v>
      </c>
      <c r="E6576" s="263">
        <v>42</v>
      </c>
      <c r="F6576" s="294" t="s">
        <v>126</v>
      </c>
      <c r="G6576" s="294" t="s">
        <v>810</v>
      </c>
      <c r="H6576" s="298">
        <v>1</v>
      </c>
      <c r="M6576" s="274"/>
    </row>
    <row r="6577" spans="2:13" ht="15" customHeight="1" x14ac:dyDescent="0.25">
      <c r="B6577" s="289">
        <v>6537</v>
      </c>
      <c r="C6577" s="261">
        <v>123</v>
      </c>
      <c r="D6577" s="244" t="s">
        <v>12</v>
      </c>
      <c r="E6577" s="263">
        <v>75</v>
      </c>
      <c r="F6577" s="294" t="s">
        <v>126</v>
      </c>
      <c r="G6577" s="294" t="s">
        <v>811</v>
      </c>
      <c r="H6577" s="298">
        <v>1</v>
      </c>
      <c r="M6577" s="274"/>
    </row>
    <row r="6578" spans="2:13" ht="15" customHeight="1" x14ac:dyDescent="0.25">
      <c r="B6578" s="289">
        <v>6538</v>
      </c>
      <c r="C6578" s="261">
        <v>127</v>
      </c>
      <c r="D6578" s="244" t="s">
        <v>12</v>
      </c>
      <c r="E6578" s="263">
        <v>5</v>
      </c>
      <c r="F6578" s="294" t="s">
        <v>126</v>
      </c>
      <c r="G6578" s="294" t="s">
        <v>812</v>
      </c>
      <c r="H6578" s="298">
        <v>1</v>
      </c>
      <c r="M6578" s="274"/>
    </row>
    <row r="6579" spans="2:13" ht="15" customHeight="1" x14ac:dyDescent="0.25">
      <c r="B6579" s="289">
        <v>6539</v>
      </c>
      <c r="C6579" s="261">
        <v>123</v>
      </c>
      <c r="D6579" s="244" t="s">
        <v>12</v>
      </c>
      <c r="E6579" s="263">
        <v>90</v>
      </c>
      <c r="F6579" s="294" t="s">
        <v>126</v>
      </c>
      <c r="G6579" s="294" t="s">
        <v>813</v>
      </c>
      <c r="H6579" s="298">
        <v>1</v>
      </c>
      <c r="M6579" s="274"/>
    </row>
    <row r="6580" spans="2:13" ht="15" customHeight="1" x14ac:dyDescent="0.25">
      <c r="B6580" s="289">
        <v>6540</v>
      </c>
      <c r="C6580" s="261">
        <v>128</v>
      </c>
      <c r="D6580" s="244" t="s">
        <v>12</v>
      </c>
      <c r="E6580" s="263">
        <v>6</v>
      </c>
      <c r="F6580" s="294" t="s">
        <v>126</v>
      </c>
      <c r="G6580" s="294" t="s">
        <v>814</v>
      </c>
      <c r="H6580" s="298">
        <v>1</v>
      </c>
      <c r="M6580" s="274"/>
    </row>
    <row r="6581" spans="2:13" ht="15" customHeight="1" x14ac:dyDescent="0.25">
      <c r="B6581" s="289">
        <v>6541</v>
      </c>
      <c r="C6581" s="261">
        <v>123</v>
      </c>
      <c r="D6581" s="244" t="s">
        <v>12</v>
      </c>
      <c r="E6581" s="263">
        <v>10</v>
      </c>
      <c r="F6581" s="294" t="s">
        <v>126</v>
      </c>
      <c r="G6581" s="294" t="s">
        <v>815</v>
      </c>
      <c r="H6581" s="298">
        <v>1</v>
      </c>
      <c r="M6581" s="274"/>
    </row>
    <row r="6582" spans="2:13" ht="15" customHeight="1" x14ac:dyDescent="0.25">
      <c r="B6582" s="289">
        <v>6542</v>
      </c>
      <c r="C6582" s="261">
        <v>121</v>
      </c>
      <c r="D6582" s="244" t="s">
        <v>12</v>
      </c>
      <c r="E6582" s="263">
        <v>12</v>
      </c>
      <c r="F6582" s="294" t="s">
        <v>126</v>
      </c>
      <c r="G6582" s="294" t="s">
        <v>816</v>
      </c>
      <c r="H6582" s="298">
        <v>1</v>
      </c>
      <c r="M6582" s="274"/>
    </row>
    <row r="6583" spans="2:13" ht="15" customHeight="1" x14ac:dyDescent="0.25">
      <c r="B6583" s="289">
        <v>6543</v>
      </c>
      <c r="C6583" s="261">
        <v>123</v>
      </c>
      <c r="D6583" s="244" t="s">
        <v>12</v>
      </c>
      <c r="E6583" s="263">
        <v>4</v>
      </c>
      <c r="F6583" s="294" t="s">
        <v>126</v>
      </c>
      <c r="G6583" s="294" t="s">
        <v>817</v>
      </c>
      <c r="H6583" s="298">
        <v>1</v>
      </c>
      <c r="M6583" s="274"/>
    </row>
    <row r="6584" spans="2:13" ht="15" customHeight="1" x14ac:dyDescent="0.25">
      <c r="B6584" s="289">
        <v>6544</v>
      </c>
      <c r="C6584" s="261">
        <v>127</v>
      </c>
      <c r="D6584" s="244" t="s">
        <v>12</v>
      </c>
      <c r="E6584" s="263">
        <v>4</v>
      </c>
      <c r="F6584" s="294" t="s">
        <v>126</v>
      </c>
      <c r="G6584" s="294" t="s">
        <v>818</v>
      </c>
      <c r="H6584" s="298">
        <v>1</v>
      </c>
      <c r="M6584" s="274"/>
    </row>
    <row r="6585" spans="2:13" ht="15" customHeight="1" x14ac:dyDescent="0.25">
      <c r="B6585" s="289">
        <v>6545</v>
      </c>
      <c r="C6585" s="261">
        <v>123</v>
      </c>
      <c r="D6585" s="244" t="s">
        <v>12</v>
      </c>
      <c r="E6585" s="263">
        <v>11</v>
      </c>
      <c r="F6585" s="294" t="s">
        <v>126</v>
      </c>
      <c r="G6585" s="294" t="s">
        <v>819</v>
      </c>
      <c r="H6585" s="298">
        <v>1</v>
      </c>
      <c r="M6585" s="274"/>
    </row>
    <row r="6586" spans="2:13" ht="15" customHeight="1" x14ac:dyDescent="0.25">
      <c r="B6586" s="289">
        <v>6546</v>
      </c>
      <c r="C6586" s="261">
        <v>123</v>
      </c>
      <c r="D6586" s="244" t="s">
        <v>12</v>
      </c>
      <c r="E6586" s="263">
        <v>77</v>
      </c>
      <c r="F6586" s="294" t="s">
        <v>126</v>
      </c>
      <c r="G6586" s="294" t="s">
        <v>820</v>
      </c>
      <c r="H6586" s="298">
        <v>1</v>
      </c>
      <c r="M6586" s="274"/>
    </row>
    <row r="6587" spans="2:13" ht="15" customHeight="1" x14ac:dyDescent="0.25">
      <c r="B6587" s="289">
        <v>6547</v>
      </c>
      <c r="C6587" s="261">
        <v>123</v>
      </c>
      <c r="D6587" s="244" t="s">
        <v>12</v>
      </c>
      <c r="E6587" s="263">
        <v>77</v>
      </c>
      <c r="F6587" s="294" t="s">
        <v>126</v>
      </c>
      <c r="G6587" s="294" t="s">
        <v>821</v>
      </c>
      <c r="H6587" s="298">
        <v>1</v>
      </c>
      <c r="M6587" s="274"/>
    </row>
    <row r="6588" spans="2:13" ht="15" customHeight="1" x14ac:dyDescent="0.25">
      <c r="B6588" s="289">
        <v>6548</v>
      </c>
      <c r="C6588" s="261">
        <v>123</v>
      </c>
      <c r="D6588" s="244" t="s">
        <v>12</v>
      </c>
      <c r="E6588" s="263">
        <v>77</v>
      </c>
      <c r="F6588" s="294" t="s">
        <v>126</v>
      </c>
      <c r="G6588" s="294" t="s">
        <v>822</v>
      </c>
      <c r="H6588" s="298">
        <v>1</v>
      </c>
      <c r="M6588" s="274"/>
    </row>
    <row r="6589" spans="2:13" ht="15" customHeight="1" x14ac:dyDescent="0.25">
      <c r="B6589" s="289">
        <v>6549</v>
      </c>
      <c r="C6589" s="261">
        <v>123</v>
      </c>
      <c r="D6589" s="244" t="s">
        <v>12</v>
      </c>
      <c r="E6589" s="263">
        <v>77</v>
      </c>
      <c r="F6589" s="294" t="s">
        <v>126</v>
      </c>
      <c r="G6589" s="294" t="s">
        <v>823</v>
      </c>
      <c r="H6589" s="298">
        <v>1</v>
      </c>
      <c r="M6589" s="274"/>
    </row>
    <row r="6590" spans="2:13" ht="15" customHeight="1" x14ac:dyDescent="0.25">
      <c r="B6590" s="289">
        <v>6550</v>
      </c>
      <c r="C6590" s="261">
        <v>123</v>
      </c>
      <c r="D6590" s="244" t="s">
        <v>12</v>
      </c>
      <c r="E6590" s="263">
        <v>1</v>
      </c>
      <c r="F6590" s="294" t="s">
        <v>126</v>
      </c>
      <c r="G6590" s="294" t="s">
        <v>235</v>
      </c>
      <c r="H6590" s="298">
        <v>1</v>
      </c>
      <c r="M6590" s="274"/>
    </row>
    <row r="6591" spans="2:13" ht="15" customHeight="1" x14ac:dyDescent="0.25">
      <c r="B6591" s="289">
        <v>6551</v>
      </c>
      <c r="C6591" s="261">
        <v>139</v>
      </c>
      <c r="D6591" s="244" t="s">
        <v>12</v>
      </c>
      <c r="E6591" s="263">
        <v>8</v>
      </c>
      <c r="F6591" s="294" t="s">
        <v>126</v>
      </c>
      <c r="G6591" s="294" t="s">
        <v>824</v>
      </c>
      <c r="H6591" s="298">
        <v>1</v>
      </c>
      <c r="M6591" s="274"/>
    </row>
    <row r="6592" spans="2:13" ht="15" customHeight="1" x14ac:dyDescent="0.25">
      <c r="B6592" s="289">
        <v>6552</v>
      </c>
      <c r="C6592" s="261">
        <v>123</v>
      </c>
      <c r="D6592" s="244" t="s">
        <v>12</v>
      </c>
      <c r="E6592" s="263">
        <v>3</v>
      </c>
      <c r="F6592" s="294" t="s">
        <v>126</v>
      </c>
      <c r="G6592" s="294" t="s">
        <v>825</v>
      </c>
      <c r="H6592" s="298">
        <v>1</v>
      </c>
      <c r="M6592" s="274"/>
    </row>
    <row r="6593" spans="2:13" ht="15" customHeight="1" x14ac:dyDescent="0.25">
      <c r="B6593" s="289">
        <v>6553</v>
      </c>
      <c r="C6593" s="261">
        <v>127</v>
      </c>
      <c r="D6593" s="244" t="s">
        <v>12</v>
      </c>
      <c r="E6593" s="263">
        <v>7</v>
      </c>
      <c r="F6593" s="294" t="s">
        <v>126</v>
      </c>
      <c r="G6593" s="294" t="s">
        <v>826</v>
      </c>
      <c r="H6593" s="298">
        <v>1</v>
      </c>
      <c r="M6593" s="274"/>
    </row>
    <row r="6594" spans="2:13" ht="15" customHeight="1" x14ac:dyDescent="0.25">
      <c r="B6594" s="289">
        <v>6554</v>
      </c>
      <c r="C6594" s="261">
        <v>121</v>
      </c>
      <c r="D6594" s="244" t="s">
        <v>12</v>
      </c>
      <c r="E6594" s="263">
        <v>15</v>
      </c>
      <c r="F6594" s="294" t="s">
        <v>126</v>
      </c>
      <c r="G6594" s="294" t="s">
        <v>827</v>
      </c>
      <c r="H6594" s="298">
        <v>1</v>
      </c>
      <c r="M6594" s="274"/>
    </row>
    <row r="6595" spans="2:13" ht="15" customHeight="1" x14ac:dyDescent="0.25">
      <c r="B6595" s="289">
        <v>6555</v>
      </c>
      <c r="C6595" s="261">
        <v>123</v>
      </c>
      <c r="D6595" s="244" t="s">
        <v>12</v>
      </c>
      <c r="E6595" s="263">
        <v>84</v>
      </c>
      <c r="F6595" s="294" t="s">
        <v>126</v>
      </c>
      <c r="G6595" s="294" t="s">
        <v>828</v>
      </c>
      <c r="H6595" s="298">
        <v>1</v>
      </c>
      <c r="M6595" s="274"/>
    </row>
    <row r="6596" spans="2:13" ht="15" customHeight="1" x14ac:dyDescent="0.25">
      <c r="B6596" s="289">
        <v>6556</v>
      </c>
      <c r="C6596" s="261">
        <v>123</v>
      </c>
      <c r="D6596" s="244" t="s">
        <v>12</v>
      </c>
      <c r="E6596" s="263">
        <v>3</v>
      </c>
      <c r="F6596" s="294" t="s">
        <v>126</v>
      </c>
      <c r="G6596" s="294" t="s">
        <v>829</v>
      </c>
      <c r="H6596" s="298">
        <v>1</v>
      </c>
      <c r="M6596" s="274"/>
    </row>
    <row r="6597" spans="2:13" ht="15" customHeight="1" x14ac:dyDescent="0.25">
      <c r="B6597" s="289">
        <v>6557</v>
      </c>
      <c r="C6597" s="261">
        <v>122</v>
      </c>
      <c r="D6597" s="244" t="s">
        <v>11</v>
      </c>
      <c r="E6597" s="263">
        <v>2</v>
      </c>
      <c r="F6597" s="294" t="s">
        <v>341</v>
      </c>
      <c r="G6597" s="294" t="s">
        <v>126</v>
      </c>
      <c r="H6597" s="298">
        <v>1</v>
      </c>
      <c r="M6597" s="274"/>
    </row>
    <row r="6598" spans="2:13" ht="15" customHeight="1" x14ac:dyDescent="0.25">
      <c r="B6598" s="289">
        <v>6558</v>
      </c>
      <c r="C6598" s="261">
        <v>123</v>
      </c>
      <c r="D6598" s="244" t="s">
        <v>12</v>
      </c>
      <c r="E6598" s="263">
        <v>69</v>
      </c>
      <c r="F6598" s="294" t="s">
        <v>126</v>
      </c>
      <c r="G6598" s="294" t="s">
        <v>830</v>
      </c>
      <c r="H6598" s="298">
        <v>1</v>
      </c>
      <c r="M6598" s="274"/>
    </row>
    <row r="6599" spans="2:13" ht="15" customHeight="1" x14ac:dyDescent="0.25">
      <c r="B6599" s="289">
        <v>6559</v>
      </c>
      <c r="C6599" s="261">
        <v>123</v>
      </c>
      <c r="D6599" s="244" t="s">
        <v>12</v>
      </c>
      <c r="E6599" s="263">
        <v>87</v>
      </c>
      <c r="F6599" s="294" t="s">
        <v>126</v>
      </c>
      <c r="G6599" s="294" t="s">
        <v>831</v>
      </c>
      <c r="H6599" s="298">
        <v>1</v>
      </c>
      <c r="M6599" s="274"/>
    </row>
    <row r="6600" spans="2:13" ht="15" customHeight="1" x14ac:dyDescent="0.25">
      <c r="B6600" s="289">
        <v>6560</v>
      </c>
      <c r="C6600" s="261">
        <v>121</v>
      </c>
      <c r="D6600" s="244" t="s">
        <v>12</v>
      </c>
      <c r="E6600" s="263">
        <v>1</v>
      </c>
      <c r="F6600" s="294" t="s">
        <v>126</v>
      </c>
      <c r="G6600" s="294" t="s">
        <v>426</v>
      </c>
      <c r="H6600" s="298">
        <v>1</v>
      </c>
      <c r="M6600" s="274"/>
    </row>
    <row r="6601" spans="2:13" ht="15" customHeight="1" x14ac:dyDescent="0.25">
      <c r="B6601" s="289">
        <v>6563</v>
      </c>
      <c r="C6601" s="261">
        <v>123</v>
      </c>
      <c r="D6601" s="244" t="s">
        <v>11</v>
      </c>
      <c r="E6601" s="263">
        <v>10</v>
      </c>
      <c r="F6601" s="294" t="s">
        <v>832</v>
      </c>
      <c r="G6601" s="294" t="s">
        <v>126</v>
      </c>
      <c r="H6601" s="298">
        <v>1</v>
      </c>
      <c r="M6601" s="274"/>
    </row>
    <row r="6602" spans="2:13" ht="15" customHeight="1" x14ac:dyDescent="0.25">
      <c r="B6602" s="289">
        <v>6564</v>
      </c>
      <c r="C6602" s="261">
        <v>123</v>
      </c>
      <c r="D6602" s="244" t="s">
        <v>11</v>
      </c>
      <c r="E6602" s="263">
        <v>4</v>
      </c>
      <c r="F6602" s="294" t="s">
        <v>833</v>
      </c>
      <c r="G6602" s="294" t="s">
        <v>126</v>
      </c>
      <c r="H6602" s="298">
        <v>1</v>
      </c>
      <c r="M6602" s="274"/>
    </row>
    <row r="6603" spans="2:13" ht="15" customHeight="1" x14ac:dyDescent="0.25">
      <c r="B6603" s="289">
        <v>6565</v>
      </c>
      <c r="C6603" s="261">
        <v>123</v>
      </c>
      <c r="D6603" s="244" t="s">
        <v>11</v>
      </c>
      <c r="E6603" s="263">
        <v>2</v>
      </c>
      <c r="F6603" s="294" t="s">
        <v>420</v>
      </c>
      <c r="G6603" s="294" t="s">
        <v>126</v>
      </c>
      <c r="H6603" s="298">
        <v>1</v>
      </c>
      <c r="M6603" s="274"/>
    </row>
    <row r="6604" spans="2:13" ht="15" customHeight="1" x14ac:dyDescent="0.25">
      <c r="B6604" s="289">
        <v>6567</v>
      </c>
      <c r="C6604" s="261">
        <v>123</v>
      </c>
      <c r="D6604" s="244" t="s">
        <v>12</v>
      </c>
      <c r="E6604" s="263">
        <v>99</v>
      </c>
      <c r="F6604" s="294" t="s">
        <v>126</v>
      </c>
      <c r="G6604" s="294" t="s">
        <v>834</v>
      </c>
      <c r="H6604" s="298">
        <v>1</v>
      </c>
      <c r="M6604" s="274"/>
    </row>
    <row r="6605" spans="2:13" ht="15" customHeight="1" x14ac:dyDescent="0.25">
      <c r="B6605" s="289">
        <v>6568</v>
      </c>
      <c r="C6605" s="261">
        <v>123</v>
      </c>
      <c r="D6605" s="244" t="s">
        <v>12</v>
      </c>
      <c r="E6605" s="263">
        <v>99</v>
      </c>
      <c r="F6605" s="294" t="s">
        <v>126</v>
      </c>
      <c r="G6605" s="294" t="s">
        <v>835</v>
      </c>
      <c r="H6605" s="298">
        <v>1</v>
      </c>
      <c r="M6605" s="274"/>
    </row>
    <row r="6606" spans="2:13" ht="15" customHeight="1" x14ac:dyDescent="0.25">
      <c r="B6606" s="289">
        <v>6569</v>
      </c>
      <c r="C6606" s="261">
        <v>123</v>
      </c>
      <c r="D6606" s="244" t="s">
        <v>12</v>
      </c>
      <c r="E6606" s="263">
        <v>97</v>
      </c>
      <c r="F6606" s="294" t="s">
        <v>126</v>
      </c>
      <c r="G6606" s="294" t="s">
        <v>836</v>
      </c>
      <c r="H6606" s="298">
        <v>1</v>
      </c>
      <c r="M6606" s="274"/>
    </row>
    <row r="6607" spans="2:13" ht="15" customHeight="1" x14ac:dyDescent="0.25">
      <c r="B6607" s="289">
        <v>6570</v>
      </c>
      <c r="C6607" s="261">
        <v>123</v>
      </c>
      <c r="D6607" s="244" t="s">
        <v>12</v>
      </c>
      <c r="E6607" s="263">
        <v>53</v>
      </c>
      <c r="F6607" s="294" t="s">
        <v>126</v>
      </c>
      <c r="G6607" s="294" t="s">
        <v>429</v>
      </c>
      <c r="H6607" s="298">
        <v>1</v>
      </c>
      <c r="M6607" s="274"/>
    </row>
    <row r="6608" spans="2:13" ht="15" customHeight="1" x14ac:dyDescent="0.25">
      <c r="B6608" s="289">
        <v>6571</v>
      </c>
      <c r="C6608" s="261">
        <v>123</v>
      </c>
      <c r="D6608" s="244" t="s">
        <v>12</v>
      </c>
      <c r="E6608" s="263">
        <v>82</v>
      </c>
      <c r="F6608" s="294" t="s">
        <v>126</v>
      </c>
      <c r="G6608" s="294" t="s">
        <v>837</v>
      </c>
      <c r="H6608" s="298">
        <v>1</v>
      </c>
      <c r="M6608" s="274"/>
    </row>
    <row r="6609" spans="2:13" ht="15" customHeight="1" x14ac:dyDescent="0.25">
      <c r="B6609" s="289">
        <v>6572</v>
      </c>
      <c r="C6609" s="261">
        <v>123</v>
      </c>
      <c r="D6609" s="244" t="s">
        <v>12</v>
      </c>
      <c r="E6609" s="263">
        <v>1</v>
      </c>
      <c r="F6609" s="294" t="s">
        <v>126</v>
      </c>
      <c r="G6609" s="294" t="s">
        <v>139</v>
      </c>
      <c r="H6609" s="298">
        <v>1</v>
      </c>
      <c r="M6609" s="274"/>
    </row>
    <row r="6610" spans="2:13" ht="15" customHeight="1" x14ac:dyDescent="0.25">
      <c r="B6610" s="289">
        <v>6573</v>
      </c>
      <c r="C6610" s="261">
        <v>123</v>
      </c>
      <c r="D6610" s="244" t="s">
        <v>12</v>
      </c>
      <c r="E6610" s="263">
        <v>16</v>
      </c>
      <c r="F6610" s="294" t="s">
        <v>126</v>
      </c>
      <c r="G6610" s="294" t="s">
        <v>838</v>
      </c>
      <c r="H6610" s="298">
        <v>1</v>
      </c>
      <c r="M6610" s="274"/>
    </row>
    <row r="6611" spans="2:13" ht="15" customHeight="1" x14ac:dyDescent="0.25">
      <c r="B6611" s="289">
        <v>6574</v>
      </c>
      <c r="C6611" s="261">
        <v>122</v>
      </c>
      <c r="D6611" s="244" t="s">
        <v>11</v>
      </c>
      <c r="E6611" s="263">
        <v>3</v>
      </c>
      <c r="F6611" s="294" t="s">
        <v>438</v>
      </c>
      <c r="G6611" s="294" t="s">
        <v>126</v>
      </c>
      <c r="H6611" s="298">
        <v>1</v>
      </c>
      <c r="M6611" s="274"/>
    </row>
    <row r="6612" spans="2:13" ht="15" customHeight="1" x14ac:dyDescent="0.25">
      <c r="B6612" s="289">
        <v>6575</v>
      </c>
      <c r="C6612" s="261">
        <v>123</v>
      </c>
      <c r="D6612" s="244" t="s">
        <v>12</v>
      </c>
      <c r="E6612" s="263">
        <v>96</v>
      </c>
      <c r="F6612" s="294" t="s">
        <v>126</v>
      </c>
      <c r="G6612" s="294" t="s">
        <v>839</v>
      </c>
      <c r="H6612" s="298">
        <v>1</v>
      </c>
      <c r="M6612" s="274"/>
    </row>
    <row r="6613" spans="2:13" ht="15" customHeight="1" x14ac:dyDescent="0.25">
      <c r="B6613" s="289">
        <v>6576</v>
      </c>
      <c r="C6613" s="261">
        <v>123</v>
      </c>
      <c r="D6613" s="244" t="s">
        <v>12</v>
      </c>
      <c r="E6613" s="263">
        <v>88</v>
      </c>
      <c r="F6613" s="294" t="s">
        <v>126</v>
      </c>
      <c r="G6613" s="294" t="s">
        <v>840</v>
      </c>
      <c r="H6613" s="298">
        <v>1</v>
      </c>
      <c r="M6613" s="274"/>
    </row>
    <row r="6614" spans="2:13" ht="15" customHeight="1" x14ac:dyDescent="0.25">
      <c r="B6614" s="289">
        <v>6577</v>
      </c>
      <c r="C6614" s="261">
        <v>123</v>
      </c>
      <c r="D6614" s="244" t="s">
        <v>12</v>
      </c>
      <c r="E6614" s="263">
        <v>29</v>
      </c>
      <c r="F6614" s="294" t="s">
        <v>126</v>
      </c>
      <c r="G6614" s="294" t="s">
        <v>841</v>
      </c>
      <c r="H6614" s="298">
        <v>1</v>
      </c>
      <c r="M6614" s="274"/>
    </row>
    <row r="6615" spans="2:13" ht="15" customHeight="1" x14ac:dyDescent="0.25">
      <c r="B6615" s="289">
        <v>6578</v>
      </c>
      <c r="C6615" s="261">
        <v>123</v>
      </c>
      <c r="D6615" s="244" t="s">
        <v>12</v>
      </c>
      <c r="E6615" s="263">
        <v>60</v>
      </c>
      <c r="F6615" s="294" t="s">
        <v>126</v>
      </c>
      <c r="G6615" s="294" t="s">
        <v>842</v>
      </c>
      <c r="H6615" s="298">
        <v>1</v>
      </c>
      <c r="M6615" s="274"/>
    </row>
    <row r="6616" spans="2:13" ht="15" customHeight="1" x14ac:dyDescent="0.25">
      <c r="B6616" s="289">
        <v>6579</v>
      </c>
      <c r="C6616" s="261">
        <v>123</v>
      </c>
      <c r="D6616" s="244" t="s">
        <v>11</v>
      </c>
      <c r="E6616" s="263">
        <v>9</v>
      </c>
      <c r="F6616" s="294" t="s">
        <v>436</v>
      </c>
      <c r="G6616" s="294" t="s">
        <v>126</v>
      </c>
      <c r="H6616" s="298">
        <v>1</v>
      </c>
      <c r="M6616" s="274"/>
    </row>
    <row r="6617" spans="2:13" ht="15" customHeight="1" x14ac:dyDescent="0.25">
      <c r="B6617" s="289">
        <v>6580</v>
      </c>
      <c r="C6617" s="261">
        <v>123</v>
      </c>
      <c r="D6617" s="244" t="s">
        <v>11</v>
      </c>
      <c r="E6617" s="263">
        <v>2</v>
      </c>
      <c r="F6617" s="294" t="s">
        <v>420</v>
      </c>
      <c r="G6617" s="294" t="s">
        <v>126</v>
      </c>
      <c r="H6617" s="298">
        <v>1</v>
      </c>
      <c r="M6617" s="274"/>
    </row>
    <row r="6618" spans="2:13" ht="15" customHeight="1" x14ac:dyDescent="0.25">
      <c r="B6618" s="289">
        <v>6581</v>
      </c>
      <c r="C6618" s="261">
        <v>123</v>
      </c>
      <c r="D6618" s="244" t="s">
        <v>11</v>
      </c>
      <c r="E6618" s="263">
        <v>2</v>
      </c>
      <c r="F6618" s="294" t="s">
        <v>420</v>
      </c>
      <c r="G6618" s="294" t="s">
        <v>126</v>
      </c>
      <c r="H6618" s="298">
        <v>1</v>
      </c>
      <c r="M6618" s="274"/>
    </row>
    <row r="6619" spans="2:13" ht="15" customHeight="1" x14ac:dyDescent="0.25">
      <c r="B6619" s="289">
        <v>6582</v>
      </c>
      <c r="C6619" s="261">
        <v>123</v>
      </c>
      <c r="D6619" s="244" t="s">
        <v>11</v>
      </c>
      <c r="E6619" s="263">
        <v>1</v>
      </c>
      <c r="F6619" s="294" t="s">
        <v>139</v>
      </c>
      <c r="G6619" s="294" t="s">
        <v>126</v>
      </c>
      <c r="H6619" s="298">
        <v>1</v>
      </c>
      <c r="M6619" s="274"/>
    </row>
    <row r="6620" spans="2:13" ht="15" customHeight="1" x14ac:dyDescent="0.25">
      <c r="B6620" s="289">
        <v>6583</v>
      </c>
      <c r="C6620" s="261">
        <v>123</v>
      </c>
      <c r="D6620" s="244" t="s">
        <v>12</v>
      </c>
      <c r="E6620" s="263">
        <v>75</v>
      </c>
      <c r="F6620" s="294" t="s">
        <v>126</v>
      </c>
      <c r="G6620" s="294" t="s">
        <v>843</v>
      </c>
      <c r="H6620" s="298">
        <v>1</v>
      </c>
      <c r="M6620" s="274"/>
    </row>
    <row r="6621" spans="2:13" ht="15" customHeight="1" x14ac:dyDescent="0.25">
      <c r="B6621" s="289">
        <v>6585</v>
      </c>
      <c r="C6621" s="261">
        <v>123</v>
      </c>
      <c r="D6621" s="244" t="s">
        <v>12</v>
      </c>
      <c r="E6621" s="263">
        <v>1</v>
      </c>
      <c r="F6621" s="294" t="s">
        <v>126</v>
      </c>
      <c r="G6621" s="294" t="s">
        <v>426</v>
      </c>
      <c r="H6621" s="298">
        <v>1</v>
      </c>
      <c r="M6621" s="274"/>
    </row>
    <row r="6622" spans="2:13" ht="15" customHeight="1" x14ac:dyDescent="0.25">
      <c r="B6622" s="289">
        <v>6586</v>
      </c>
      <c r="C6622" s="261">
        <v>123</v>
      </c>
      <c r="D6622" s="244" t="s">
        <v>12</v>
      </c>
      <c r="E6622" s="263">
        <v>64</v>
      </c>
      <c r="F6622" s="294" t="s">
        <v>126</v>
      </c>
      <c r="G6622" s="294" t="s">
        <v>844</v>
      </c>
      <c r="H6622" s="298">
        <v>1</v>
      </c>
      <c r="M6622" s="274"/>
    </row>
    <row r="6623" spans="2:13" ht="15" customHeight="1" x14ac:dyDescent="0.25">
      <c r="B6623" s="289">
        <v>6588</v>
      </c>
      <c r="C6623" s="261">
        <v>123</v>
      </c>
      <c r="D6623" s="244" t="s">
        <v>12</v>
      </c>
      <c r="E6623" s="263">
        <v>2</v>
      </c>
      <c r="F6623" s="294" t="s">
        <v>126</v>
      </c>
      <c r="G6623" s="294" t="s">
        <v>227</v>
      </c>
      <c r="H6623" s="298">
        <v>1</v>
      </c>
      <c r="M6623" s="274"/>
    </row>
    <row r="6624" spans="2:13" ht="15" customHeight="1" x14ac:dyDescent="0.25">
      <c r="B6624" s="289">
        <v>6589</v>
      </c>
      <c r="C6624" s="261">
        <v>123</v>
      </c>
      <c r="D6624" s="244" t="s">
        <v>12</v>
      </c>
      <c r="E6624" s="263">
        <v>84</v>
      </c>
      <c r="F6624" s="294" t="s">
        <v>126</v>
      </c>
      <c r="G6624" s="294" t="s">
        <v>845</v>
      </c>
      <c r="H6624" s="298">
        <v>1</v>
      </c>
      <c r="M6624" s="274"/>
    </row>
    <row r="6625" spans="2:13" ht="15" customHeight="1" x14ac:dyDescent="0.25">
      <c r="B6625" s="289">
        <v>6589</v>
      </c>
      <c r="C6625" s="261">
        <v>128</v>
      </c>
      <c r="D6625" s="244" t="s">
        <v>12</v>
      </c>
      <c r="E6625" s="263">
        <v>2</v>
      </c>
      <c r="F6625" s="294" t="s">
        <v>126</v>
      </c>
      <c r="G6625" s="294" t="s">
        <v>227</v>
      </c>
      <c r="H6625" s="298">
        <v>1</v>
      </c>
      <c r="M6625" s="274"/>
    </row>
    <row r="6626" spans="2:13" ht="15" customHeight="1" x14ac:dyDescent="0.25">
      <c r="B6626" s="289">
        <v>6589</v>
      </c>
      <c r="C6626" s="261">
        <v>137</v>
      </c>
      <c r="D6626" s="244" t="s">
        <v>12</v>
      </c>
      <c r="E6626" s="263">
        <v>2</v>
      </c>
      <c r="F6626" s="294" t="s">
        <v>126</v>
      </c>
      <c r="G6626" s="294" t="s">
        <v>454</v>
      </c>
      <c r="H6626" s="298">
        <v>1</v>
      </c>
      <c r="M6626" s="274"/>
    </row>
    <row r="6627" spans="2:13" ht="15" customHeight="1" x14ac:dyDescent="0.25">
      <c r="B6627" s="289">
        <v>6590</v>
      </c>
      <c r="C6627" s="261">
        <v>123</v>
      </c>
      <c r="D6627" s="244" t="s">
        <v>12</v>
      </c>
      <c r="E6627" s="263">
        <v>1</v>
      </c>
      <c r="F6627" s="294" t="s">
        <v>126</v>
      </c>
      <c r="G6627" s="294" t="s">
        <v>139</v>
      </c>
      <c r="H6627" s="298">
        <v>1</v>
      </c>
      <c r="M6627" s="274"/>
    </row>
    <row r="6628" spans="2:13" ht="15" customHeight="1" x14ac:dyDescent="0.25">
      <c r="B6628" s="289">
        <v>6591</v>
      </c>
      <c r="C6628" s="261">
        <v>123</v>
      </c>
      <c r="D6628" s="244" t="s">
        <v>12</v>
      </c>
      <c r="E6628" s="263">
        <v>8</v>
      </c>
      <c r="F6628" s="294" t="s">
        <v>126</v>
      </c>
      <c r="G6628" s="294" t="s">
        <v>846</v>
      </c>
      <c r="H6628" s="298">
        <v>1</v>
      </c>
      <c r="M6628" s="274"/>
    </row>
    <row r="6629" spans="2:13" ht="15" customHeight="1" x14ac:dyDescent="0.25">
      <c r="B6629" s="289">
        <v>6592</v>
      </c>
      <c r="C6629" s="261">
        <v>123</v>
      </c>
      <c r="D6629" s="244" t="s">
        <v>12</v>
      </c>
      <c r="E6629" s="263">
        <v>2</v>
      </c>
      <c r="F6629" s="294" t="s">
        <v>126</v>
      </c>
      <c r="G6629" s="294" t="s">
        <v>587</v>
      </c>
      <c r="H6629" s="298">
        <v>1</v>
      </c>
      <c r="M6629" s="274"/>
    </row>
    <row r="6630" spans="2:13" ht="15" customHeight="1" x14ac:dyDescent="0.25">
      <c r="B6630" s="289">
        <v>6594</v>
      </c>
      <c r="C6630" s="261">
        <v>123</v>
      </c>
      <c r="D6630" s="244" t="s">
        <v>12</v>
      </c>
      <c r="E6630" s="263">
        <v>1</v>
      </c>
      <c r="F6630" s="294" t="s">
        <v>126</v>
      </c>
      <c r="G6630" s="294" t="s">
        <v>139</v>
      </c>
      <c r="H6630" s="298">
        <v>1</v>
      </c>
      <c r="M6630" s="274"/>
    </row>
    <row r="6631" spans="2:13" ht="15" customHeight="1" x14ac:dyDescent="0.25">
      <c r="B6631" s="289">
        <v>6595</v>
      </c>
      <c r="C6631" s="261">
        <v>122</v>
      </c>
      <c r="D6631" s="244" t="s">
        <v>11</v>
      </c>
      <c r="E6631" s="263">
        <v>3</v>
      </c>
      <c r="F6631" s="294" t="s">
        <v>438</v>
      </c>
      <c r="G6631" s="294" t="s">
        <v>126</v>
      </c>
      <c r="H6631" s="298">
        <v>1</v>
      </c>
      <c r="M6631" s="274"/>
    </row>
    <row r="6632" spans="2:13" ht="15" customHeight="1" x14ac:dyDescent="0.25">
      <c r="B6632" s="289">
        <v>6596</v>
      </c>
      <c r="C6632" s="261">
        <v>123</v>
      </c>
      <c r="D6632" s="244" t="s">
        <v>11</v>
      </c>
      <c r="E6632" s="263">
        <v>8</v>
      </c>
      <c r="F6632" s="294" t="s">
        <v>847</v>
      </c>
      <c r="G6632" s="294" t="s">
        <v>126</v>
      </c>
      <c r="H6632" s="298">
        <v>1</v>
      </c>
      <c r="M6632" s="274"/>
    </row>
    <row r="6633" spans="2:13" ht="15" customHeight="1" x14ac:dyDescent="0.25">
      <c r="B6633" s="289">
        <v>6597</v>
      </c>
      <c r="C6633" s="261">
        <v>123</v>
      </c>
      <c r="D6633" s="244" t="s">
        <v>12</v>
      </c>
      <c r="E6633" s="263">
        <v>1</v>
      </c>
      <c r="F6633" s="294" t="s">
        <v>126</v>
      </c>
      <c r="G6633" s="294" t="s">
        <v>139</v>
      </c>
      <c r="H6633" s="298">
        <v>1</v>
      </c>
      <c r="M6633" s="274"/>
    </row>
    <row r="6634" spans="2:13" ht="15" customHeight="1" x14ac:dyDescent="0.25">
      <c r="B6634" s="289">
        <v>6598</v>
      </c>
      <c r="C6634" s="261">
        <v>120</v>
      </c>
      <c r="D6634" s="244" t="s">
        <v>12</v>
      </c>
      <c r="E6634" s="263">
        <v>3</v>
      </c>
      <c r="F6634" s="294" t="s">
        <v>126</v>
      </c>
      <c r="G6634" s="294" t="s">
        <v>848</v>
      </c>
      <c r="H6634" s="298">
        <v>1</v>
      </c>
      <c r="M6634" s="274"/>
    </row>
    <row r="6635" spans="2:13" ht="15" customHeight="1" x14ac:dyDescent="0.25">
      <c r="B6635" s="289">
        <v>6599</v>
      </c>
      <c r="C6635" s="261">
        <v>123</v>
      </c>
      <c r="D6635" s="244" t="s">
        <v>12</v>
      </c>
      <c r="E6635" s="263">
        <v>1</v>
      </c>
      <c r="F6635" s="294" t="s">
        <v>126</v>
      </c>
      <c r="G6635" s="294" t="s">
        <v>235</v>
      </c>
      <c r="H6635" s="298">
        <v>1</v>
      </c>
      <c r="M6635" s="274"/>
    </row>
    <row r="6636" spans="2:13" ht="15" customHeight="1" x14ac:dyDescent="0.25">
      <c r="B6636" s="289">
        <v>6600</v>
      </c>
      <c r="C6636" s="261">
        <v>123</v>
      </c>
      <c r="D6636" s="244" t="s">
        <v>12</v>
      </c>
      <c r="E6636" s="263">
        <v>1</v>
      </c>
      <c r="F6636" s="294" t="s">
        <v>126</v>
      </c>
      <c r="G6636" s="294" t="s">
        <v>139</v>
      </c>
      <c r="H6636" s="298">
        <v>1</v>
      </c>
      <c r="M6636" s="274"/>
    </row>
    <row r="6637" spans="2:13" ht="15" customHeight="1" x14ac:dyDescent="0.25">
      <c r="B6637" s="289">
        <v>6601</v>
      </c>
      <c r="C6637" s="261">
        <v>123</v>
      </c>
      <c r="D6637" s="244" t="s">
        <v>12</v>
      </c>
      <c r="E6637" s="263">
        <v>42</v>
      </c>
      <c r="F6637" s="294" t="s">
        <v>126</v>
      </c>
      <c r="G6637" s="294" t="s">
        <v>849</v>
      </c>
      <c r="H6637" s="298">
        <v>1</v>
      </c>
      <c r="M6637" s="274"/>
    </row>
    <row r="6638" spans="2:13" ht="15" customHeight="1" x14ac:dyDescent="0.25">
      <c r="B6638" s="289">
        <v>6602</v>
      </c>
      <c r="C6638" s="261">
        <v>132</v>
      </c>
      <c r="D6638" s="244" t="s">
        <v>11</v>
      </c>
      <c r="E6638" s="263">
        <v>1</v>
      </c>
      <c r="F6638" s="294" t="s">
        <v>437</v>
      </c>
      <c r="G6638" s="294" t="s">
        <v>126</v>
      </c>
      <c r="H6638" s="298">
        <v>1</v>
      </c>
      <c r="M6638" s="274"/>
    </row>
    <row r="6639" spans="2:13" ht="15" customHeight="1" x14ac:dyDescent="0.25">
      <c r="B6639" s="289">
        <v>6603</v>
      </c>
      <c r="C6639" s="261">
        <v>131</v>
      </c>
      <c r="D6639" s="244" t="s">
        <v>12</v>
      </c>
      <c r="E6639" s="263">
        <v>6</v>
      </c>
      <c r="F6639" s="294" t="s">
        <v>126</v>
      </c>
      <c r="G6639" s="294" t="s">
        <v>422</v>
      </c>
      <c r="H6639" s="298">
        <v>1</v>
      </c>
      <c r="M6639" s="274"/>
    </row>
    <row r="6640" spans="2:13" ht="15" customHeight="1" x14ac:dyDescent="0.25">
      <c r="B6640" s="289">
        <v>6604</v>
      </c>
      <c r="C6640" s="261">
        <v>123</v>
      </c>
      <c r="D6640" s="244" t="s">
        <v>12</v>
      </c>
      <c r="E6640" s="263">
        <v>11</v>
      </c>
      <c r="F6640" s="294" t="s">
        <v>126</v>
      </c>
      <c r="G6640" s="294" t="s">
        <v>850</v>
      </c>
      <c r="H6640" s="298">
        <v>1</v>
      </c>
      <c r="M6640" s="274"/>
    </row>
    <row r="6641" spans="2:13" ht="15" customHeight="1" x14ac:dyDescent="0.25">
      <c r="B6641" s="289">
        <v>6605</v>
      </c>
      <c r="C6641" s="261">
        <v>123</v>
      </c>
      <c r="D6641" s="244" t="s">
        <v>12</v>
      </c>
      <c r="E6641" s="263">
        <v>11</v>
      </c>
      <c r="F6641" s="294" t="s">
        <v>126</v>
      </c>
      <c r="G6641" s="294" t="s">
        <v>851</v>
      </c>
      <c r="H6641" s="298">
        <v>1</v>
      </c>
      <c r="M6641" s="274"/>
    </row>
    <row r="6642" spans="2:13" ht="15" customHeight="1" x14ac:dyDescent="0.25">
      <c r="B6642" s="289">
        <v>6606</v>
      </c>
      <c r="C6642" s="261">
        <v>123</v>
      </c>
      <c r="D6642" s="244" t="s">
        <v>12</v>
      </c>
      <c r="E6642" s="263">
        <v>52</v>
      </c>
      <c r="F6642" s="294" t="s">
        <v>126</v>
      </c>
      <c r="G6642" s="294" t="s">
        <v>852</v>
      </c>
      <c r="H6642" s="298">
        <v>1</v>
      </c>
      <c r="M6642" s="274"/>
    </row>
    <row r="6643" spans="2:13" ht="15" customHeight="1" x14ac:dyDescent="0.25">
      <c r="B6643" s="289">
        <v>6606</v>
      </c>
      <c r="C6643" s="261">
        <v>128</v>
      </c>
      <c r="D6643" s="244" t="s">
        <v>11</v>
      </c>
      <c r="E6643" s="263">
        <v>2</v>
      </c>
      <c r="F6643" s="294" t="s">
        <v>511</v>
      </c>
      <c r="G6643" s="294" t="s">
        <v>126</v>
      </c>
      <c r="H6643" s="298">
        <v>1</v>
      </c>
      <c r="M6643" s="274"/>
    </row>
    <row r="6644" spans="2:13" ht="15" customHeight="1" x14ac:dyDescent="0.25">
      <c r="B6644" s="289">
        <v>6608</v>
      </c>
      <c r="C6644" s="261">
        <v>120</v>
      </c>
      <c r="D6644" s="244" t="s">
        <v>12</v>
      </c>
      <c r="E6644" s="263">
        <v>1</v>
      </c>
      <c r="F6644" s="294" t="s">
        <v>126</v>
      </c>
      <c r="G6644" s="294" t="s">
        <v>426</v>
      </c>
      <c r="H6644" s="298">
        <v>1</v>
      </c>
      <c r="M6644" s="274"/>
    </row>
    <row r="6645" spans="2:13" ht="15" customHeight="1" x14ac:dyDescent="0.25">
      <c r="B6645" s="289">
        <v>6608</v>
      </c>
      <c r="C6645" s="261">
        <v>123</v>
      </c>
      <c r="D6645" s="244" t="s">
        <v>11</v>
      </c>
      <c r="E6645" s="263">
        <v>2</v>
      </c>
      <c r="F6645" s="294" t="s">
        <v>420</v>
      </c>
      <c r="G6645" s="294" t="s">
        <v>126</v>
      </c>
      <c r="H6645" s="298">
        <v>1</v>
      </c>
      <c r="M6645" s="274"/>
    </row>
    <row r="6646" spans="2:13" ht="15" customHeight="1" x14ac:dyDescent="0.25">
      <c r="B6646" s="289">
        <v>6609</v>
      </c>
      <c r="C6646" s="261">
        <v>120</v>
      </c>
      <c r="D6646" s="244" t="s">
        <v>12</v>
      </c>
      <c r="E6646" s="263">
        <v>1</v>
      </c>
      <c r="F6646" s="294" t="s">
        <v>126</v>
      </c>
      <c r="G6646" s="294" t="s">
        <v>426</v>
      </c>
      <c r="H6646" s="298">
        <v>1</v>
      </c>
      <c r="M6646" s="274"/>
    </row>
    <row r="6647" spans="2:13" ht="15" customHeight="1" x14ac:dyDescent="0.25">
      <c r="B6647" s="289">
        <v>6609</v>
      </c>
      <c r="C6647" s="261">
        <v>123</v>
      </c>
      <c r="D6647" s="244" t="s">
        <v>12</v>
      </c>
      <c r="E6647" s="263">
        <v>35</v>
      </c>
      <c r="F6647" s="294" t="s">
        <v>126</v>
      </c>
      <c r="G6647" s="294" t="s">
        <v>853</v>
      </c>
      <c r="H6647" s="298">
        <v>1</v>
      </c>
      <c r="M6647" s="274"/>
    </row>
    <row r="6648" spans="2:13" ht="15" customHeight="1" x14ac:dyDescent="0.25">
      <c r="B6648" s="289">
        <v>6610</v>
      </c>
      <c r="C6648" s="261">
        <v>120</v>
      </c>
      <c r="D6648" s="244" t="s">
        <v>12</v>
      </c>
      <c r="E6648" s="263">
        <v>1</v>
      </c>
      <c r="F6648" s="294" t="s">
        <v>126</v>
      </c>
      <c r="G6648" s="294" t="s">
        <v>426</v>
      </c>
      <c r="H6648" s="298">
        <v>1</v>
      </c>
      <c r="M6648" s="274"/>
    </row>
    <row r="6649" spans="2:13" ht="15" customHeight="1" x14ac:dyDescent="0.25">
      <c r="B6649" s="289">
        <v>6610</v>
      </c>
      <c r="C6649" s="261">
        <v>123</v>
      </c>
      <c r="D6649" s="244" t="s">
        <v>12</v>
      </c>
      <c r="E6649" s="263">
        <v>1</v>
      </c>
      <c r="F6649" s="294" t="s">
        <v>126</v>
      </c>
      <c r="G6649" s="294" t="s">
        <v>235</v>
      </c>
      <c r="H6649" s="298">
        <v>1</v>
      </c>
      <c r="M6649" s="274"/>
    </row>
    <row r="6650" spans="2:13" ht="15" customHeight="1" x14ac:dyDescent="0.25">
      <c r="B6650" s="289">
        <v>6611</v>
      </c>
      <c r="C6650" s="261">
        <v>120</v>
      </c>
      <c r="D6650" s="244" t="s">
        <v>12</v>
      </c>
      <c r="E6650" s="263">
        <v>1</v>
      </c>
      <c r="F6650" s="294" t="s">
        <v>126</v>
      </c>
      <c r="G6650" s="294" t="s">
        <v>426</v>
      </c>
      <c r="H6650" s="298">
        <v>1</v>
      </c>
      <c r="M6650" s="274"/>
    </row>
    <row r="6651" spans="2:13" ht="15" customHeight="1" x14ac:dyDescent="0.25">
      <c r="B6651" s="289">
        <v>6611</v>
      </c>
      <c r="C6651" s="261">
        <v>123</v>
      </c>
      <c r="D6651" s="244" t="s">
        <v>12</v>
      </c>
      <c r="E6651" s="263">
        <v>2</v>
      </c>
      <c r="F6651" s="294" t="s">
        <v>126</v>
      </c>
      <c r="G6651" s="294" t="s">
        <v>341</v>
      </c>
      <c r="H6651" s="298">
        <v>1</v>
      </c>
      <c r="M6651" s="274"/>
    </row>
    <row r="6652" spans="2:13" ht="15" customHeight="1" x14ac:dyDescent="0.25">
      <c r="B6652" s="289">
        <v>6612</v>
      </c>
      <c r="C6652" s="261">
        <v>120</v>
      </c>
      <c r="D6652" s="244" t="s">
        <v>12</v>
      </c>
      <c r="E6652" s="263">
        <v>1</v>
      </c>
      <c r="F6652" s="294" t="s">
        <v>126</v>
      </c>
      <c r="G6652" s="294" t="s">
        <v>426</v>
      </c>
      <c r="H6652" s="298">
        <v>1</v>
      </c>
      <c r="M6652" s="274"/>
    </row>
    <row r="6653" spans="2:13" ht="15" customHeight="1" x14ac:dyDescent="0.25">
      <c r="B6653" s="289">
        <v>6612</v>
      </c>
      <c r="C6653" s="261">
        <v>127</v>
      </c>
      <c r="D6653" s="244" t="s">
        <v>12</v>
      </c>
      <c r="E6653" s="263">
        <v>13</v>
      </c>
      <c r="F6653" s="294" t="s">
        <v>126</v>
      </c>
      <c r="G6653" s="294" t="s">
        <v>854</v>
      </c>
      <c r="H6653" s="298">
        <v>1</v>
      </c>
      <c r="M6653" s="274"/>
    </row>
    <row r="6654" spans="2:13" ht="15" customHeight="1" x14ac:dyDescent="0.25">
      <c r="B6654" s="289">
        <v>6613</v>
      </c>
      <c r="C6654" s="261">
        <v>120</v>
      </c>
      <c r="D6654" s="244" t="s">
        <v>12</v>
      </c>
      <c r="E6654" s="263">
        <v>1</v>
      </c>
      <c r="F6654" s="294" t="s">
        <v>126</v>
      </c>
      <c r="G6654" s="294" t="s">
        <v>426</v>
      </c>
      <c r="H6654" s="298">
        <v>1</v>
      </c>
      <c r="M6654" s="274"/>
    </row>
    <row r="6655" spans="2:13" ht="15" customHeight="1" x14ac:dyDescent="0.25">
      <c r="B6655" s="289">
        <v>6613</v>
      </c>
      <c r="C6655" s="261">
        <v>127</v>
      </c>
      <c r="D6655" s="244" t="s">
        <v>12</v>
      </c>
      <c r="E6655" s="263">
        <v>18</v>
      </c>
      <c r="F6655" s="294" t="s">
        <v>126</v>
      </c>
      <c r="G6655" s="294" t="s">
        <v>855</v>
      </c>
      <c r="H6655" s="298">
        <v>1</v>
      </c>
      <c r="M6655" s="274"/>
    </row>
    <row r="6656" spans="2:13" ht="15" customHeight="1" x14ac:dyDescent="0.25">
      <c r="B6656" s="289">
        <v>6614</v>
      </c>
      <c r="C6656" s="261">
        <v>120</v>
      </c>
      <c r="D6656" s="244" t="s">
        <v>12</v>
      </c>
      <c r="E6656" s="263">
        <v>1</v>
      </c>
      <c r="F6656" s="294" t="s">
        <v>126</v>
      </c>
      <c r="G6656" s="294" t="s">
        <v>426</v>
      </c>
      <c r="H6656" s="298">
        <v>1</v>
      </c>
      <c r="M6656" s="274"/>
    </row>
    <row r="6657" spans="2:13" ht="15" customHeight="1" x14ac:dyDescent="0.25">
      <c r="B6657" s="289">
        <v>6614</v>
      </c>
      <c r="C6657" s="261">
        <v>123</v>
      </c>
      <c r="D6657" s="244" t="s">
        <v>12</v>
      </c>
      <c r="E6657" s="263">
        <v>90</v>
      </c>
      <c r="F6657" s="294" t="s">
        <v>126</v>
      </c>
      <c r="G6657" s="294" t="s">
        <v>856</v>
      </c>
      <c r="H6657" s="298">
        <v>1</v>
      </c>
      <c r="M6657" s="274"/>
    </row>
    <row r="6658" spans="2:13" ht="15" customHeight="1" x14ac:dyDescent="0.25">
      <c r="B6658" s="289">
        <v>6615</v>
      </c>
      <c r="C6658" s="261">
        <v>120</v>
      </c>
      <c r="D6658" s="244" t="s">
        <v>12</v>
      </c>
      <c r="E6658" s="263">
        <v>1</v>
      </c>
      <c r="F6658" s="294" t="s">
        <v>126</v>
      </c>
      <c r="G6658" s="294" t="s">
        <v>426</v>
      </c>
      <c r="H6658" s="298">
        <v>1</v>
      </c>
      <c r="M6658" s="274"/>
    </row>
    <row r="6659" spans="2:13" ht="15" customHeight="1" x14ac:dyDescent="0.25">
      <c r="B6659" s="289">
        <v>6615</v>
      </c>
      <c r="C6659" s="261">
        <v>123</v>
      </c>
      <c r="D6659" s="244" t="s">
        <v>12</v>
      </c>
      <c r="E6659" s="263">
        <v>40</v>
      </c>
      <c r="F6659" s="294" t="s">
        <v>126</v>
      </c>
      <c r="G6659" s="294" t="s">
        <v>857</v>
      </c>
      <c r="H6659" s="298">
        <v>1</v>
      </c>
      <c r="M6659" s="274"/>
    </row>
    <row r="6660" spans="2:13" ht="15" customHeight="1" x14ac:dyDescent="0.25">
      <c r="B6660" s="289">
        <v>6616</v>
      </c>
      <c r="C6660" s="261">
        <v>120</v>
      </c>
      <c r="D6660" s="244" t="s">
        <v>12</v>
      </c>
      <c r="E6660" s="263">
        <v>1</v>
      </c>
      <c r="F6660" s="294" t="s">
        <v>126</v>
      </c>
      <c r="G6660" s="294" t="s">
        <v>426</v>
      </c>
      <c r="H6660" s="298">
        <v>1</v>
      </c>
      <c r="M6660" s="274"/>
    </row>
    <row r="6661" spans="2:13" ht="15" customHeight="1" x14ac:dyDescent="0.25">
      <c r="B6661" s="289">
        <v>6617</v>
      </c>
      <c r="C6661" s="261">
        <v>120</v>
      </c>
      <c r="D6661" s="244" t="s">
        <v>12</v>
      </c>
      <c r="E6661" s="263">
        <v>1</v>
      </c>
      <c r="F6661" s="294" t="s">
        <v>126</v>
      </c>
      <c r="G6661" s="294" t="s">
        <v>426</v>
      </c>
      <c r="H6661" s="298">
        <v>1</v>
      </c>
      <c r="M6661" s="274"/>
    </row>
    <row r="6662" spans="2:13" ht="15" customHeight="1" x14ac:dyDescent="0.25">
      <c r="B6662" s="289">
        <v>6618</v>
      </c>
      <c r="C6662" s="261">
        <v>132</v>
      </c>
      <c r="D6662" s="244" t="s">
        <v>11</v>
      </c>
      <c r="E6662" s="263">
        <v>6</v>
      </c>
      <c r="F6662" s="294" t="s">
        <v>858</v>
      </c>
      <c r="G6662" s="294" t="s">
        <v>126</v>
      </c>
      <c r="H6662" s="298">
        <v>1</v>
      </c>
      <c r="M6662" s="274"/>
    </row>
    <row r="6663" spans="2:13" ht="15" customHeight="1" x14ac:dyDescent="0.25">
      <c r="B6663" s="289">
        <v>6619</v>
      </c>
      <c r="C6663" s="261">
        <v>120</v>
      </c>
      <c r="D6663" s="244" t="s">
        <v>12</v>
      </c>
      <c r="E6663" s="263">
        <v>1</v>
      </c>
      <c r="F6663" s="294" t="s">
        <v>126</v>
      </c>
      <c r="G6663" s="294" t="s">
        <v>426</v>
      </c>
      <c r="H6663" s="298">
        <v>1</v>
      </c>
      <c r="M6663" s="274"/>
    </row>
    <row r="6664" spans="2:13" ht="15" customHeight="1" x14ac:dyDescent="0.25">
      <c r="B6664" s="289">
        <v>6620</v>
      </c>
      <c r="C6664" s="261">
        <v>121</v>
      </c>
      <c r="D6664" s="244" t="s">
        <v>12</v>
      </c>
      <c r="E6664" s="263">
        <v>14</v>
      </c>
      <c r="F6664" s="294" t="s">
        <v>126</v>
      </c>
      <c r="G6664" s="294" t="s">
        <v>859</v>
      </c>
      <c r="H6664" s="298">
        <v>1</v>
      </c>
      <c r="M6664" s="274"/>
    </row>
    <row r="6665" spans="2:13" ht="15" customHeight="1" x14ac:dyDescent="0.25">
      <c r="B6665" s="289">
        <v>6621</v>
      </c>
      <c r="C6665" s="261">
        <v>120</v>
      </c>
      <c r="D6665" s="244" t="s">
        <v>12</v>
      </c>
      <c r="E6665" s="263">
        <v>1</v>
      </c>
      <c r="F6665" s="294" t="s">
        <v>126</v>
      </c>
      <c r="G6665" s="294" t="s">
        <v>426</v>
      </c>
      <c r="H6665" s="298">
        <v>1</v>
      </c>
      <c r="M6665" s="274"/>
    </row>
    <row r="6666" spans="2:13" ht="15" customHeight="1" x14ac:dyDescent="0.25">
      <c r="B6666" s="289">
        <v>6622</v>
      </c>
      <c r="C6666" s="261">
        <v>123</v>
      </c>
      <c r="D6666" s="244" t="s">
        <v>12</v>
      </c>
      <c r="E6666" s="263">
        <v>14</v>
      </c>
      <c r="F6666" s="294" t="s">
        <v>126</v>
      </c>
      <c r="G6666" s="294" t="s">
        <v>860</v>
      </c>
      <c r="H6666" s="298">
        <v>1</v>
      </c>
      <c r="M6666" s="274"/>
    </row>
    <row r="6667" spans="2:13" ht="15" customHeight="1" x14ac:dyDescent="0.25">
      <c r="B6667" s="289">
        <v>6623</v>
      </c>
      <c r="C6667" s="261">
        <v>123</v>
      </c>
      <c r="D6667" s="244" t="s">
        <v>12</v>
      </c>
      <c r="E6667" s="263">
        <v>60</v>
      </c>
      <c r="F6667" s="294" t="s">
        <v>126</v>
      </c>
      <c r="G6667" s="294" t="s">
        <v>861</v>
      </c>
      <c r="H6667" s="298">
        <v>1</v>
      </c>
      <c r="M6667" s="274"/>
    </row>
    <row r="6668" spans="2:13" ht="15" customHeight="1" x14ac:dyDescent="0.25">
      <c r="B6668" s="289">
        <v>6624</v>
      </c>
      <c r="C6668" s="261">
        <v>123</v>
      </c>
      <c r="D6668" s="244" t="s">
        <v>12</v>
      </c>
      <c r="E6668" s="263">
        <v>65</v>
      </c>
      <c r="F6668" s="294" t="s">
        <v>126</v>
      </c>
      <c r="G6668" s="294" t="s">
        <v>862</v>
      </c>
      <c r="H6668" s="298">
        <v>1</v>
      </c>
      <c r="M6668" s="274"/>
    </row>
    <row r="6669" spans="2:13" ht="15" customHeight="1" x14ac:dyDescent="0.25">
      <c r="B6669" s="289">
        <v>6625</v>
      </c>
      <c r="C6669" s="261">
        <v>134</v>
      </c>
      <c r="D6669" s="244" t="s">
        <v>11</v>
      </c>
      <c r="E6669" s="263">
        <v>4</v>
      </c>
      <c r="F6669" s="294" t="s">
        <v>471</v>
      </c>
      <c r="G6669" s="294" t="s">
        <v>126</v>
      </c>
      <c r="H6669" s="298">
        <v>1</v>
      </c>
      <c r="M6669" s="274"/>
    </row>
    <row r="6670" spans="2:13" ht="15" customHeight="1" x14ac:dyDescent="0.25">
      <c r="B6670" s="289">
        <v>6626</v>
      </c>
      <c r="C6670" s="261">
        <v>122</v>
      </c>
      <c r="D6670" s="244" t="s">
        <v>12</v>
      </c>
      <c r="E6670" s="263">
        <v>3</v>
      </c>
      <c r="F6670" s="294" t="s">
        <v>126</v>
      </c>
      <c r="G6670" s="294" t="s">
        <v>863</v>
      </c>
      <c r="H6670" s="298">
        <v>1</v>
      </c>
      <c r="M6670" s="274"/>
    </row>
    <row r="6671" spans="2:13" ht="15" customHeight="1" x14ac:dyDescent="0.25">
      <c r="B6671" s="289">
        <v>6627</v>
      </c>
      <c r="C6671" s="261">
        <v>121</v>
      </c>
      <c r="D6671" s="244" t="s">
        <v>11</v>
      </c>
      <c r="E6671" s="263">
        <v>6</v>
      </c>
      <c r="F6671" s="294" t="s">
        <v>864</v>
      </c>
      <c r="G6671" s="294" t="s">
        <v>126</v>
      </c>
      <c r="H6671" s="298">
        <v>1</v>
      </c>
      <c r="M6671" s="274"/>
    </row>
    <row r="6672" spans="2:13" ht="15" customHeight="1" x14ac:dyDescent="0.25">
      <c r="B6672" s="289">
        <v>6628</v>
      </c>
      <c r="C6672" s="261">
        <v>121</v>
      </c>
      <c r="D6672" s="244" t="s">
        <v>11</v>
      </c>
      <c r="E6672" s="263">
        <v>1</v>
      </c>
      <c r="F6672" s="294" t="s">
        <v>437</v>
      </c>
      <c r="G6672" s="294" t="s">
        <v>126</v>
      </c>
      <c r="H6672" s="298">
        <v>1</v>
      </c>
      <c r="M6672" s="274"/>
    </row>
    <row r="6673" spans="2:13" ht="15" customHeight="1" x14ac:dyDescent="0.25">
      <c r="B6673" s="289">
        <v>6629</v>
      </c>
      <c r="C6673" s="261">
        <v>122</v>
      </c>
      <c r="D6673" s="244" t="s">
        <v>11</v>
      </c>
      <c r="E6673" s="263">
        <v>8</v>
      </c>
      <c r="F6673" s="294" t="s">
        <v>554</v>
      </c>
      <c r="G6673" s="294" t="s">
        <v>126</v>
      </c>
      <c r="H6673" s="298">
        <v>1</v>
      </c>
      <c r="M6673" s="274"/>
    </row>
    <row r="6674" spans="2:13" ht="15" customHeight="1" x14ac:dyDescent="0.25">
      <c r="B6674" s="289">
        <v>6630</v>
      </c>
      <c r="C6674" s="261">
        <v>123</v>
      </c>
      <c r="D6674" s="244" t="s">
        <v>11</v>
      </c>
      <c r="E6674" s="263">
        <v>4</v>
      </c>
      <c r="F6674" s="294" t="s">
        <v>833</v>
      </c>
      <c r="G6674" s="294" t="s">
        <v>126</v>
      </c>
      <c r="H6674" s="298">
        <v>1</v>
      </c>
      <c r="M6674" s="274"/>
    </row>
    <row r="6675" spans="2:13" ht="15" customHeight="1" x14ac:dyDescent="0.25">
      <c r="B6675" s="289">
        <v>6631</v>
      </c>
      <c r="C6675" s="261">
        <v>123</v>
      </c>
      <c r="D6675" s="244" t="s">
        <v>12</v>
      </c>
      <c r="E6675" s="263">
        <v>1</v>
      </c>
      <c r="F6675" s="294" t="s">
        <v>126</v>
      </c>
      <c r="G6675" s="294" t="s">
        <v>426</v>
      </c>
      <c r="H6675" s="298">
        <v>1</v>
      </c>
      <c r="M6675" s="274"/>
    </row>
    <row r="6676" spans="2:13" ht="15" customHeight="1" x14ac:dyDescent="0.25">
      <c r="B6676" s="289">
        <v>6633</v>
      </c>
      <c r="C6676" s="261">
        <v>123</v>
      </c>
      <c r="D6676" s="244" t="s">
        <v>12</v>
      </c>
      <c r="E6676" s="263">
        <v>96</v>
      </c>
      <c r="F6676" s="294" t="s">
        <v>126</v>
      </c>
      <c r="G6676" s="294" t="s">
        <v>865</v>
      </c>
      <c r="H6676" s="298">
        <v>1</v>
      </c>
      <c r="M6676" s="274"/>
    </row>
    <row r="6677" spans="2:13" ht="15" customHeight="1" x14ac:dyDescent="0.25">
      <c r="B6677" s="289">
        <v>6634</v>
      </c>
      <c r="C6677" s="261">
        <v>123</v>
      </c>
      <c r="D6677" s="244" t="s">
        <v>12</v>
      </c>
      <c r="E6677" s="263">
        <v>76</v>
      </c>
      <c r="F6677" s="294" t="s">
        <v>126</v>
      </c>
      <c r="G6677" s="294" t="s">
        <v>866</v>
      </c>
      <c r="H6677" s="298">
        <v>1</v>
      </c>
      <c r="M6677" s="274"/>
    </row>
    <row r="6678" spans="2:13" ht="15" customHeight="1" x14ac:dyDescent="0.25">
      <c r="B6678" s="289">
        <v>6635</v>
      </c>
      <c r="C6678" s="261">
        <v>123</v>
      </c>
      <c r="D6678" s="244" t="s">
        <v>11</v>
      </c>
      <c r="E6678" s="263">
        <v>4</v>
      </c>
      <c r="F6678" s="294" t="s">
        <v>833</v>
      </c>
      <c r="G6678" s="294" t="s">
        <v>126</v>
      </c>
      <c r="H6678" s="298">
        <v>1</v>
      </c>
      <c r="M6678" s="274"/>
    </row>
    <row r="6679" spans="2:13" ht="15" customHeight="1" x14ac:dyDescent="0.25">
      <c r="B6679" s="289">
        <v>6635</v>
      </c>
      <c r="C6679" s="261">
        <v>131</v>
      </c>
      <c r="D6679" s="244" t="s">
        <v>12</v>
      </c>
      <c r="E6679" s="263">
        <v>1</v>
      </c>
      <c r="F6679" s="294" t="s">
        <v>126</v>
      </c>
      <c r="G6679" s="294" t="s">
        <v>437</v>
      </c>
      <c r="H6679" s="298">
        <v>1</v>
      </c>
      <c r="M6679" s="274"/>
    </row>
    <row r="6680" spans="2:13" ht="15" customHeight="1" x14ac:dyDescent="0.25">
      <c r="B6680" s="289">
        <v>6636</v>
      </c>
      <c r="C6680" s="261">
        <v>123</v>
      </c>
      <c r="D6680" s="244" t="s">
        <v>12</v>
      </c>
      <c r="E6680" s="263">
        <v>24</v>
      </c>
      <c r="F6680" s="294" t="s">
        <v>126</v>
      </c>
      <c r="G6680" s="294" t="s">
        <v>867</v>
      </c>
      <c r="H6680" s="298">
        <v>1</v>
      </c>
      <c r="M6680" s="274"/>
    </row>
    <row r="6681" spans="2:13" ht="15" customHeight="1" x14ac:dyDescent="0.25">
      <c r="B6681" s="289">
        <v>6637</v>
      </c>
      <c r="C6681" s="261">
        <v>123</v>
      </c>
      <c r="D6681" s="244" t="s">
        <v>11</v>
      </c>
      <c r="E6681" s="263">
        <v>4</v>
      </c>
      <c r="F6681" s="294" t="s">
        <v>833</v>
      </c>
      <c r="G6681" s="294" t="s">
        <v>126</v>
      </c>
      <c r="H6681" s="298">
        <v>1</v>
      </c>
      <c r="M6681" s="274"/>
    </row>
    <row r="6682" spans="2:13" ht="15" customHeight="1" x14ac:dyDescent="0.25">
      <c r="B6682" s="289">
        <v>6638</v>
      </c>
      <c r="C6682" s="261">
        <v>123</v>
      </c>
      <c r="D6682" s="244" t="s">
        <v>12</v>
      </c>
      <c r="E6682" s="263">
        <v>54</v>
      </c>
      <c r="F6682" s="294" t="s">
        <v>126</v>
      </c>
      <c r="G6682" s="294" t="s">
        <v>868</v>
      </c>
      <c r="H6682" s="298">
        <v>1</v>
      </c>
      <c r="M6682" s="274"/>
    </row>
    <row r="6683" spans="2:13" ht="15" customHeight="1" x14ac:dyDescent="0.25">
      <c r="B6683" s="289">
        <v>6640</v>
      </c>
      <c r="C6683" s="261">
        <v>123</v>
      </c>
      <c r="D6683" s="244" t="s">
        <v>12</v>
      </c>
      <c r="E6683" s="263">
        <v>64</v>
      </c>
      <c r="F6683" s="294" t="s">
        <v>126</v>
      </c>
      <c r="G6683" s="294" t="s">
        <v>844</v>
      </c>
      <c r="H6683" s="298">
        <v>1</v>
      </c>
      <c r="M6683" s="274"/>
    </row>
    <row r="6684" spans="2:13" ht="15" customHeight="1" x14ac:dyDescent="0.25">
      <c r="B6684" s="289">
        <v>6641</v>
      </c>
      <c r="C6684" s="261">
        <v>120</v>
      </c>
      <c r="D6684" s="244" t="s">
        <v>11</v>
      </c>
      <c r="E6684" s="263">
        <v>11</v>
      </c>
      <c r="F6684" s="294" t="s">
        <v>324</v>
      </c>
      <c r="G6684" s="294" t="s">
        <v>126</v>
      </c>
      <c r="H6684" s="298">
        <v>1</v>
      </c>
      <c r="M6684" s="274"/>
    </row>
    <row r="6685" spans="2:13" ht="15" customHeight="1" x14ac:dyDescent="0.25">
      <c r="B6685" s="289">
        <v>6642</v>
      </c>
      <c r="C6685" s="261">
        <v>120</v>
      </c>
      <c r="D6685" s="244" t="s">
        <v>11</v>
      </c>
      <c r="E6685" s="263">
        <v>1</v>
      </c>
      <c r="F6685" s="294" t="s">
        <v>235</v>
      </c>
      <c r="G6685" s="294" t="s">
        <v>126</v>
      </c>
      <c r="H6685" s="298">
        <v>1</v>
      </c>
      <c r="M6685" s="274"/>
    </row>
    <row r="6686" spans="2:13" ht="15" customHeight="1" x14ac:dyDescent="0.25">
      <c r="B6686" s="289">
        <v>6644</v>
      </c>
      <c r="C6686" s="261">
        <v>123</v>
      </c>
      <c r="D6686" s="244" t="s">
        <v>12</v>
      </c>
      <c r="E6686" s="263">
        <v>72</v>
      </c>
      <c r="F6686" s="294" t="s">
        <v>126</v>
      </c>
      <c r="G6686" s="294" t="s">
        <v>869</v>
      </c>
      <c r="H6686" s="298">
        <v>1</v>
      </c>
      <c r="M6686" s="274"/>
    </row>
    <row r="6687" spans="2:13" ht="15" customHeight="1" x14ac:dyDescent="0.25">
      <c r="B6687" s="289">
        <v>6645</v>
      </c>
      <c r="C6687" s="261">
        <v>123</v>
      </c>
      <c r="D6687" s="244" t="s">
        <v>12</v>
      </c>
      <c r="E6687" s="263">
        <v>1</v>
      </c>
      <c r="F6687" s="294" t="s">
        <v>126</v>
      </c>
      <c r="G6687" s="294" t="s">
        <v>139</v>
      </c>
      <c r="H6687" s="298">
        <v>1</v>
      </c>
      <c r="M6687" s="274"/>
    </row>
    <row r="6688" spans="2:13" ht="15" customHeight="1" x14ac:dyDescent="0.25">
      <c r="B6688" s="289">
        <v>6646</v>
      </c>
      <c r="C6688" s="261">
        <v>123</v>
      </c>
      <c r="D6688" s="244" t="s">
        <v>12</v>
      </c>
      <c r="E6688" s="263">
        <v>74</v>
      </c>
      <c r="F6688" s="294" t="s">
        <v>126</v>
      </c>
      <c r="G6688" s="294" t="s">
        <v>870</v>
      </c>
      <c r="H6688" s="298">
        <v>1</v>
      </c>
      <c r="M6688" s="274"/>
    </row>
    <row r="6689" spans="2:13" ht="15" customHeight="1" x14ac:dyDescent="0.25">
      <c r="B6689" s="289">
        <v>6647</v>
      </c>
      <c r="C6689" s="261">
        <v>119</v>
      </c>
      <c r="D6689" s="244" t="s">
        <v>12</v>
      </c>
      <c r="E6689" s="263">
        <v>3</v>
      </c>
      <c r="F6689" s="294" t="s">
        <v>126</v>
      </c>
      <c r="G6689" s="294" t="s">
        <v>825</v>
      </c>
      <c r="H6689" s="298">
        <v>1</v>
      </c>
      <c r="M6689" s="274"/>
    </row>
    <row r="6690" spans="2:13" ht="15" customHeight="1" x14ac:dyDescent="0.25">
      <c r="B6690" s="289">
        <v>6648</v>
      </c>
      <c r="C6690" s="261">
        <v>123</v>
      </c>
      <c r="D6690" s="244" t="s">
        <v>11</v>
      </c>
      <c r="E6690" s="263">
        <v>6</v>
      </c>
      <c r="F6690" s="294" t="s">
        <v>464</v>
      </c>
      <c r="G6690" s="294" t="s">
        <v>126</v>
      </c>
      <c r="H6690" s="298">
        <v>1</v>
      </c>
      <c r="M6690" s="274"/>
    </row>
    <row r="6691" spans="2:13" ht="15" customHeight="1" x14ac:dyDescent="0.25">
      <c r="B6691" s="289">
        <v>6648</v>
      </c>
      <c r="C6691" s="261">
        <v>133</v>
      </c>
      <c r="D6691" s="244" t="s">
        <v>11</v>
      </c>
      <c r="E6691" s="263">
        <v>1</v>
      </c>
      <c r="F6691" s="294" t="s">
        <v>235</v>
      </c>
      <c r="G6691" s="294" t="s">
        <v>126</v>
      </c>
      <c r="H6691" s="298">
        <v>1</v>
      </c>
      <c r="M6691" s="274"/>
    </row>
    <row r="6692" spans="2:13" ht="15" customHeight="1" x14ac:dyDescent="0.25">
      <c r="B6692" s="289">
        <v>6649</v>
      </c>
      <c r="C6692" s="261">
        <v>123</v>
      </c>
      <c r="D6692" s="244" t="s">
        <v>12</v>
      </c>
      <c r="E6692" s="263">
        <v>5</v>
      </c>
      <c r="F6692" s="294" t="s">
        <v>126</v>
      </c>
      <c r="G6692" s="294" t="s">
        <v>871</v>
      </c>
      <c r="H6692" s="298">
        <v>1</v>
      </c>
      <c r="M6692" s="274"/>
    </row>
    <row r="6693" spans="2:13" ht="15" customHeight="1" x14ac:dyDescent="0.25">
      <c r="B6693" s="289">
        <v>6650</v>
      </c>
      <c r="C6693" s="261">
        <v>123</v>
      </c>
      <c r="D6693" s="244" t="s">
        <v>12</v>
      </c>
      <c r="E6693" s="263">
        <v>2</v>
      </c>
      <c r="F6693" s="294" t="s">
        <v>126</v>
      </c>
      <c r="G6693" s="294" t="s">
        <v>587</v>
      </c>
      <c r="H6693" s="298">
        <v>1</v>
      </c>
      <c r="M6693" s="274"/>
    </row>
    <row r="6694" spans="2:13" ht="15" customHeight="1" x14ac:dyDescent="0.25">
      <c r="B6694" s="289">
        <v>6651</v>
      </c>
      <c r="C6694" s="261">
        <v>119</v>
      </c>
      <c r="D6694" s="244" t="s">
        <v>12</v>
      </c>
      <c r="E6694" s="263">
        <v>7</v>
      </c>
      <c r="F6694" s="294" t="s">
        <v>126</v>
      </c>
      <c r="G6694" s="294" t="s">
        <v>872</v>
      </c>
      <c r="H6694" s="298">
        <v>1</v>
      </c>
      <c r="M6694" s="274"/>
    </row>
    <row r="6695" spans="2:13" ht="15" customHeight="1" x14ac:dyDescent="0.25">
      <c r="B6695" s="289">
        <v>6652</v>
      </c>
      <c r="C6695" s="261">
        <v>123</v>
      </c>
      <c r="D6695" s="244" t="s">
        <v>12</v>
      </c>
      <c r="E6695" s="263">
        <v>24</v>
      </c>
      <c r="F6695" s="294" t="s">
        <v>126</v>
      </c>
      <c r="G6695" s="294" t="s">
        <v>873</v>
      </c>
      <c r="H6695" s="298">
        <v>1</v>
      </c>
      <c r="M6695" s="274"/>
    </row>
    <row r="6696" spans="2:13" ht="15" customHeight="1" x14ac:dyDescent="0.25">
      <c r="B6696" s="289">
        <v>6653</v>
      </c>
      <c r="C6696" s="261">
        <v>126</v>
      </c>
      <c r="D6696" s="244" t="s">
        <v>12</v>
      </c>
      <c r="E6696" s="263">
        <v>4</v>
      </c>
      <c r="F6696" s="294" t="s">
        <v>126</v>
      </c>
      <c r="G6696" s="294" t="s">
        <v>874</v>
      </c>
      <c r="H6696" s="298">
        <v>1</v>
      </c>
      <c r="M6696" s="274"/>
    </row>
    <row r="6697" spans="2:13" ht="15" customHeight="1" x14ac:dyDescent="0.25">
      <c r="B6697" s="289">
        <v>6654</v>
      </c>
      <c r="C6697" s="261">
        <v>127</v>
      </c>
      <c r="D6697" s="244" t="s">
        <v>12</v>
      </c>
      <c r="E6697" s="263">
        <v>2</v>
      </c>
      <c r="F6697" s="294" t="s">
        <v>126</v>
      </c>
      <c r="G6697" s="294" t="s">
        <v>227</v>
      </c>
      <c r="H6697" s="298">
        <v>1</v>
      </c>
      <c r="M6697" s="274"/>
    </row>
    <row r="6698" spans="2:13" ht="15" customHeight="1" x14ac:dyDescent="0.25">
      <c r="B6698" s="289">
        <v>6655</v>
      </c>
      <c r="C6698" s="261">
        <v>119</v>
      </c>
      <c r="D6698" s="244" t="s">
        <v>12</v>
      </c>
      <c r="E6698" s="263">
        <v>1</v>
      </c>
      <c r="F6698" s="294" t="s">
        <v>126</v>
      </c>
      <c r="G6698" s="294" t="s">
        <v>139</v>
      </c>
      <c r="H6698" s="298">
        <v>1</v>
      </c>
      <c r="M6698" s="274"/>
    </row>
    <row r="6699" spans="2:13" ht="15" customHeight="1" x14ac:dyDescent="0.25">
      <c r="B6699" s="289">
        <v>6655</v>
      </c>
      <c r="C6699" s="261">
        <v>122</v>
      </c>
      <c r="D6699" s="244" t="s">
        <v>11</v>
      </c>
      <c r="E6699" s="263">
        <v>7</v>
      </c>
      <c r="F6699" s="294" t="s">
        <v>776</v>
      </c>
      <c r="G6699" s="294" t="s">
        <v>126</v>
      </c>
      <c r="H6699" s="298">
        <v>1</v>
      </c>
      <c r="M6699" s="274"/>
    </row>
    <row r="6700" spans="2:13" ht="15" customHeight="1" x14ac:dyDescent="0.25">
      <c r="B6700" s="289">
        <v>6656</v>
      </c>
      <c r="C6700" s="261">
        <v>119</v>
      </c>
      <c r="D6700" s="244" t="s">
        <v>12</v>
      </c>
      <c r="E6700" s="263">
        <v>1</v>
      </c>
      <c r="F6700" s="294" t="s">
        <v>126</v>
      </c>
      <c r="G6700" s="294" t="s">
        <v>139</v>
      </c>
      <c r="H6700" s="298">
        <v>1</v>
      </c>
      <c r="M6700" s="274"/>
    </row>
    <row r="6701" spans="2:13" ht="15" customHeight="1" x14ac:dyDescent="0.25">
      <c r="B6701" s="289">
        <v>6656</v>
      </c>
      <c r="C6701" s="261">
        <v>123</v>
      </c>
      <c r="D6701" s="244" t="s">
        <v>11</v>
      </c>
      <c r="E6701" s="263">
        <v>4</v>
      </c>
      <c r="F6701" s="294" t="s">
        <v>833</v>
      </c>
      <c r="G6701" s="294" t="s">
        <v>126</v>
      </c>
      <c r="H6701" s="298">
        <v>1</v>
      </c>
      <c r="M6701" s="274"/>
    </row>
    <row r="6702" spans="2:13" ht="15" customHeight="1" x14ac:dyDescent="0.25">
      <c r="B6702" s="289">
        <v>6657</v>
      </c>
      <c r="C6702" s="261">
        <v>131</v>
      </c>
      <c r="D6702" s="244" t="s">
        <v>12</v>
      </c>
      <c r="E6702" s="263">
        <v>7</v>
      </c>
      <c r="F6702" s="294" t="s">
        <v>126</v>
      </c>
      <c r="G6702" s="294" t="s">
        <v>875</v>
      </c>
      <c r="H6702" s="298">
        <v>1</v>
      </c>
      <c r="M6702" s="274"/>
    </row>
    <row r="6703" spans="2:13" ht="15" customHeight="1" x14ac:dyDescent="0.25">
      <c r="B6703" s="289">
        <v>6658</v>
      </c>
      <c r="C6703" s="261">
        <v>119</v>
      </c>
      <c r="D6703" s="244" t="s">
        <v>12</v>
      </c>
      <c r="E6703" s="263">
        <v>1</v>
      </c>
      <c r="F6703" s="294" t="s">
        <v>126</v>
      </c>
      <c r="G6703" s="294" t="s">
        <v>139</v>
      </c>
      <c r="H6703" s="298">
        <v>1</v>
      </c>
      <c r="M6703" s="274"/>
    </row>
    <row r="6704" spans="2:13" ht="15" customHeight="1" x14ac:dyDescent="0.25">
      <c r="B6704" s="289">
        <v>6659</v>
      </c>
      <c r="C6704" s="261">
        <v>119</v>
      </c>
      <c r="D6704" s="244" t="s">
        <v>12</v>
      </c>
      <c r="E6704" s="263">
        <v>1</v>
      </c>
      <c r="F6704" s="294" t="s">
        <v>126</v>
      </c>
      <c r="G6704" s="294" t="s">
        <v>139</v>
      </c>
      <c r="H6704" s="298">
        <v>1</v>
      </c>
      <c r="M6704" s="274"/>
    </row>
    <row r="6705" spans="2:13" ht="15" customHeight="1" x14ac:dyDescent="0.25">
      <c r="B6705" s="289">
        <v>6660</v>
      </c>
      <c r="C6705" s="261">
        <v>121</v>
      </c>
      <c r="D6705" s="244" t="s">
        <v>11</v>
      </c>
      <c r="E6705" s="263">
        <v>6</v>
      </c>
      <c r="F6705" s="294" t="s">
        <v>864</v>
      </c>
      <c r="G6705" s="294" t="s">
        <v>126</v>
      </c>
      <c r="H6705" s="298">
        <v>1</v>
      </c>
      <c r="M6705" s="274"/>
    </row>
    <row r="6706" spans="2:13" ht="15" customHeight="1" x14ac:dyDescent="0.25">
      <c r="B6706" s="289">
        <v>6661</v>
      </c>
      <c r="C6706" s="261">
        <v>123</v>
      </c>
      <c r="D6706" s="244" t="s">
        <v>12</v>
      </c>
      <c r="E6706" s="263">
        <v>32</v>
      </c>
      <c r="F6706" s="294" t="s">
        <v>126</v>
      </c>
      <c r="G6706" s="294" t="s">
        <v>876</v>
      </c>
      <c r="H6706" s="298">
        <v>1</v>
      </c>
      <c r="M6706" s="274"/>
    </row>
    <row r="6707" spans="2:13" ht="15" customHeight="1" x14ac:dyDescent="0.25">
      <c r="B6707" s="289">
        <v>6662</v>
      </c>
      <c r="C6707" s="261">
        <v>122</v>
      </c>
      <c r="D6707" s="244" t="s">
        <v>11</v>
      </c>
      <c r="E6707" s="263">
        <v>10</v>
      </c>
      <c r="F6707" s="294" t="s">
        <v>442</v>
      </c>
      <c r="G6707" s="294" t="s">
        <v>126</v>
      </c>
      <c r="H6707" s="298">
        <v>1</v>
      </c>
      <c r="M6707" s="274"/>
    </row>
    <row r="6708" spans="2:13" ht="15" customHeight="1" x14ac:dyDescent="0.25">
      <c r="B6708" s="289">
        <v>6663</v>
      </c>
      <c r="C6708" s="261">
        <v>119</v>
      </c>
      <c r="D6708" s="244" t="s">
        <v>11</v>
      </c>
      <c r="E6708" s="263">
        <v>13</v>
      </c>
      <c r="F6708" s="294" t="s">
        <v>877</v>
      </c>
      <c r="G6708" s="294" t="s">
        <v>126</v>
      </c>
      <c r="H6708" s="298">
        <v>1</v>
      </c>
      <c r="M6708" s="274"/>
    </row>
    <row r="6709" spans="2:13" ht="15" customHeight="1" x14ac:dyDescent="0.25">
      <c r="B6709" s="289">
        <v>6664</v>
      </c>
      <c r="C6709" s="261">
        <v>119</v>
      </c>
      <c r="D6709" s="244" t="s">
        <v>12</v>
      </c>
      <c r="E6709" s="263">
        <v>2</v>
      </c>
      <c r="F6709" s="294" t="s">
        <v>126</v>
      </c>
      <c r="G6709" s="294" t="s">
        <v>587</v>
      </c>
      <c r="H6709" s="298">
        <v>1</v>
      </c>
      <c r="M6709" s="274"/>
    </row>
    <row r="6710" spans="2:13" ht="15" customHeight="1" x14ac:dyDescent="0.25">
      <c r="B6710" s="289">
        <v>6665</v>
      </c>
      <c r="C6710" s="261">
        <v>123</v>
      </c>
      <c r="D6710" s="244" t="s">
        <v>11</v>
      </c>
      <c r="E6710" s="263">
        <v>1</v>
      </c>
      <c r="F6710" s="294" t="s">
        <v>139</v>
      </c>
      <c r="G6710" s="294" t="s">
        <v>126</v>
      </c>
      <c r="H6710" s="298">
        <v>1</v>
      </c>
      <c r="M6710" s="274"/>
    </row>
    <row r="6711" spans="2:13" ht="15" customHeight="1" x14ac:dyDescent="0.25">
      <c r="B6711" s="289">
        <v>6666</v>
      </c>
      <c r="C6711" s="261">
        <v>123</v>
      </c>
      <c r="D6711" s="244" t="s">
        <v>12</v>
      </c>
      <c r="E6711" s="263">
        <v>1</v>
      </c>
      <c r="F6711" s="294" t="s">
        <v>126</v>
      </c>
      <c r="G6711" s="294" t="s">
        <v>426</v>
      </c>
      <c r="H6711" s="298">
        <v>1</v>
      </c>
      <c r="M6711" s="274"/>
    </row>
    <row r="6712" spans="2:13" ht="15" customHeight="1" x14ac:dyDescent="0.25">
      <c r="B6712" s="289">
        <v>6668</v>
      </c>
      <c r="C6712" s="261">
        <v>123</v>
      </c>
      <c r="D6712" s="244" t="s">
        <v>12</v>
      </c>
      <c r="E6712" s="263">
        <v>1</v>
      </c>
      <c r="F6712" s="294" t="s">
        <v>126</v>
      </c>
      <c r="G6712" s="294" t="s">
        <v>139</v>
      </c>
      <c r="H6712" s="298">
        <v>1</v>
      </c>
      <c r="M6712" s="274"/>
    </row>
    <row r="6713" spans="2:13" ht="15" customHeight="1" x14ac:dyDescent="0.25">
      <c r="B6713" s="289">
        <v>6669</v>
      </c>
      <c r="C6713" s="261">
        <v>123</v>
      </c>
      <c r="D6713" s="244" t="s">
        <v>12</v>
      </c>
      <c r="E6713" s="263">
        <v>1</v>
      </c>
      <c r="F6713" s="294" t="s">
        <v>126</v>
      </c>
      <c r="G6713" s="294" t="s">
        <v>139</v>
      </c>
      <c r="H6713" s="298">
        <v>1</v>
      </c>
      <c r="M6713" s="274"/>
    </row>
    <row r="6714" spans="2:13" ht="15" customHeight="1" x14ac:dyDescent="0.25">
      <c r="B6714" s="289">
        <v>6670</v>
      </c>
      <c r="C6714" s="261">
        <v>130</v>
      </c>
      <c r="D6714" s="244" t="s">
        <v>11</v>
      </c>
      <c r="E6714" s="263">
        <v>8</v>
      </c>
      <c r="F6714" s="294" t="s">
        <v>478</v>
      </c>
      <c r="G6714" s="294" t="s">
        <v>126</v>
      </c>
      <c r="H6714" s="298">
        <v>1</v>
      </c>
      <c r="M6714" s="274"/>
    </row>
    <row r="6715" spans="2:13" ht="15" customHeight="1" x14ac:dyDescent="0.25">
      <c r="B6715" s="289">
        <v>6671</v>
      </c>
      <c r="C6715" s="261">
        <v>128</v>
      </c>
      <c r="D6715" s="244" t="s">
        <v>12</v>
      </c>
      <c r="E6715" s="263">
        <v>23</v>
      </c>
      <c r="F6715" s="294" t="s">
        <v>126</v>
      </c>
      <c r="G6715" s="294" t="s">
        <v>878</v>
      </c>
      <c r="H6715" s="298">
        <v>1</v>
      </c>
      <c r="M6715" s="274"/>
    </row>
    <row r="6716" spans="2:13" ht="15" customHeight="1" x14ac:dyDescent="0.25">
      <c r="B6716" s="289">
        <v>6672</v>
      </c>
      <c r="C6716" s="261">
        <v>119</v>
      </c>
      <c r="D6716" s="244" t="s">
        <v>12</v>
      </c>
      <c r="E6716" s="263">
        <v>5</v>
      </c>
      <c r="F6716" s="294" t="s">
        <v>126</v>
      </c>
      <c r="G6716" s="294" t="s">
        <v>879</v>
      </c>
      <c r="H6716" s="298">
        <v>1</v>
      </c>
      <c r="M6716" s="274"/>
    </row>
    <row r="6717" spans="2:13" ht="15" customHeight="1" x14ac:dyDescent="0.25">
      <c r="B6717" s="289">
        <v>6672</v>
      </c>
      <c r="C6717" s="261">
        <v>131</v>
      </c>
      <c r="D6717" s="244" t="s">
        <v>12</v>
      </c>
      <c r="E6717" s="263">
        <v>6</v>
      </c>
      <c r="F6717" s="294" t="s">
        <v>126</v>
      </c>
      <c r="G6717" s="294" t="s">
        <v>880</v>
      </c>
      <c r="H6717" s="298">
        <v>1</v>
      </c>
      <c r="M6717" s="274"/>
    </row>
    <row r="6718" spans="2:13" ht="15" customHeight="1" x14ac:dyDescent="0.25">
      <c r="B6718" s="289">
        <v>6673</v>
      </c>
      <c r="C6718" s="261">
        <v>123</v>
      </c>
      <c r="D6718" s="244" t="s">
        <v>11</v>
      </c>
      <c r="E6718" s="263">
        <v>1</v>
      </c>
      <c r="F6718" s="294" t="s">
        <v>139</v>
      </c>
      <c r="G6718" s="294" t="s">
        <v>126</v>
      </c>
      <c r="H6718" s="298">
        <v>1</v>
      </c>
      <c r="M6718" s="274"/>
    </row>
    <row r="6719" spans="2:13" ht="15" customHeight="1" x14ac:dyDescent="0.25">
      <c r="B6719" s="289">
        <v>6674</v>
      </c>
      <c r="C6719" s="261">
        <v>123</v>
      </c>
      <c r="D6719" s="244" t="s">
        <v>12</v>
      </c>
      <c r="E6719" s="263">
        <v>2</v>
      </c>
      <c r="F6719" s="294" t="s">
        <v>126</v>
      </c>
      <c r="G6719" s="294" t="s">
        <v>441</v>
      </c>
      <c r="H6719" s="298">
        <v>1</v>
      </c>
      <c r="M6719" s="274"/>
    </row>
    <row r="6720" spans="2:13" ht="15" customHeight="1" x14ac:dyDescent="0.25">
      <c r="B6720" s="289">
        <v>6675</v>
      </c>
      <c r="C6720" s="261">
        <v>123</v>
      </c>
      <c r="D6720" s="244" t="s">
        <v>12</v>
      </c>
      <c r="E6720" s="263">
        <v>90</v>
      </c>
      <c r="F6720" s="294" t="s">
        <v>126</v>
      </c>
      <c r="G6720" s="294" t="s">
        <v>881</v>
      </c>
      <c r="H6720" s="298">
        <v>1</v>
      </c>
      <c r="M6720" s="274"/>
    </row>
    <row r="6721" spans="2:13" ht="15" customHeight="1" x14ac:dyDescent="0.25">
      <c r="B6721" s="289">
        <v>6676</v>
      </c>
      <c r="C6721" s="261">
        <v>123</v>
      </c>
      <c r="D6721" s="244" t="s">
        <v>12</v>
      </c>
      <c r="E6721" s="263">
        <v>15</v>
      </c>
      <c r="F6721" s="294" t="s">
        <v>126</v>
      </c>
      <c r="G6721" s="294" t="s">
        <v>882</v>
      </c>
      <c r="H6721" s="298">
        <v>1</v>
      </c>
      <c r="M6721" s="274"/>
    </row>
    <row r="6722" spans="2:13" ht="15" customHeight="1" x14ac:dyDescent="0.25">
      <c r="B6722" s="289">
        <v>6680</v>
      </c>
      <c r="C6722" s="261">
        <v>123</v>
      </c>
      <c r="D6722" s="244" t="s">
        <v>12</v>
      </c>
      <c r="E6722" s="263">
        <v>95</v>
      </c>
      <c r="F6722" s="294" t="s">
        <v>126</v>
      </c>
      <c r="G6722" s="294" t="s">
        <v>883</v>
      </c>
      <c r="H6722" s="298">
        <v>1</v>
      </c>
      <c r="M6722" s="274"/>
    </row>
    <row r="6723" spans="2:13" ht="15" customHeight="1" x14ac:dyDescent="0.25">
      <c r="B6723" s="289">
        <v>6680</v>
      </c>
      <c r="C6723" s="261">
        <v>139</v>
      </c>
      <c r="D6723" s="244" t="s">
        <v>12</v>
      </c>
      <c r="E6723" s="263">
        <v>1</v>
      </c>
      <c r="F6723" s="294" t="s">
        <v>126</v>
      </c>
      <c r="G6723" s="294" t="s">
        <v>426</v>
      </c>
      <c r="H6723" s="298">
        <v>1</v>
      </c>
      <c r="M6723" s="274"/>
    </row>
    <row r="6724" spans="2:13" ht="15" customHeight="1" x14ac:dyDescent="0.25">
      <c r="B6724" s="289">
        <v>6681</v>
      </c>
      <c r="C6724" s="261">
        <v>117</v>
      </c>
      <c r="D6724" s="244" t="s">
        <v>11</v>
      </c>
      <c r="E6724" s="263">
        <v>6</v>
      </c>
      <c r="F6724" s="294" t="s">
        <v>506</v>
      </c>
      <c r="G6724" s="294" t="s">
        <v>126</v>
      </c>
      <c r="H6724" s="298">
        <v>1</v>
      </c>
      <c r="M6724" s="274"/>
    </row>
    <row r="6725" spans="2:13" ht="15" customHeight="1" x14ac:dyDescent="0.25">
      <c r="B6725" s="289">
        <v>6682</v>
      </c>
      <c r="C6725" s="261">
        <v>118</v>
      </c>
      <c r="D6725" s="244" t="s">
        <v>11</v>
      </c>
      <c r="E6725" s="263">
        <v>5</v>
      </c>
      <c r="F6725" s="294" t="s">
        <v>453</v>
      </c>
      <c r="G6725" s="294" t="s">
        <v>126</v>
      </c>
      <c r="H6725" s="298">
        <v>1</v>
      </c>
      <c r="M6725" s="274"/>
    </row>
    <row r="6726" spans="2:13" ht="15" customHeight="1" x14ac:dyDescent="0.25">
      <c r="B6726" s="289">
        <v>6683</v>
      </c>
      <c r="C6726" s="261">
        <v>116</v>
      </c>
      <c r="D6726" s="244" t="s">
        <v>12</v>
      </c>
      <c r="E6726" s="263">
        <v>31</v>
      </c>
      <c r="F6726" s="294" t="s">
        <v>126</v>
      </c>
      <c r="G6726" s="294" t="s">
        <v>884</v>
      </c>
      <c r="H6726" s="298">
        <v>1</v>
      </c>
      <c r="M6726" s="274"/>
    </row>
    <row r="6727" spans="2:13" ht="15" customHeight="1" x14ac:dyDescent="0.25">
      <c r="B6727" s="289">
        <v>6684</v>
      </c>
      <c r="C6727" s="261">
        <v>118</v>
      </c>
      <c r="D6727" s="244" t="s">
        <v>11</v>
      </c>
      <c r="E6727" s="263">
        <v>14</v>
      </c>
      <c r="F6727" s="294" t="s">
        <v>576</v>
      </c>
      <c r="G6727" s="294" t="s">
        <v>126</v>
      </c>
      <c r="H6727" s="298">
        <v>1</v>
      </c>
      <c r="M6727" s="274"/>
    </row>
    <row r="6728" spans="2:13" ht="15" customHeight="1" x14ac:dyDescent="0.25">
      <c r="B6728" s="289">
        <v>6685</v>
      </c>
      <c r="C6728" s="261">
        <v>118</v>
      </c>
      <c r="D6728" s="244" t="s">
        <v>11</v>
      </c>
      <c r="E6728" s="263">
        <v>11</v>
      </c>
      <c r="F6728" s="294" t="s">
        <v>495</v>
      </c>
      <c r="G6728" s="294" t="s">
        <v>126</v>
      </c>
      <c r="H6728" s="298">
        <v>1</v>
      </c>
      <c r="M6728" s="274"/>
    </row>
    <row r="6729" spans="2:13" ht="15" customHeight="1" x14ac:dyDescent="0.25">
      <c r="B6729" s="289">
        <v>6686</v>
      </c>
      <c r="C6729" s="261">
        <v>123</v>
      </c>
      <c r="D6729" s="244" t="s">
        <v>12</v>
      </c>
      <c r="E6729" s="263">
        <v>18</v>
      </c>
      <c r="F6729" s="294" t="s">
        <v>126</v>
      </c>
      <c r="G6729" s="294" t="s">
        <v>885</v>
      </c>
      <c r="H6729" s="298">
        <v>1</v>
      </c>
      <c r="M6729" s="274"/>
    </row>
    <row r="6730" spans="2:13" ht="15" customHeight="1" x14ac:dyDescent="0.25">
      <c r="B6730" s="289">
        <v>6687</v>
      </c>
      <c r="C6730" s="261">
        <v>120</v>
      </c>
      <c r="D6730" s="244" t="s">
        <v>11</v>
      </c>
      <c r="E6730" s="263">
        <v>8</v>
      </c>
      <c r="F6730" s="294" t="s">
        <v>589</v>
      </c>
      <c r="G6730" s="294" t="s">
        <v>126</v>
      </c>
      <c r="H6730" s="298">
        <v>1</v>
      </c>
      <c r="M6730" s="274"/>
    </row>
    <row r="6731" spans="2:13" ht="15" customHeight="1" x14ac:dyDescent="0.25">
      <c r="B6731" s="289">
        <v>6688</v>
      </c>
      <c r="C6731" s="261">
        <v>126</v>
      </c>
      <c r="D6731" s="244" t="s">
        <v>12</v>
      </c>
      <c r="E6731" s="263">
        <v>1</v>
      </c>
      <c r="F6731" s="294" t="s">
        <v>126</v>
      </c>
      <c r="G6731" s="294" t="s">
        <v>437</v>
      </c>
      <c r="H6731" s="298">
        <v>1</v>
      </c>
      <c r="M6731" s="274"/>
    </row>
    <row r="6732" spans="2:13" ht="15" customHeight="1" x14ac:dyDescent="0.25">
      <c r="B6732" s="289">
        <v>6693</v>
      </c>
      <c r="C6732" s="261">
        <v>116</v>
      </c>
      <c r="D6732" s="244" t="s">
        <v>12</v>
      </c>
      <c r="E6732" s="263">
        <v>6</v>
      </c>
      <c r="F6732" s="294" t="s">
        <v>126</v>
      </c>
      <c r="G6732" s="294" t="s">
        <v>328</v>
      </c>
      <c r="H6732" s="298">
        <v>1</v>
      </c>
      <c r="M6732" s="274"/>
    </row>
    <row r="6733" spans="2:13" ht="15" customHeight="1" x14ac:dyDescent="0.25">
      <c r="B6733" s="289">
        <v>6693</v>
      </c>
      <c r="C6733" s="261">
        <v>123</v>
      </c>
      <c r="D6733" s="244" t="s">
        <v>12</v>
      </c>
      <c r="E6733" s="263">
        <v>90</v>
      </c>
      <c r="F6733" s="294" t="s">
        <v>126</v>
      </c>
      <c r="G6733" s="294" t="s">
        <v>886</v>
      </c>
      <c r="H6733" s="298">
        <v>1</v>
      </c>
      <c r="M6733" s="274"/>
    </row>
    <row r="6734" spans="2:13" ht="15" customHeight="1" x14ac:dyDescent="0.25">
      <c r="B6734" s="289">
        <v>6694</v>
      </c>
      <c r="C6734" s="261">
        <v>116</v>
      </c>
      <c r="D6734" s="244" t="s">
        <v>12</v>
      </c>
      <c r="E6734" s="263">
        <v>4</v>
      </c>
      <c r="F6734" s="294" t="s">
        <v>126</v>
      </c>
      <c r="G6734" s="294" t="s">
        <v>887</v>
      </c>
      <c r="H6734" s="298">
        <v>1</v>
      </c>
      <c r="M6734" s="274"/>
    </row>
    <row r="6735" spans="2:13" ht="15" customHeight="1" x14ac:dyDescent="0.25">
      <c r="B6735" s="289">
        <v>6694</v>
      </c>
      <c r="C6735" s="261">
        <v>123</v>
      </c>
      <c r="D6735" s="244" t="s">
        <v>12</v>
      </c>
      <c r="E6735" s="263">
        <v>93</v>
      </c>
      <c r="F6735" s="294" t="s">
        <v>126</v>
      </c>
      <c r="G6735" s="294" t="s">
        <v>888</v>
      </c>
      <c r="H6735" s="298">
        <v>1</v>
      </c>
      <c r="M6735" s="274"/>
    </row>
    <row r="6736" spans="2:13" ht="15" customHeight="1" x14ac:dyDescent="0.25">
      <c r="B6736" s="289">
        <v>6695</v>
      </c>
      <c r="C6736" s="261">
        <v>118</v>
      </c>
      <c r="D6736" s="244" t="s">
        <v>11</v>
      </c>
      <c r="E6736" s="263">
        <v>14</v>
      </c>
      <c r="F6736" s="294" t="s">
        <v>576</v>
      </c>
      <c r="G6736" s="294" t="s">
        <v>126</v>
      </c>
      <c r="H6736" s="298">
        <v>1</v>
      </c>
      <c r="M6736" s="274"/>
    </row>
    <row r="6737" spans="2:13" ht="15" customHeight="1" x14ac:dyDescent="0.25">
      <c r="B6737" s="289">
        <v>6695</v>
      </c>
      <c r="C6737" s="261">
        <v>138</v>
      </c>
      <c r="D6737" s="244" t="s">
        <v>12</v>
      </c>
      <c r="E6737" s="263">
        <v>8</v>
      </c>
      <c r="F6737" s="294" t="s">
        <v>126</v>
      </c>
      <c r="G6737" s="294" t="s">
        <v>889</v>
      </c>
      <c r="H6737" s="298">
        <v>1</v>
      </c>
      <c r="M6737" s="274"/>
    </row>
    <row r="6738" spans="2:13" ht="15" customHeight="1" x14ac:dyDescent="0.25">
      <c r="B6738" s="289">
        <v>6696</v>
      </c>
      <c r="C6738" s="261">
        <v>122</v>
      </c>
      <c r="D6738" s="244" t="s">
        <v>11</v>
      </c>
      <c r="E6738" s="263">
        <v>23</v>
      </c>
      <c r="F6738" s="294" t="s">
        <v>890</v>
      </c>
      <c r="G6738" s="294" t="s">
        <v>126</v>
      </c>
      <c r="H6738" s="298">
        <v>1</v>
      </c>
      <c r="M6738" s="274"/>
    </row>
    <row r="6739" spans="2:13" ht="15" customHeight="1" x14ac:dyDescent="0.25">
      <c r="B6739" s="289">
        <v>6697</v>
      </c>
      <c r="C6739" s="261">
        <v>122</v>
      </c>
      <c r="D6739" s="244" t="s">
        <v>11</v>
      </c>
      <c r="E6739" s="263">
        <v>8</v>
      </c>
      <c r="F6739" s="294" t="s">
        <v>554</v>
      </c>
      <c r="G6739" s="294" t="s">
        <v>126</v>
      </c>
      <c r="H6739" s="298">
        <v>1</v>
      </c>
      <c r="M6739" s="274"/>
    </row>
    <row r="6740" spans="2:13" ht="15" customHeight="1" x14ac:dyDescent="0.25">
      <c r="B6740" s="289">
        <v>6698</v>
      </c>
      <c r="C6740" s="261">
        <v>122</v>
      </c>
      <c r="D6740" s="244" t="s">
        <v>11</v>
      </c>
      <c r="E6740" s="263">
        <v>1</v>
      </c>
      <c r="F6740" s="294" t="s">
        <v>426</v>
      </c>
      <c r="G6740" s="294" t="s">
        <v>126</v>
      </c>
      <c r="H6740" s="298">
        <v>1</v>
      </c>
      <c r="M6740" s="274"/>
    </row>
    <row r="6741" spans="2:13" ht="15" customHeight="1" x14ac:dyDescent="0.25">
      <c r="B6741" s="289">
        <v>6699</v>
      </c>
      <c r="C6741" s="261">
        <v>123</v>
      </c>
      <c r="D6741" s="244" t="s">
        <v>12</v>
      </c>
      <c r="E6741" s="263">
        <v>1</v>
      </c>
      <c r="F6741" s="294" t="s">
        <v>126</v>
      </c>
      <c r="G6741" s="294" t="s">
        <v>139</v>
      </c>
      <c r="H6741" s="298">
        <v>1</v>
      </c>
      <c r="M6741" s="274"/>
    </row>
    <row r="6742" spans="2:13" ht="15" customHeight="1" x14ac:dyDescent="0.25">
      <c r="B6742" s="289">
        <v>6700</v>
      </c>
      <c r="C6742" s="261">
        <v>122</v>
      </c>
      <c r="D6742" s="244" t="s">
        <v>12</v>
      </c>
      <c r="E6742" s="263">
        <v>1</v>
      </c>
      <c r="F6742" s="294" t="s">
        <v>126</v>
      </c>
      <c r="G6742" s="294" t="s">
        <v>139</v>
      </c>
      <c r="H6742" s="298">
        <v>1</v>
      </c>
      <c r="M6742" s="274"/>
    </row>
    <row r="6743" spans="2:13" ht="15" customHeight="1" x14ac:dyDescent="0.25">
      <c r="B6743" s="289">
        <v>6701</v>
      </c>
      <c r="C6743" s="261">
        <v>118</v>
      </c>
      <c r="D6743" s="244" t="s">
        <v>12</v>
      </c>
      <c r="E6743" s="263">
        <v>14</v>
      </c>
      <c r="F6743" s="294" t="s">
        <v>126</v>
      </c>
      <c r="G6743" s="294" t="s">
        <v>891</v>
      </c>
      <c r="H6743" s="298">
        <v>1</v>
      </c>
      <c r="M6743" s="274"/>
    </row>
    <row r="6744" spans="2:13" ht="15" customHeight="1" x14ac:dyDescent="0.25">
      <c r="B6744" s="289">
        <v>6701</v>
      </c>
      <c r="C6744" s="261">
        <v>123</v>
      </c>
      <c r="D6744" s="244" t="s">
        <v>12</v>
      </c>
      <c r="E6744" s="263">
        <v>77</v>
      </c>
      <c r="F6744" s="294" t="s">
        <v>126</v>
      </c>
      <c r="G6744" s="294" t="s">
        <v>892</v>
      </c>
      <c r="H6744" s="298">
        <v>1</v>
      </c>
      <c r="M6744" s="274"/>
    </row>
    <row r="6745" spans="2:13" ht="15" customHeight="1" x14ac:dyDescent="0.25">
      <c r="B6745" s="289">
        <v>6701</v>
      </c>
      <c r="C6745" s="261">
        <v>132</v>
      </c>
      <c r="D6745" s="244" t="s">
        <v>11</v>
      </c>
      <c r="E6745" s="263">
        <v>3</v>
      </c>
      <c r="F6745" s="294" t="s">
        <v>893</v>
      </c>
      <c r="G6745" s="294" t="s">
        <v>126</v>
      </c>
      <c r="H6745" s="298">
        <v>1</v>
      </c>
      <c r="M6745" s="274"/>
    </row>
    <row r="6746" spans="2:13" ht="15" customHeight="1" x14ac:dyDescent="0.25">
      <c r="B6746" s="289">
        <v>6702</v>
      </c>
      <c r="C6746" s="261">
        <v>118</v>
      </c>
      <c r="D6746" s="244" t="s">
        <v>12</v>
      </c>
      <c r="E6746" s="263">
        <v>14</v>
      </c>
      <c r="F6746" s="294" t="s">
        <v>126</v>
      </c>
      <c r="G6746" s="294" t="s">
        <v>891</v>
      </c>
      <c r="H6746" s="298">
        <v>1</v>
      </c>
      <c r="M6746" s="274"/>
    </row>
    <row r="6747" spans="2:13" ht="15" customHeight="1" x14ac:dyDescent="0.25">
      <c r="B6747" s="289">
        <v>6702</v>
      </c>
      <c r="C6747" s="261">
        <v>132</v>
      </c>
      <c r="D6747" s="244" t="s">
        <v>11</v>
      </c>
      <c r="E6747" s="263">
        <v>12</v>
      </c>
      <c r="F6747" s="294" t="s">
        <v>894</v>
      </c>
      <c r="G6747" s="294" t="s">
        <v>126</v>
      </c>
      <c r="H6747" s="298">
        <v>1</v>
      </c>
      <c r="M6747" s="274"/>
    </row>
    <row r="6748" spans="2:13" ht="15" customHeight="1" x14ac:dyDescent="0.25">
      <c r="B6748" s="289">
        <v>6703</v>
      </c>
      <c r="C6748" s="261">
        <v>119</v>
      </c>
      <c r="D6748" s="244" t="s">
        <v>11</v>
      </c>
      <c r="E6748" s="263">
        <v>10</v>
      </c>
      <c r="F6748" s="294" t="s">
        <v>895</v>
      </c>
      <c r="G6748" s="294" t="s">
        <v>126</v>
      </c>
      <c r="H6748" s="298">
        <v>1</v>
      </c>
      <c r="M6748" s="274"/>
    </row>
    <row r="6749" spans="2:13" ht="15" customHeight="1" x14ac:dyDescent="0.25">
      <c r="B6749" s="289">
        <v>6704</v>
      </c>
      <c r="C6749" s="261">
        <v>116</v>
      </c>
      <c r="D6749" s="244" t="s">
        <v>12</v>
      </c>
      <c r="E6749" s="263">
        <v>36</v>
      </c>
      <c r="F6749" s="294" t="s">
        <v>126</v>
      </c>
      <c r="G6749" s="294" t="s">
        <v>896</v>
      </c>
      <c r="H6749" s="298">
        <v>1</v>
      </c>
      <c r="M6749" s="274"/>
    </row>
    <row r="6750" spans="2:13" ht="15" customHeight="1" x14ac:dyDescent="0.25">
      <c r="B6750" s="289">
        <v>6705</v>
      </c>
      <c r="C6750" s="261">
        <v>116</v>
      </c>
      <c r="D6750" s="244" t="s">
        <v>12</v>
      </c>
      <c r="E6750" s="263">
        <v>2</v>
      </c>
      <c r="F6750" s="294" t="s">
        <v>126</v>
      </c>
      <c r="G6750" s="294" t="s">
        <v>285</v>
      </c>
      <c r="H6750" s="298">
        <v>1</v>
      </c>
      <c r="M6750" s="274"/>
    </row>
    <row r="6751" spans="2:13" ht="15" customHeight="1" x14ac:dyDescent="0.25">
      <c r="B6751" s="289">
        <v>6705</v>
      </c>
      <c r="C6751" s="261">
        <v>123</v>
      </c>
      <c r="D6751" s="244" t="s">
        <v>12</v>
      </c>
      <c r="E6751" s="263">
        <v>13</v>
      </c>
      <c r="F6751" s="294" t="s">
        <v>126</v>
      </c>
      <c r="G6751" s="294" t="s">
        <v>897</v>
      </c>
      <c r="H6751" s="298">
        <v>1</v>
      </c>
      <c r="M6751" s="274"/>
    </row>
    <row r="6752" spans="2:13" ht="15" customHeight="1" x14ac:dyDescent="0.25">
      <c r="B6752" s="289">
        <v>6705</v>
      </c>
      <c r="C6752" s="261">
        <v>127</v>
      </c>
      <c r="D6752" s="244" t="s">
        <v>12</v>
      </c>
      <c r="E6752" s="263">
        <v>8</v>
      </c>
      <c r="F6752" s="294" t="s">
        <v>126</v>
      </c>
      <c r="G6752" s="294" t="s">
        <v>898</v>
      </c>
      <c r="H6752" s="298">
        <v>1</v>
      </c>
      <c r="M6752" s="274"/>
    </row>
    <row r="6753" spans="2:13" ht="15" customHeight="1" x14ac:dyDescent="0.25">
      <c r="B6753" s="289">
        <v>6706</v>
      </c>
      <c r="C6753" s="261">
        <v>117</v>
      </c>
      <c r="D6753" s="244" t="s">
        <v>12</v>
      </c>
      <c r="E6753" s="263">
        <v>18</v>
      </c>
      <c r="F6753" s="294" t="s">
        <v>126</v>
      </c>
      <c r="G6753" s="294" t="s">
        <v>899</v>
      </c>
      <c r="H6753" s="298">
        <v>1</v>
      </c>
      <c r="M6753" s="274"/>
    </row>
    <row r="6754" spans="2:13" ht="15" customHeight="1" x14ac:dyDescent="0.25">
      <c r="B6754" s="289">
        <v>6706</v>
      </c>
      <c r="C6754" s="261">
        <v>123</v>
      </c>
      <c r="D6754" s="244" t="s">
        <v>12</v>
      </c>
      <c r="E6754" s="263">
        <v>49</v>
      </c>
      <c r="F6754" s="294" t="s">
        <v>126</v>
      </c>
      <c r="G6754" s="294" t="s">
        <v>900</v>
      </c>
      <c r="H6754" s="298">
        <v>1</v>
      </c>
      <c r="M6754" s="274"/>
    </row>
    <row r="6755" spans="2:13" ht="15" customHeight="1" x14ac:dyDescent="0.25">
      <c r="B6755" s="289">
        <v>6707</v>
      </c>
      <c r="C6755" s="261">
        <v>119</v>
      </c>
      <c r="D6755" s="244" t="s">
        <v>11</v>
      </c>
      <c r="E6755" s="263">
        <v>4</v>
      </c>
      <c r="F6755" s="294" t="s">
        <v>901</v>
      </c>
      <c r="G6755" s="294" t="s">
        <v>126</v>
      </c>
      <c r="H6755" s="298">
        <v>1</v>
      </c>
      <c r="M6755" s="274"/>
    </row>
    <row r="6756" spans="2:13" ht="15" customHeight="1" x14ac:dyDescent="0.25">
      <c r="B6756" s="289">
        <v>6708</v>
      </c>
      <c r="C6756" s="261">
        <v>122</v>
      </c>
      <c r="D6756" s="244" t="s">
        <v>11</v>
      </c>
      <c r="E6756" s="263">
        <v>1</v>
      </c>
      <c r="F6756" s="294" t="s">
        <v>426</v>
      </c>
      <c r="G6756" s="294" t="s">
        <v>126</v>
      </c>
      <c r="H6756" s="298">
        <v>1</v>
      </c>
      <c r="M6756" s="274"/>
    </row>
    <row r="6757" spans="2:13" ht="15" customHeight="1" x14ac:dyDescent="0.25">
      <c r="B6757" s="289">
        <v>6710</v>
      </c>
      <c r="C6757" s="261">
        <v>123</v>
      </c>
      <c r="D6757" s="244" t="s">
        <v>12</v>
      </c>
      <c r="E6757" s="263">
        <v>33</v>
      </c>
      <c r="F6757" s="294" t="s">
        <v>126</v>
      </c>
      <c r="G6757" s="294" t="s">
        <v>902</v>
      </c>
      <c r="H6757" s="298">
        <v>1</v>
      </c>
      <c r="M6757" s="274"/>
    </row>
    <row r="6758" spans="2:13" ht="15" customHeight="1" x14ac:dyDescent="0.25">
      <c r="B6758" s="289">
        <v>6711</v>
      </c>
      <c r="C6758" s="261">
        <v>116</v>
      </c>
      <c r="D6758" s="244" t="s">
        <v>11</v>
      </c>
      <c r="E6758" s="263">
        <v>20</v>
      </c>
      <c r="F6758" s="294" t="s">
        <v>903</v>
      </c>
      <c r="G6758" s="294" t="s">
        <v>126</v>
      </c>
      <c r="H6758" s="298">
        <v>1</v>
      </c>
      <c r="M6758" s="274"/>
    </row>
    <row r="6759" spans="2:13" ht="15" customHeight="1" x14ac:dyDescent="0.25">
      <c r="B6759" s="289">
        <v>6712</v>
      </c>
      <c r="C6759" s="261">
        <v>116</v>
      </c>
      <c r="D6759" s="244" t="s">
        <v>11</v>
      </c>
      <c r="E6759" s="263">
        <v>11</v>
      </c>
      <c r="F6759" s="294" t="s">
        <v>473</v>
      </c>
      <c r="G6759" s="294" t="s">
        <v>126</v>
      </c>
      <c r="H6759" s="298">
        <v>1</v>
      </c>
      <c r="M6759" s="274"/>
    </row>
    <row r="6760" spans="2:13" ht="15" customHeight="1" x14ac:dyDescent="0.25">
      <c r="B6760" s="289">
        <v>6713</v>
      </c>
      <c r="C6760" s="261">
        <v>118</v>
      </c>
      <c r="D6760" s="244" t="s">
        <v>12</v>
      </c>
      <c r="E6760" s="263">
        <v>1</v>
      </c>
      <c r="F6760" s="294" t="s">
        <v>126</v>
      </c>
      <c r="G6760" s="294" t="s">
        <v>235</v>
      </c>
      <c r="H6760" s="298">
        <v>1</v>
      </c>
      <c r="M6760" s="274"/>
    </row>
    <row r="6761" spans="2:13" ht="15" customHeight="1" x14ac:dyDescent="0.25">
      <c r="B6761" s="289">
        <v>6713</v>
      </c>
      <c r="C6761" s="261">
        <v>123</v>
      </c>
      <c r="D6761" s="244" t="s">
        <v>12</v>
      </c>
      <c r="E6761" s="263">
        <v>53</v>
      </c>
      <c r="F6761" s="294" t="s">
        <v>126</v>
      </c>
      <c r="G6761" s="294" t="s">
        <v>904</v>
      </c>
      <c r="H6761" s="298">
        <v>1</v>
      </c>
      <c r="M6761" s="274"/>
    </row>
    <row r="6762" spans="2:13" ht="15" customHeight="1" x14ac:dyDescent="0.25">
      <c r="B6762" s="289">
        <v>6714</v>
      </c>
      <c r="C6762" s="261">
        <v>123</v>
      </c>
      <c r="D6762" s="244" t="s">
        <v>12</v>
      </c>
      <c r="E6762" s="263">
        <v>75</v>
      </c>
      <c r="F6762" s="294" t="s">
        <v>126</v>
      </c>
      <c r="G6762" s="294" t="s">
        <v>905</v>
      </c>
      <c r="H6762" s="298">
        <v>1</v>
      </c>
      <c r="M6762" s="274"/>
    </row>
    <row r="6763" spans="2:13" ht="15" customHeight="1" x14ac:dyDescent="0.25">
      <c r="B6763" s="289">
        <v>6715</v>
      </c>
      <c r="C6763" s="261">
        <v>123</v>
      </c>
      <c r="D6763" s="244" t="s">
        <v>12</v>
      </c>
      <c r="E6763" s="263">
        <v>75</v>
      </c>
      <c r="F6763" s="294" t="s">
        <v>126</v>
      </c>
      <c r="G6763" s="294" t="s">
        <v>905</v>
      </c>
      <c r="H6763" s="298">
        <v>1</v>
      </c>
      <c r="M6763" s="274"/>
    </row>
    <row r="6764" spans="2:13" ht="15" customHeight="1" x14ac:dyDescent="0.25">
      <c r="B6764" s="289">
        <v>6716</v>
      </c>
      <c r="C6764" s="261">
        <v>123</v>
      </c>
      <c r="D6764" s="244" t="s">
        <v>12</v>
      </c>
      <c r="E6764" s="263">
        <v>75</v>
      </c>
      <c r="F6764" s="294" t="s">
        <v>126</v>
      </c>
      <c r="G6764" s="294" t="s">
        <v>905</v>
      </c>
      <c r="H6764" s="298">
        <v>1</v>
      </c>
      <c r="M6764" s="274"/>
    </row>
    <row r="6765" spans="2:13" ht="15" customHeight="1" x14ac:dyDescent="0.25">
      <c r="B6765" s="289">
        <v>6717</v>
      </c>
      <c r="C6765" s="261">
        <v>119</v>
      </c>
      <c r="D6765" s="244" t="s">
        <v>11</v>
      </c>
      <c r="E6765" s="263">
        <v>1</v>
      </c>
      <c r="F6765" s="294" t="s">
        <v>426</v>
      </c>
      <c r="G6765" s="294" t="s">
        <v>126</v>
      </c>
      <c r="H6765" s="298">
        <v>1</v>
      </c>
      <c r="M6765" s="274"/>
    </row>
    <row r="6766" spans="2:13" ht="15" customHeight="1" x14ac:dyDescent="0.25">
      <c r="B6766" s="289">
        <v>6719</v>
      </c>
      <c r="C6766" s="261">
        <v>123</v>
      </c>
      <c r="D6766" s="244" t="s">
        <v>12</v>
      </c>
      <c r="E6766" s="263">
        <v>20</v>
      </c>
      <c r="F6766" s="294" t="s">
        <v>126</v>
      </c>
      <c r="G6766" s="294" t="s">
        <v>906</v>
      </c>
      <c r="H6766" s="298">
        <v>1</v>
      </c>
      <c r="M6766" s="274"/>
    </row>
    <row r="6767" spans="2:13" ht="15" customHeight="1" x14ac:dyDescent="0.25">
      <c r="B6767" s="289">
        <v>6720</v>
      </c>
      <c r="C6767" s="261">
        <v>123</v>
      </c>
      <c r="D6767" s="244" t="s">
        <v>12</v>
      </c>
      <c r="E6767" s="263">
        <v>2</v>
      </c>
      <c r="F6767" s="294" t="s">
        <v>126</v>
      </c>
      <c r="G6767" s="294" t="s">
        <v>441</v>
      </c>
      <c r="H6767" s="298">
        <v>1</v>
      </c>
      <c r="M6767" s="274"/>
    </row>
    <row r="6768" spans="2:13" ht="15" customHeight="1" x14ac:dyDescent="0.25">
      <c r="B6768" s="289">
        <v>6722</v>
      </c>
      <c r="C6768" s="261">
        <v>123</v>
      </c>
      <c r="D6768" s="244" t="s">
        <v>12</v>
      </c>
      <c r="E6768" s="263">
        <v>74</v>
      </c>
      <c r="F6768" s="294" t="s">
        <v>126</v>
      </c>
      <c r="G6768" s="294" t="s">
        <v>907</v>
      </c>
      <c r="H6768" s="298">
        <v>1</v>
      </c>
      <c r="M6768" s="274"/>
    </row>
    <row r="6769" spans="2:13" ht="15" customHeight="1" x14ac:dyDescent="0.25">
      <c r="B6769" s="289">
        <v>6723</v>
      </c>
      <c r="C6769" s="261">
        <v>119</v>
      </c>
      <c r="D6769" s="244" t="s">
        <v>11</v>
      </c>
      <c r="E6769" s="263">
        <v>1</v>
      </c>
      <c r="F6769" s="294" t="s">
        <v>426</v>
      </c>
      <c r="G6769" s="294" t="s">
        <v>126</v>
      </c>
      <c r="H6769" s="298">
        <v>1</v>
      </c>
      <c r="M6769" s="274"/>
    </row>
    <row r="6770" spans="2:13" ht="15" customHeight="1" x14ac:dyDescent="0.25">
      <c r="B6770" s="289">
        <v>6723</v>
      </c>
      <c r="C6770" s="261">
        <v>123</v>
      </c>
      <c r="D6770" s="244" t="s">
        <v>12</v>
      </c>
      <c r="E6770" s="263">
        <v>55</v>
      </c>
      <c r="F6770" s="294" t="s">
        <v>126</v>
      </c>
      <c r="G6770" s="294" t="s">
        <v>908</v>
      </c>
      <c r="H6770" s="298">
        <v>1</v>
      </c>
      <c r="M6770" s="274"/>
    </row>
    <row r="6771" spans="2:13" ht="15" customHeight="1" x14ac:dyDescent="0.25">
      <c r="B6771" s="289">
        <v>6725</v>
      </c>
      <c r="C6771" s="261">
        <v>123</v>
      </c>
      <c r="D6771" s="244" t="s">
        <v>12</v>
      </c>
      <c r="E6771" s="263">
        <v>38</v>
      </c>
      <c r="F6771" s="294" t="s">
        <v>126</v>
      </c>
      <c r="G6771" s="294" t="s">
        <v>909</v>
      </c>
      <c r="H6771" s="298">
        <v>1</v>
      </c>
      <c r="M6771" s="274"/>
    </row>
    <row r="6772" spans="2:13" ht="15" customHeight="1" x14ac:dyDescent="0.25">
      <c r="B6772" s="289">
        <v>6726</v>
      </c>
      <c r="C6772" s="261">
        <v>115</v>
      </c>
      <c r="D6772" s="244" t="s">
        <v>12</v>
      </c>
      <c r="E6772" s="263">
        <v>40</v>
      </c>
      <c r="F6772" s="294" t="s">
        <v>126</v>
      </c>
      <c r="G6772" s="294" t="s">
        <v>910</v>
      </c>
      <c r="H6772" s="298">
        <v>1</v>
      </c>
      <c r="M6772" s="274"/>
    </row>
    <row r="6773" spans="2:13" ht="15" customHeight="1" x14ac:dyDescent="0.25">
      <c r="B6773" s="289">
        <v>6727</v>
      </c>
      <c r="C6773" s="261">
        <v>123</v>
      </c>
      <c r="D6773" s="244" t="s">
        <v>12</v>
      </c>
      <c r="E6773" s="263">
        <v>74</v>
      </c>
      <c r="F6773" s="294" t="s">
        <v>126</v>
      </c>
      <c r="G6773" s="294" t="s">
        <v>911</v>
      </c>
      <c r="H6773" s="298">
        <v>1</v>
      </c>
      <c r="M6773" s="274"/>
    </row>
    <row r="6774" spans="2:13" ht="15" customHeight="1" x14ac:dyDescent="0.25">
      <c r="B6774" s="289">
        <v>6728</v>
      </c>
      <c r="C6774" s="261">
        <v>123</v>
      </c>
      <c r="D6774" s="244" t="s">
        <v>12</v>
      </c>
      <c r="E6774" s="263">
        <v>99</v>
      </c>
      <c r="F6774" s="294" t="s">
        <v>126</v>
      </c>
      <c r="G6774" s="294" t="s">
        <v>912</v>
      </c>
      <c r="H6774" s="298">
        <v>1</v>
      </c>
      <c r="M6774" s="274"/>
    </row>
    <row r="6775" spans="2:13" ht="15" customHeight="1" x14ac:dyDescent="0.25">
      <c r="B6775" s="289">
        <v>6729</v>
      </c>
      <c r="C6775" s="261">
        <v>123</v>
      </c>
      <c r="D6775" s="244" t="s">
        <v>12</v>
      </c>
      <c r="E6775" s="263">
        <v>39</v>
      </c>
      <c r="F6775" s="294" t="s">
        <v>126</v>
      </c>
      <c r="G6775" s="294" t="s">
        <v>913</v>
      </c>
      <c r="H6775" s="298">
        <v>1</v>
      </c>
      <c r="M6775" s="274"/>
    </row>
    <row r="6776" spans="2:13" ht="15" customHeight="1" x14ac:dyDescent="0.25">
      <c r="B6776" s="289">
        <v>6730</v>
      </c>
      <c r="C6776" s="261">
        <v>121</v>
      </c>
      <c r="D6776" s="244" t="s">
        <v>11</v>
      </c>
      <c r="E6776" s="263">
        <v>2</v>
      </c>
      <c r="F6776" s="294" t="s">
        <v>441</v>
      </c>
      <c r="G6776" s="294" t="s">
        <v>126</v>
      </c>
      <c r="H6776" s="298">
        <v>1</v>
      </c>
      <c r="M6776" s="274"/>
    </row>
    <row r="6777" spans="2:13" ht="15" customHeight="1" x14ac:dyDescent="0.25">
      <c r="B6777" s="289">
        <v>6731</v>
      </c>
      <c r="C6777" s="261">
        <v>123</v>
      </c>
      <c r="D6777" s="244" t="s">
        <v>12</v>
      </c>
      <c r="E6777" s="263">
        <v>80</v>
      </c>
      <c r="F6777" s="294" t="s">
        <v>126</v>
      </c>
      <c r="G6777" s="294" t="s">
        <v>914</v>
      </c>
      <c r="H6777" s="298">
        <v>1</v>
      </c>
      <c r="M6777" s="274"/>
    </row>
    <row r="6778" spans="2:13" ht="15" customHeight="1" x14ac:dyDescent="0.25">
      <c r="B6778" s="289">
        <v>6732</v>
      </c>
      <c r="C6778" s="261">
        <v>123</v>
      </c>
      <c r="D6778" s="244" t="s">
        <v>12</v>
      </c>
      <c r="E6778" s="263">
        <v>56</v>
      </c>
      <c r="F6778" s="294" t="s">
        <v>126</v>
      </c>
      <c r="G6778" s="294" t="s">
        <v>915</v>
      </c>
      <c r="H6778" s="298">
        <v>1</v>
      </c>
      <c r="M6778" s="274"/>
    </row>
    <row r="6779" spans="2:13" ht="15" customHeight="1" x14ac:dyDescent="0.25">
      <c r="B6779" s="289">
        <v>6733</v>
      </c>
      <c r="C6779" s="261">
        <v>123</v>
      </c>
      <c r="D6779" s="244" t="s">
        <v>12</v>
      </c>
      <c r="E6779" s="263">
        <v>2</v>
      </c>
      <c r="F6779" s="294" t="s">
        <v>126</v>
      </c>
      <c r="G6779" s="294" t="s">
        <v>454</v>
      </c>
      <c r="H6779" s="298">
        <v>1</v>
      </c>
      <c r="M6779" s="274"/>
    </row>
    <row r="6780" spans="2:13" ht="15" customHeight="1" x14ac:dyDescent="0.25">
      <c r="B6780" s="289">
        <v>6734</v>
      </c>
      <c r="C6780" s="261">
        <v>123</v>
      </c>
      <c r="D6780" s="244" t="s">
        <v>12</v>
      </c>
      <c r="E6780" s="263">
        <v>88</v>
      </c>
      <c r="F6780" s="294" t="s">
        <v>126</v>
      </c>
      <c r="G6780" s="294" t="s">
        <v>916</v>
      </c>
      <c r="H6780" s="298">
        <v>1</v>
      </c>
      <c r="M6780" s="274"/>
    </row>
    <row r="6781" spans="2:13" ht="15" customHeight="1" x14ac:dyDescent="0.25">
      <c r="B6781" s="289">
        <v>6735</v>
      </c>
      <c r="C6781" s="261">
        <v>123</v>
      </c>
      <c r="D6781" s="244" t="s">
        <v>12</v>
      </c>
      <c r="E6781" s="263">
        <v>43</v>
      </c>
      <c r="F6781" s="294" t="s">
        <v>126</v>
      </c>
      <c r="G6781" s="294" t="s">
        <v>535</v>
      </c>
      <c r="H6781" s="298">
        <v>1</v>
      </c>
      <c r="M6781" s="274"/>
    </row>
    <row r="6782" spans="2:13" ht="15" customHeight="1" x14ac:dyDescent="0.25">
      <c r="B6782" s="289">
        <v>6736</v>
      </c>
      <c r="C6782" s="261">
        <v>115</v>
      </c>
      <c r="D6782" s="244" t="s">
        <v>12</v>
      </c>
      <c r="E6782" s="263">
        <v>1</v>
      </c>
      <c r="F6782" s="294" t="s">
        <v>126</v>
      </c>
      <c r="G6782" s="294" t="s">
        <v>139</v>
      </c>
      <c r="H6782" s="298">
        <v>1</v>
      </c>
      <c r="M6782" s="274"/>
    </row>
    <row r="6783" spans="2:13" ht="15" customHeight="1" x14ac:dyDescent="0.25">
      <c r="B6783" s="289">
        <v>6736</v>
      </c>
      <c r="C6783" s="261">
        <v>123</v>
      </c>
      <c r="D6783" s="244" t="s">
        <v>12</v>
      </c>
      <c r="E6783" s="263">
        <v>28</v>
      </c>
      <c r="F6783" s="294" t="s">
        <v>126</v>
      </c>
      <c r="G6783" s="294" t="s">
        <v>917</v>
      </c>
      <c r="H6783" s="298">
        <v>1</v>
      </c>
      <c r="M6783" s="274"/>
    </row>
    <row r="6784" spans="2:13" ht="15" customHeight="1" x14ac:dyDescent="0.25">
      <c r="B6784" s="289">
        <v>6737</v>
      </c>
      <c r="C6784" s="261">
        <v>115</v>
      </c>
      <c r="D6784" s="244" t="s">
        <v>11</v>
      </c>
      <c r="E6784" s="263">
        <v>9</v>
      </c>
      <c r="F6784" s="294" t="s">
        <v>918</v>
      </c>
      <c r="G6784" s="294" t="s">
        <v>126</v>
      </c>
      <c r="H6784" s="298">
        <v>1</v>
      </c>
      <c r="M6784" s="274"/>
    </row>
    <row r="6785" spans="2:13" ht="15" customHeight="1" x14ac:dyDescent="0.25">
      <c r="B6785" s="289">
        <v>6738</v>
      </c>
      <c r="C6785" s="261">
        <v>117</v>
      </c>
      <c r="D6785" s="244" t="s">
        <v>11</v>
      </c>
      <c r="E6785" s="263">
        <v>9</v>
      </c>
      <c r="F6785" s="294" t="s">
        <v>919</v>
      </c>
      <c r="G6785" s="294" t="s">
        <v>126</v>
      </c>
      <c r="H6785" s="298">
        <v>1</v>
      </c>
      <c r="M6785" s="274"/>
    </row>
    <row r="6786" spans="2:13" ht="15" customHeight="1" x14ac:dyDescent="0.25">
      <c r="B6786" s="289">
        <v>6739</v>
      </c>
      <c r="C6786" s="261">
        <v>119</v>
      </c>
      <c r="D6786" s="244" t="s">
        <v>11</v>
      </c>
      <c r="E6786" s="263">
        <v>10</v>
      </c>
      <c r="F6786" s="294" t="s">
        <v>895</v>
      </c>
      <c r="G6786" s="294" t="s">
        <v>126</v>
      </c>
      <c r="H6786" s="298">
        <v>1</v>
      </c>
      <c r="M6786" s="274"/>
    </row>
    <row r="6787" spans="2:13" ht="15" customHeight="1" x14ac:dyDescent="0.25">
      <c r="B6787" s="289">
        <v>6740</v>
      </c>
      <c r="C6787" s="261">
        <v>123</v>
      </c>
      <c r="D6787" s="244" t="s">
        <v>11</v>
      </c>
      <c r="E6787" s="263">
        <v>9</v>
      </c>
      <c r="F6787" s="294" t="s">
        <v>436</v>
      </c>
      <c r="G6787" s="294" t="s">
        <v>126</v>
      </c>
      <c r="H6787" s="298">
        <v>1</v>
      </c>
      <c r="M6787" s="274"/>
    </row>
    <row r="6788" spans="2:13" ht="15" customHeight="1" x14ac:dyDescent="0.25">
      <c r="B6788" s="289">
        <v>6741</v>
      </c>
      <c r="C6788" s="261">
        <v>123</v>
      </c>
      <c r="D6788" s="244" t="s">
        <v>12</v>
      </c>
      <c r="E6788" s="263">
        <v>41</v>
      </c>
      <c r="F6788" s="294" t="s">
        <v>126</v>
      </c>
      <c r="G6788" s="294" t="s">
        <v>920</v>
      </c>
      <c r="H6788" s="298">
        <v>1</v>
      </c>
      <c r="M6788" s="274"/>
    </row>
    <row r="6789" spans="2:13" ht="15" customHeight="1" x14ac:dyDescent="0.25">
      <c r="B6789" s="289">
        <v>6742</v>
      </c>
      <c r="C6789" s="261">
        <v>122</v>
      </c>
      <c r="D6789" s="244" t="s">
        <v>11</v>
      </c>
      <c r="E6789" s="263">
        <v>1</v>
      </c>
      <c r="F6789" s="294" t="s">
        <v>426</v>
      </c>
      <c r="G6789" s="294" t="s">
        <v>126</v>
      </c>
      <c r="H6789" s="298">
        <v>1</v>
      </c>
      <c r="M6789" s="274"/>
    </row>
    <row r="6790" spans="2:13" ht="15" customHeight="1" x14ac:dyDescent="0.25">
      <c r="B6790" s="289">
        <v>6748</v>
      </c>
      <c r="C6790" s="261">
        <v>123</v>
      </c>
      <c r="D6790" s="244" t="s">
        <v>11</v>
      </c>
      <c r="E6790" s="263">
        <v>4</v>
      </c>
      <c r="F6790" s="294" t="s">
        <v>833</v>
      </c>
      <c r="G6790" s="294" t="s">
        <v>126</v>
      </c>
      <c r="H6790" s="298">
        <v>1</v>
      </c>
      <c r="M6790" s="274"/>
    </row>
    <row r="6791" spans="2:13" ht="15" customHeight="1" x14ac:dyDescent="0.25">
      <c r="B6791" s="289">
        <v>6749</v>
      </c>
      <c r="C6791" s="261">
        <v>116</v>
      </c>
      <c r="D6791" s="244" t="s">
        <v>11</v>
      </c>
      <c r="E6791" s="263">
        <v>7</v>
      </c>
      <c r="F6791" s="294" t="s">
        <v>581</v>
      </c>
      <c r="G6791" s="294" t="s">
        <v>126</v>
      </c>
      <c r="H6791" s="298">
        <v>1</v>
      </c>
      <c r="M6791" s="274"/>
    </row>
    <row r="6792" spans="2:13" ht="15" customHeight="1" x14ac:dyDescent="0.25">
      <c r="B6792" s="289">
        <v>6750</v>
      </c>
      <c r="C6792" s="261">
        <v>123</v>
      </c>
      <c r="D6792" s="244" t="s">
        <v>12</v>
      </c>
      <c r="E6792" s="263">
        <v>97</v>
      </c>
      <c r="F6792" s="294" t="s">
        <v>126</v>
      </c>
      <c r="G6792" s="294" t="s">
        <v>921</v>
      </c>
      <c r="H6792" s="298">
        <v>1</v>
      </c>
      <c r="M6792" s="274"/>
    </row>
    <row r="6793" spans="2:13" ht="15" customHeight="1" x14ac:dyDescent="0.25">
      <c r="B6793" s="289">
        <v>6751</v>
      </c>
      <c r="C6793" s="261">
        <v>115</v>
      </c>
      <c r="D6793" s="244" t="s">
        <v>11</v>
      </c>
      <c r="E6793" s="263">
        <v>9</v>
      </c>
      <c r="F6793" s="294" t="s">
        <v>918</v>
      </c>
      <c r="G6793" s="294" t="s">
        <v>126</v>
      </c>
      <c r="H6793" s="298">
        <v>1</v>
      </c>
      <c r="M6793" s="274"/>
    </row>
    <row r="6794" spans="2:13" ht="15" customHeight="1" x14ac:dyDescent="0.25">
      <c r="B6794" s="289">
        <v>6752</v>
      </c>
      <c r="C6794" s="261">
        <v>116</v>
      </c>
      <c r="D6794" s="244" t="s">
        <v>11</v>
      </c>
      <c r="E6794" s="263">
        <v>17</v>
      </c>
      <c r="F6794" s="294" t="s">
        <v>922</v>
      </c>
      <c r="G6794" s="294" t="s">
        <v>126</v>
      </c>
      <c r="H6794" s="298">
        <v>1</v>
      </c>
      <c r="M6794" s="274"/>
    </row>
    <row r="6795" spans="2:13" ht="15" customHeight="1" x14ac:dyDescent="0.25">
      <c r="B6795" s="289">
        <v>6753</v>
      </c>
      <c r="C6795" s="261">
        <v>116</v>
      </c>
      <c r="D6795" s="244" t="s">
        <v>11</v>
      </c>
      <c r="E6795" s="263">
        <v>7</v>
      </c>
      <c r="F6795" s="294" t="s">
        <v>581</v>
      </c>
      <c r="G6795" s="294" t="s">
        <v>126</v>
      </c>
      <c r="H6795" s="298">
        <v>1</v>
      </c>
      <c r="M6795" s="274"/>
    </row>
    <row r="6796" spans="2:13" ht="15" customHeight="1" x14ac:dyDescent="0.25">
      <c r="B6796" s="289">
        <v>6755</v>
      </c>
      <c r="C6796" s="261">
        <v>119</v>
      </c>
      <c r="D6796" s="244" t="s">
        <v>11</v>
      </c>
      <c r="E6796" s="263">
        <v>1</v>
      </c>
      <c r="F6796" s="294" t="s">
        <v>426</v>
      </c>
      <c r="G6796" s="294" t="s">
        <v>126</v>
      </c>
      <c r="H6796" s="298">
        <v>1</v>
      </c>
      <c r="M6796" s="274"/>
    </row>
    <row r="6797" spans="2:13" ht="15" customHeight="1" x14ac:dyDescent="0.25">
      <c r="B6797" s="289">
        <v>6756</v>
      </c>
      <c r="C6797" s="261">
        <v>122</v>
      </c>
      <c r="D6797" s="244" t="s">
        <v>11</v>
      </c>
      <c r="E6797" s="263">
        <v>3</v>
      </c>
      <c r="F6797" s="294" t="s">
        <v>438</v>
      </c>
      <c r="G6797" s="294" t="s">
        <v>126</v>
      </c>
      <c r="H6797" s="298">
        <v>1</v>
      </c>
      <c r="M6797" s="274"/>
    </row>
    <row r="6798" spans="2:13" ht="15" customHeight="1" x14ac:dyDescent="0.25">
      <c r="B6798" s="289">
        <v>6757</v>
      </c>
      <c r="C6798" s="261">
        <v>123</v>
      </c>
      <c r="D6798" s="244" t="s">
        <v>12</v>
      </c>
      <c r="E6798" s="263">
        <v>1</v>
      </c>
      <c r="F6798" s="294" t="s">
        <v>126</v>
      </c>
      <c r="G6798" s="294" t="s">
        <v>437</v>
      </c>
      <c r="H6798" s="298">
        <v>1</v>
      </c>
      <c r="M6798" s="274"/>
    </row>
    <row r="6799" spans="2:13" ht="15" customHeight="1" x14ac:dyDescent="0.25">
      <c r="B6799" s="289">
        <v>6758</v>
      </c>
      <c r="C6799" s="261">
        <v>123</v>
      </c>
      <c r="D6799" s="244" t="s">
        <v>11</v>
      </c>
      <c r="E6799" s="263">
        <v>12</v>
      </c>
      <c r="F6799" s="294" t="s">
        <v>923</v>
      </c>
      <c r="G6799" s="294" t="s">
        <v>126</v>
      </c>
      <c r="H6799" s="298">
        <v>1</v>
      </c>
      <c r="M6799" s="274"/>
    </row>
    <row r="6800" spans="2:13" ht="15" customHeight="1" x14ac:dyDescent="0.25">
      <c r="B6800" s="289">
        <v>6759</v>
      </c>
      <c r="C6800" s="261">
        <v>139</v>
      </c>
      <c r="D6800" s="244" t="s">
        <v>12</v>
      </c>
      <c r="E6800" s="263">
        <v>16</v>
      </c>
      <c r="F6800" s="294" t="s">
        <v>126</v>
      </c>
      <c r="G6800" s="294" t="s">
        <v>924</v>
      </c>
      <c r="H6800" s="298">
        <v>1</v>
      </c>
      <c r="M6800" s="274"/>
    </row>
    <row r="6801" spans="2:13" ht="15" customHeight="1" x14ac:dyDescent="0.25">
      <c r="B6801" s="289">
        <v>6760</v>
      </c>
      <c r="C6801" s="261">
        <v>123</v>
      </c>
      <c r="D6801" s="244" t="s">
        <v>12</v>
      </c>
      <c r="E6801" s="263">
        <v>2</v>
      </c>
      <c r="F6801" s="294" t="s">
        <v>126</v>
      </c>
      <c r="G6801" s="294" t="s">
        <v>441</v>
      </c>
      <c r="H6801" s="298">
        <v>1</v>
      </c>
      <c r="M6801" s="274"/>
    </row>
    <row r="6802" spans="2:13" ht="15" customHeight="1" x14ac:dyDescent="0.25">
      <c r="B6802" s="289">
        <v>6761</v>
      </c>
      <c r="C6802" s="261">
        <v>123</v>
      </c>
      <c r="D6802" s="244" t="s">
        <v>12</v>
      </c>
      <c r="E6802" s="263">
        <v>80</v>
      </c>
      <c r="F6802" s="294" t="s">
        <v>126</v>
      </c>
      <c r="G6802" s="294" t="s">
        <v>925</v>
      </c>
      <c r="H6802" s="298">
        <v>1</v>
      </c>
      <c r="M6802" s="274"/>
    </row>
    <row r="6803" spans="2:13" ht="15" customHeight="1" x14ac:dyDescent="0.25">
      <c r="B6803" s="289">
        <v>6762</v>
      </c>
      <c r="C6803" s="261">
        <v>123</v>
      </c>
      <c r="D6803" s="244" t="s">
        <v>12</v>
      </c>
      <c r="E6803" s="263">
        <v>4</v>
      </c>
      <c r="F6803" s="294" t="s">
        <v>126</v>
      </c>
      <c r="G6803" s="294" t="s">
        <v>926</v>
      </c>
      <c r="H6803" s="298">
        <v>1</v>
      </c>
      <c r="M6803" s="274"/>
    </row>
    <row r="6804" spans="2:13" ht="15" customHeight="1" x14ac:dyDescent="0.25">
      <c r="B6804" s="289">
        <v>6763</v>
      </c>
      <c r="C6804" s="261">
        <v>123</v>
      </c>
      <c r="D6804" s="244" t="s">
        <v>12</v>
      </c>
      <c r="E6804" s="263">
        <v>87</v>
      </c>
      <c r="F6804" s="294" t="s">
        <v>126</v>
      </c>
      <c r="G6804" s="294" t="s">
        <v>927</v>
      </c>
      <c r="H6804" s="298">
        <v>1</v>
      </c>
      <c r="M6804" s="274"/>
    </row>
    <row r="6805" spans="2:13" ht="15" customHeight="1" x14ac:dyDescent="0.25">
      <c r="B6805" s="289">
        <v>6763</v>
      </c>
      <c r="C6805" s="261">
        <v>133</v>
      </c>
      <c r="D6805" s="244" t="s">
        <v>12</v>
      </c>
      <c r="E6805" s="263">
        <v>8</v>
      </c>
      <c r="F6805" s="294" t="s">
        <v>126</v>
      </c>
      <c r="G6805" s="294" t="s">
        <v>928</v>
      </c>
      <c r="H6805" s="298">
        <v>1</v>
      </c>
      <c r="M6805" s="274"/>
    </row>
    <row r="6806" spans="2:13" ht="15" customHeight="1" x14ac:dyDescent="0.25">
      <c r="B6806" s="289">
        <v>6765</v>
      </c>
      <c r="C6806" s="261">
        <v>123</v>
      </c>
      <c r="D6806" s="244" t="s">
        <v>12</v>
      </c>
      <c r="E6806" s="263">
        <v>2</v>
      </c>
      <c r="F6806" s="294" t="s">
        <v>126</v>
      </c>
      <c r="G6806" s="294" t="s">
        <v>420</v>
      </c>
      <c r="H6806" s="298">
        <v>1</v>
      </c>
      <c r="M6806" s="274"/>
    </row>
    <row r="6807" spans="2:13" ht="15" customHeight="1" x14ac:dyDescent="0.25">
      <c r="B6807" s="289">
        <v>6767</v>
      </c>
      <c r="C6807" s="261">
        <v>122</v>
      </c>
      <c r="D6807" s="244" t="s">
        <v>11</v>
      </c>
      <c r="E6807" s="263">
        <v>8</v>
      </c>
      <c r="F6807" s="294" t="s">
        <v>554</v>
      </c>
      <c r="G6807" s="294" t="s">
        <v>126</v>
      </c>
      <c r="H6807" s="298">
        <v>1</v>
      </c>
      <c r="M6807" s="274"/>
    </row>
    <row r="6808" spans="2:13" ht="15" customHeight="1" x14ac:dyDescent="0.25">
      <c r="B6808" s="289">
        <v>6768</v>
      </c>
      <c r="C6808" s="261">
        <v>123</v>
      </c>
      <c r="D6808" s="244" t="s">
        <v>11</v>
      </c>
      <c r="E6808" s="263">
        <v>9</v>
      </c>
      <c r="F6808" s="294" t="s">
        <v>436</v>
      </c>
      <c r="G6808" s="294" t="s">
        <v>126</v>
      </c>
      <c r="H6808" s="298">
        <v>1</v>
      </c>
      <c r="M6808" s="274"/>
    </row>
    <row r="6809" spans="2:13" ht="15" customHeight="1" x14ac:dyDescent="0.25">
      <c r="B6809" s="289">
        <v>6769</v>
      </c>
      <c r="C6809" s="261">
        <v>114</v>
      </c>
      <c r="D6809" s="244" t="s">
        <v>12</v>
      </c>
      <c r="E6809" s="263">
        <v>6</v>
      </c>
      <c r="F6809" s="294" t="s">
        <v>126</v>
      </c>
      <c r="G6809" s="294" t="s">
        <v>929</v>
      </c>
      <c r="H6809" s="298">
        <v>1</v>
      </c>
      <c r="M6809" s="274"/>
    </row>
    <row r="6810" spans="2:13" ht="15" customHeight="1" x14ac:dyDescent="0.25">
      <c r="B6810" s="289">
        <v>6770</v>
      </c>
      <c r="C6810" s="261">
        <v>116</v>
      </c>
      <c r="D6810" s="244" t="s">
        <v>11</v>
      </c>
      <c r="E6810" s="263">
        <v>7</v>
      </c>
      <c r="F6810" s="294" t="s">
        <v>581</v>
      </c>
      <c r="G6810" s="294" t="s">
        <v>126</v>
      </c>
      <c r="H6810" s="298">
        <v>1</v>
      </c>
      <c r="M6810" s="274"/>
    </row>
    <row r="6811" spans="2:13" ht="15" customHeight="1" x14ac:dyDescent="0.25">
      <c r="B6811" s="289">
        <v>6771</v>
      </c>
      <c r="C6811" s="261">
        <v>120</v>
      </c>
      <c r="D6811" s="244" t="s">
        <v>12</v>
      </c>
      <c r="E6811" s="263">
        <v>2</v>
      </c>
      <c r="F6811" s="294" t="s">
        <v>126</v>
      </c>
      <c r="G6811" s="294" t="s">
        <v>341</v>
      </c>
      <c r="H6811" s="298">
        <v>1</v>
      </c>
      <c r="M6811" s="274"/>
    </row>
    <row r="6812" spans="2:13" ht="15" customHeight="1" x14ac:dyDescent="0.25">
      <c r="B6812" s="289">
        <v>6771</v>
      </c>
      <c r="C6812" s="261">
        <v>123</v>
      </c>
      <c r="D6812" s="244" t="s">
        <v>12</v>
      </c>
      <c r="E6812" s="263">
        <v>79</v>
      </c>
      <c r="F6812" s="294" t="s">
        <v>126</v>
      </c>
      <c r="G6812" s="294" t="s">
        <v>930</v>
      </c>
      <c r="H6812" s="298">
        <v>1</v>
      </c>
      <c r="M6812" s="274"/>
    </row>
    <row r="6813" spans="2:13" ht="15" customHeight="1" x14ac:dyDescent="0.25">
      <c r="B6813" s="289">
        <v>6772</v>
      </c>
      <c r="C6813" s="261">
        <v>121</v>
      </c>
      <c r="D6813" s="244" t="s">
        <v>11</v>
      </c>
      <c r="E6813" s="263">
        <v>2</v>
      </c>
      <c r="F6813" s="294" t="s">
        <v>441</v>
      </c>
      <c r="G6813" s="294" t="s">
        <v>126</v>
      </c>
      <c r="H6813" s="298">
        <v>1</v>
      </c>
      <c r="M6813" s="274"/>
    </row>
    <row r="6814" spans="2:13" ht="15" customHeight="1" x14ac:dyDescent="0.25">
      <c r="B6814" s="289">
        <v>6773</v>
      </c>
      <c r="C6814" s="261">
        <v>122</v>
      </c>
      <c r="D6814" s="244" t="s">
        <v>11</v>
      </c>
      <c r="E6814" s="263">
        <v>8</v>
      </c>
      <c r="F6814" s="294" t="s">
        <v>554</v>
      </c>
      <c r="G6814" s="294" t="s">
        <v>126</v>
      </c>
      <c r="H6814" s="298">
        <v>1</v>
      </c>
      <c r="M6814" s="274"/>
    </row>
    <row r="6815" spans="2:13" ht="15" customHeight="1" x14ac:dyDescent="0.25">
      <c r="B6815" s="289">
        <v>6774</v>
      </c>
      <c r="C6815" s="261">
        <v>122</v>
      </c>
      <c r="D6815" s="244" t="s">
        <v>11</v>
      </c>
      <c r="E6815" s="263">
        <v>3</v>
      </c>
      <c r="F6815" s="294" t="s">
        <v>438</v>
      </c>
      <c r="G6815" s="294" t="s">
        <v>126</v>
      </c>
      <c r="H6815" s="298">
        <v>1</v>
      </c>
      <c r="M6815" s="274"/>
    </row>
    <row r="6816" spans="2:13" ht="15" customHeight="1" x14ac:dyDescent="0.25">
      <c r="B6816" s="289">
        <v>6775</v>
      </c>
      <c r="C6816" s="261">
        <v>123</v>
      </c>
      <c r="D6816" s="244" t="s">
        <v>12</v>
      </c>
      <c r="E6816" s="263">
        <v>1</v>
      </c>
      <c r="F6816" s="294" t="s">
        <v>126</v>
      </c>
      <c r="G6816" s="294" t="s">
        <v>437</v>
      </c>
      <c r="H6816" s="298">
        <v>1</v>
      </c>
      <c r="M6816" s="274"/>
    </row>
    <row r="6817" spans="2:13" ht="15" customHeight="1" x14ac:dyDescent="0.25">
      <c r="B6817" s="289">
        <v>6776</v>
      </c>
      <c r="C6817" s="261">
        <v>123</v>
      </c>
      <c r="D6817" s="244" t="s">
        <v>12</v>
      </c>
      <c r="E6817" s="263">
        <v>1</v>
      </c>
      <c r="F6817" s="294" t="s">
        <v>126</v>
      </c>
      <c r="G6817" s="294" t="s">
        <v>426</v>
      </c>
      <c r="H6817" s="298">
        <v>1</v>
      </c>
      <c r="M6817" s="274"/>
    </row>
    <row r="6818" spans="2:13" ht="15" customHeight="1" x14ac:dyDescent="0.25">
      <c r="B6818" s="289">
        <v>6777</v>
      </c>
      <c r="C6818" s="261">
        <v>124</v>
      </c>
      <c r="D6818" s="244" t="s">
        <v>11</v>
      </c>
      <c r="E6818" s="263">
        <v>9</v>
      </c>
      <c r="F6818" s="294" t="s">
        <v>931</v>
      </c>
      <c r="G6818" s="294" t="s">
        <v>126</v>
      </c>
      <c r="H6818" s="298">
        <v>1</v>
      </c>
      <c r="M6818" s="274"/>
    </row>
    <row r="6819" spans="2:13" ht="15" customHeight="1" x14ac:dyDescent="0.25">
      <c r="B6819" s="289">
        <v>6778</v>
      </c>
      <c r="C6819" s="261">
        <v>122</v>
      </c>
      <c r="D6819" s="244" t="s">
        <v>12</v>
      </c>
      <c r="E6819" s="263">
        <v>1</v>
      </c>
      <c r="F6819" s="294" t="s">
        <v>126</v>
      </c>
      <c r="G6819" s="294" t="s">
        <v>139</v>
      </c>
      <c r="H6819" s="298">
        <v>1</v>
      </c>
      <c r="M6819" s="274"/>
    </row>
    <row r="6820" spans="2:13" ht="15" customHeight="1" x14ac:dyDescent="0.25">
      <c r="B6820" s="289">
        <v>6779</v>
      </c>
      <c r="C6820" s="261">
        <v>124</v>
      </c>
      <c r="D6820" s="244" t="s">
        <v>11</v>
      </c>
      <c r="E6820" s="263">
        <v>9</v>
      </c>
      <c r="F6820" s="294" t="s">
        <v>931</v>
      </c>
      <c r="G6820" s="294" t="s">
        <v>126</v>
      </c>
      <c r="H6820" s="298">
        <v>1</v>
      </c>
      <c r="M6820" s="274"/>
    </row>
    <row r="6821" spans="2:13" ht="15" customHeight="1" x14ac:dyDescent="0.25">
      <c r="B6821" s="289">
        <v>6781</v>
      </c>
      <c r="C6821" s="261">
        <v>121</v>
      </c>
      <c r="D6821" s="244" t="s">
        <v>11</v>
      </c>
      <c r="E6821" s="263">
        <v>2</v>
      </c>
      <c r="F6821" s="294" t="s">
        <v>441</v>
      </c>
      <c r="G6821" s="294" t="s">
        <v>126</v>
      </c>
      <c r="H6821" s="298">
        <v>1</v>
      </c>
      <c r="M6821" s="274"/>
    </row>
    <row r="6822" spans="2:13" ht="15" customHeight="1" x14ac:dyDescent="0.25">
      <c r="B6822" s="289">
        <v>6782</v>
      </c>
      <c r="C6822" s="261">
        <v>114</v>
      </c>
      <c r="D6822" s="244" t="s">
        <v>12</v>
      </c>
      <c r="E6822" s="263">
        <v>22</v>
      </c>
      <c r="F6822" s="294" t="s">
        <v>126</v>
      </c>
      <c r="G6822" s="294" t="s">
        <v>932</v>
      </c>
      <c r="H6822" s="298">
        <v>1</v>
      </c>
      <c r="M6822" s="274"/>
    </row>
    <row r="6823" spans="2:13" ht="15" customHeight="1" x14ac:dyDescent="0.25">
      <c r="B6823" s="289">
        <v>6782</v>
      </c>
      <c r="C6823" s="261">
        <v>128</v>
      </c>
      <c r="D6823" s="244" t="s">
        <v>11</v>
      </c>
      <c r="E6823" s="263">
        <v>1</v>
      </c>
      <c r="F6823" s="294" t="s">
        <v>426</v>
      </c>
      <c r="G6823" s="294" t="s">
        <v>126</v>
      </c>
      <c r="H6823" s="298">
        <v>1</v>
      </c>
      <c r="M6823" s="274"/>
    </row>
    <row r="6824" spans="2:13" ht="15" customHeight="1" x14ac:dyDescent="0.25">
      <c r="B6824" s="289">
        <v>6783</v>
      </c>
      <c r="C6824" s="261">
        <v>118</v>
      </c>
      <c r="D6824" s="244" t="s">
        <v>11</v>
      </c>
      <c r="E6824" s="263">
        <v>5</v>
      </c>
      <c r="F6824" s="294" t="s">
        <v>453</v>
      </c>
      <c r="G6824" s="294" t="s">
        <v>126</v>
      </c>
      <c r="H6824" s="298">
        <v>1</v>
      </c>
      <c r="M6824" s="274"/>
    </row>
    <row r="6825" spans="2:13" ht="15" customHeight="1" x14ac:dyDescent="0.25">
      <c r="B6825" s="289">
        <v>6784</v>
      </c>
      <c r="C6825" s="261">
        <v>115</v>
      </c>
      <c r="D6825" s="244" t="s">
        <v>12</v>
      </c>
      <c r="E6825" s="263">
        <v>1</v>
      </c>
      <c r="F6825" s="294" t="s">
        <v>126</v>
      </c>
      <c r="G6825" s="294" t="s">
        <v>426</v>
      </c>
      <c r="H6825" s="298">
        <v>1</v>
      </c>
      <c r="M6825" s="274"/>
    </row>
    <row r="6826" spans="2:13" ht="15" customHeight="1" x14ac:dyDescent="0.25">
      <c r="B6826" s="289">
        <v>6786</v>
      </c>
      <c r="C6826" s="261">
        <v>117</v>
      </c>
      <c r="D6826" s="244" t="s">
        <v>11</v>
      </c>
      <c r="E6826" s="263">
        <v>6</v>
      </c>
      <c r="F6826" s="294" t="s">
        <v>506</v>
      </c>
      <c r="G6826" s="294" t="s">
        <v>126</v>
      </c>
      <c r="H6826" s="298">
        <v>1</v>
      </c>
      <c r="M6826" s="274"/>
    </row>
    <row r="6827" spans="2:13" ht="15" customHeight="1" x14ac:dyDescent="0.25">
      <c r="B6827" s="289">
        <v>6787</v>
      </c>
      <c r="C6827" s="261">
        <v>118</v>
      </c>
      <c r="D6827" s="244" t="s">
        <v>11</v>
      </c>
      <c r="E6827" s="263">
        <v>3</v>
      </c>
      <c r="F6827" s="294" t="s">
        <v>933</v>
      </c>
      <c r="G6827" s="294" t="s">
        <v>126</v>
      </c>
      <c r="H6827" s="298">
        <v>1</v>
      </c>
      <c r="M6827" s="274"/>
    </row>
    <row r="6828" spans="2:13" ht="15" customHeight="1" x14ac:dyDescent="0.25">
      <c r="B6828" s="289">
        <v>6788</v>
      </c>
      <c r="C6828" s="261">
        <v>120</v>
      </c>
      <c r="D6828" s="244" t="s">
        <v>11</v>
      </c>
      <c r="E6828" s="263">
        <v>8</v>
      </c>
      <c r="F6828" s="294" t="s">
        <v>589</v>
      </c>
      <c r="G6828" s="294" t="s">
        <v>126</v>
      </c>
      <c r="H6828" s="298">
        <v>1</v>
      </c>
      <c r="M6828" s="274"/>
    </row>
    <row r="6829" spans="2:13" ht="15" customHeight="1" x14ac:dyDescent="0.25">
      <c r="B6829" s="289">
        <v>6789</v>
      </c>
      <c r="C6829" s="261">
        <v>114</v>
      </c>
      <c r="D6829" s="244" t="s">
        <v>12</v>
      </c>
      <c r="E6829" s="263">
        <v>7</v>
      </c>
      <c r="F6829" s="294" t="s">
        <v>126</v>
      </c>
      <c r="G6829" s="294" t="s">
        <v>934</v>
      </c>
      <c r="H6829" s="298">
        <v>1</v>
      </c>
      <c r="M6829" s="274"/>
    </row>
    <row r="6830" spans="2:13" ht="15" customHeight="1" x14ac:dyDescent="0.25">
      <c r="B6830" s="289">
        <v>6789</v>
      </c>
      <c r="C6830" s="261">
        <v>123</v>
      </c>
      <c r="D6830" s="244" t="s">
        <v>12</v>
      </c>
      <c r="E6830" s="263">
        <v>74</v>
      </c>
      <c r="F6830" s="294" t="s">
        <v>126</v>
      </c>
      <c r="G6830" s="294" t="s">
        <v>935</v>
      </c>
      <c r="H6830" s="298">
        <v>1</v>
      </c>
      <c r="M6830" s="274"/>
    </row>
    <row r="6831" spans="2:13" ht="15" customHeight="1" x14ac:dyDescent="0.25">
      <c r="B6831" s="289">
        <v>6790</v>
      </c>
      <c r="C6831" s="261">
        <v>123</v>
      </c>
      <c r="D6831" s="244" t="s">
        <v>12</v>
      </c>
      <c r="E6831" s="263">
        <v>2</v>
      </c>
      <c r="F6831" s="294" t="s">
        <v>126</v>
      </c>
      <c r="G6831" s="294" t="s">
        <v>420</v>
      </c>
      <c r="H6831" s="298">
        <v>1</v>
      </c>
      <c r="M6831" s="274"/>
    </row>
    <row r="6832" spans="2:13" ht="15" customHeight="1" x14ac:dyDescent="0.25">
      <c r="B6832" s="289">
        <v>6791</v>
      </c>
      <c r="C6832" s="261">
        <v>115</v>
      </c>
      <c r="D6832" s="244" t="s">
        <v>12</v>
      </c>
      <c r="E6832" s="263">
        <v>2</v>
      </c>
      <c r="F6832" s="294" t="s">
        <v>126</v>
      </c>
      <c r="G6832" s="294" t="s">
        <v>341</v>
      </c>
      <c r="H6832" s="298">
        <v>1</v>
      </c>
      <c r="M6832" s="274"/>
    </row>
    <row r="6833" spans="2:13" ht="15" customHeight="1" x14ac:dyDescent="0.25">
      <c r="B6833" s="289">
        <v>6791</v>
      </c>
      <c r="C6833" s="261">
        <v>119</v>
      </c>
      <c r="D6833" s="244" t="s">
        <v>12</v>
      </c>
      <c r="E6833" s="263">
        <v>1</v>
      </c>
      <c r="F6833" s="294" t="s">
        <v>126</v>
      </c>
      <c r="G6833" s="294" t="s">
        <v>139</v>
      </c>
      <c r="H6833" s="298">
        <v>1</v>
      </c>
      <c r="M6833" s="274"/>
    </row>
    <row r="6834" spans="2:13" ht="15" customHeight="1" x14ac:dyDescent="0.25">
      <c r="B6834" s="289">
        <v>6791</v>
      </c>
      <c r="C6834" s="261">
        <v>123</v>
      </c>
      <c r="D6834" s="244" t="s">
        <v>12</v>
      </c>
      <c r="E6834" s="263">
        <v>56</v>
      </c>
      <c r="F6834" s="294" t="s">
        <v>126</v>
      </c>
      <c r="G6834" s="294" t="s">
        <v>936</v>
      </c>
      <c r="H6834" s="298">
        <v>1</v>
      </c>
      <c r="M6834" s="274"/>
    </row>
    <row r="6835" spans="2:13" ht="15" customHeight="1" x14ac:dyDescent="0.25">
      <c r="B6835" s="289">
        <v>6792</v>
      </c>
      <c r="C6835" s="261">
        <v>115</v>
      </c>
      <c r="D6835" s="244" t="s">
        <v>12</v>
      </c>
      <c r="E6835" s="263">
        <v>2</v>
      </c>
      <c r="F6835" s="294" t="s">
        <v>126</v>
      </c>
      <c r="G6835" s="294" t="s">
        <v>341</v>
      </c>
      <c r="H6835" s="298">
        <v>1</v>
      </c>
      <c r="M6835" s="274"/>
    </row>
    <row r="6836" spans="2:13" ht="15" customHeight="1" x14ac:dyDescent="0.25">
      <c r="B6836" s="289">
        <v>6792</v>
      </c>
      <c r="C6836" s="261">
        <v>119</v>
      </c>
      <c r="D6836" s="244" t="s">
        <v>12</v>
      </c>
      <c r="E6836" s="263">
        <v>1</v>
      </c>
      <c r="F6836" s="294" t="s">
        <v>126</v>
      </c>
      <c r="G6836" s="294" t="s">
        <v>139</v>
      </c>
      <c r="H6836" s="298">
        <v>1</v>
      </c>
      <c r="M6836" s="274"/>
    </row>
    <row r="6837" spans="2:13" ht="15" customHeight="1" x14ac:dyDescent="0.25">
      <c r="B6837" s="289">
        <v>6792</v>
      </c>
      <c r="C6837" s="261">
        <v>123</v>
      </c>
      <c r="D6837" s="244" t="s">
        <v>12</v>
      </c>
      <c r="E6837" s="263">
        <v>56</v>
      </c>
      <c r="F6837" s="294" t="s">
        <v>126</v>
      </c>
      <c r="G6837" s="294" t="s">
        <v>937</v>
      </c>
      <c r="H6837" s="298">
        <v>1</v>
      </c>
      <c r="M6837" s="274"/>
    </row>
    <row r="6838" spans="2:13" ht="15" customHeight="1" x14ac:dyDescent="0.25">
      <c r="B6838" s="289">
        <v>6793</v>
      </c>
      <c r="C6838" s="261">
        <v>115</v>
      </c>
      <c r="D6838" s="244" t="s">
        <v>12</v>
      </c>
      <c r="E6838" s="263">
        <v>2</v>
      </c>
      <c r="F6838" s="294" t="s">
        <v>126</v>
      </c>
      <c r="G6838" s="294" t="s">
        <v>341</v>
      </c>
      <c r="H6838" s="298">
        <v>1</v>
      </c>
      <c r="M6838" s="274"/>
    </row>
    <row r="6839" spans="2:13" ht="15" customHeight="1" x14ac:dyDescent="0.25">
      <c r="B6839" s="289">
        <v>6793</v>
      </c>
      <c r="C6839" s="261">
        <v>119</v>
      </c>
      <c r="D6839" s="244" t="s">
        <v>12</v>
      </c>
      <c r="E6839" s="263">
        <v>1</v>
      </c>
      <c r="F6839" s="294" t="s">
        <v>126</v>
      </c>
      <c r="G6839" s="294" t="s">
        <v>139</v>
      </c>
      <c r="H6839" s="298">
        <v>1</v>
      </c>
      <c r="M6839" s="274"/>
    </row>
    <row r="6840" spans="2:13" ht="15" customHeight="1" x14ac:dyDescent="0.25">
      <c r="B6840" s="289">
        <v>6793</v>
      </c>
      <c r="C6840" s="261">
        <v>123</v>
      </c>
      <c r="D6840" s="244" t="s">
        <v>12</v>
      </c>
      <c r="E6840" s="263">
        <v>56</v>
      </c>
      <c r="F6840" s="294" t="s">
        <v>126</v>
      </c>
      <c r="G6840" s="294" t="s">
        <v>938</v>
      </c>
      <c r="H6840" s="298">
        <v>1</v>
      </c>
      <c r="M6840" s="274"/>
    </row>
    <row r="6841" spans="2:13" ht="15" customHeight="1" x14ac:dyDescent="0.25">
      <c r="B6841" s="289">
        <v>6794</v>
      </c>
      <c r="C6841" s="261">
        <v>113</v>
      </c>
      <c r="D6841" s="244" t="s">
        <v>12</v>
      </c>
      <c r="E6841" s="263">
        <v>1</v>
      </c>
      <c r="F6841" s="294" t="s">
        <v>126</v>
      </c>
      <c r="G6841" s="294" t="s">
        <v>426</v>
      </c>
      <c r="H6841" s="298">
        <v>1</v>
      </c>
      <c r="M6841" s="274"/>
    </row>
    <row r="6842" spans="2:13" ht="15" customHeight="1" x14ac:dyDescent="0.25">
      <c r="B6842" s="289">
        <v>6794</v>
      </c>
      <c r="C6842" s="261">
        <v>123</v>
      </c>
      <c r="D6842" s="244" t="s">
        <v>12</v>
      </c>
      <c r="E6842" s="263">
        <v>41</v>
      </c>
      <c r="F6842" s="294" t="s">
        <v>126</v>
      </c>
      <c r="G6842" s="294" t="s">
        <v>939</v>
      </c>
      <c r="H6842" s="298">
        <v>1</v>
      </c>
      <c r="M6842" s="274"/>
    </row>
    <row r="6843" spans="2:13" ht="15" customHeight="1" x14ac:dyDescent="0.25">
      <c r="B6843" s="289">
        <v>6795</v>
      </c>
      <c r="C6843" s="261">
        <v>114</v>
      </c>
      <c r="D6843" s="244" t="s">
        <v>11</v>
      </c>
      <c r="E6843" s="263">
        <v>17</v>
      </c>
      <c r="F6843" s="294" t="s">
        <v>940</v>
      </c>
      <c r="G6843" s="294" t="s">
        <v>126</v>
      </c>
      <c r="H6843" s="298">
        <v>1</v>
      </c>
      <c r="M6843" s="274"/>
    </row>
    <row r="6844" spans="2:13" ht="15" customHeight="1" x14ac:dyDescent="0.25">
      <c r="B6844" s="289">
        <v>6796</v>
      </c>
      <c r="C6844" s="261">
        <v>114</v>
      </c>
      <c r="D6844" s="244" t="s">
        <v>11</v>
      </c>
      <c r="E6844" s="263">
        <v>6</v>
      </c>
      <c r="F6844" s="294" t="s">
        <v>941</v>
      </c>
      <c r="G6844" s="294" t="s">
        <v>126</v>
      </c>
      <c r="H6844" s="298">
        <v>1</v>
      </c>
      <c r="M6844" s="274"/>
    </row>
    <row r="6845" spans="2:13" ht="15" customHeight="1" x14ac:dyDescent="0.25">
      <c r="B6845" s="289">
        <v>6796</v>
      </c>
      <c r="C6845" s="261">
        <v>123</v>
      </c>
      <c r="D6845" s="244" t="s">
        <v>11</v>
      </c>
      <c r="E6845" s="263">
        <v>5</v>
      </c>
      <c r="F6845" s="294" t="s">
        <v>505</v>
      </c>
      <c r="G6845" s="294" t="s">
        <v>126</v>
      </c>
      <c r="H6845" s="298">
        <v>1</v>
      </c>
      <c r="M6845" s="274"/>
    </row>
    <row r="6846" spans="2:13" ht="15" customHeight="1" x14ac:dyDescent="0.25">
      <c r="B6846" s="289">
        <v>6797</v>
      </c>
      <c r="C6846" s="261">
        <v>114</v>
      </c>
      <c r="D6846" s="244" t="s">
        <v>11</v>
      </c>
      <c r="E6846" s="263">
        <v>6</v>
      </c>
      <c r="F6846" s="294" t="s">
        <v>941</v>
      </c>
      <c r="G6846" s="294" t="s">
        <v>126</v>
      </c>
      <c r="H6846" s="298">
        <v>1</v>
      </c>
      <c r="M6846" s="274"/>
    </row>
    <row r="6847" spans="2:13" ht="15" customHeight="1" x14ac:dyDescent="0.25">
      <c r="B6847" s="289">
        <v>6798</v>
      </c>
      <c r="C6847" s="261">
        <v>114</v>
      </c>
      <c r="D6847" s="244" t="s">
        <v>11</v>
      </c>
      <c r="E6847" s="263">
        <v>6</v>
      </c>
      <c r="F6847" s="294" t="s">
        <v>941</v>
      </c>
      <c r="G6847" s="294" t="s">
        <v>126</v>
      </c>
      <c r="H6847" s="298">
        <v>1</v>
      </c>
      <c r="M6847" s="274"/>
    </row>
    <row r="6848" spans="2:13" ht="15" customHeight="1" x14ac:dyDescent="0.25">
      <c r="B6848" s="289">
        <v>6799</v>
      </c>
      <c r="C6848" s="261">
        <v>114</v>
      </c>
      <c r="D6848" s="244" t="s">
        <v>11</v>
      </c>
      <c r="E6848" s="263">
        <v>1</v>
      </c>
      <c r="F6848" s="294" t="s">
        <v>437</v>
      </c>
      <c r="G6848" s="294" t="s">
        <v>126</v>
      </c>
      <c r="H6848" s="298">
        <v>1</v>
      </c>
      <c r="M6848" s="274"/>
    </row>
    <row r="6849" spans="2:13" ht="15" customHeight="1" x14ac:dyDescent="0.25">
      <c r="B6849" s="289">
        <v>6799</v>
      </c>
      <c r="C6849" s="261">
        <v>123</v>
      </c>
      <c r="D6849" s="244" t="s">
        <v>12</v>
      </c>
      <c r="E6849" s="263">
        <v>1</v>
      </c>
      <c r="F6849" s="294" t="s">
        <v>126</v>
      </c>
      <c r="G6849" s="294" t="s">
        <v>139</v>
      </c>
      <c r="H6849" s="298">
        <v>1</v>
      </c>
      <c r="M6849" s="274"/>
    </row>
    <row r="6850" spans="2:13" ht="15" customHeight="1" x14ac:dyDescent="0.25">
      <c r="B6850" s="289">
        <v>6800</v>
      </c>
      <c r="C6850" s="261">
        <v>116</v>
      </c>
      <c r="D6850" s="244" t="s">
        <v>11</v>
      </c>
      <c r="E6850" s="263">
        <v>12</v>
      </c>
      <c r="F6850" s="294" t="s">
        <v>451</v>
      </c>
      <c r="G6850" s="294" t="s">
        <v>126</v>
      </c>
      <c r="H6850" s="298">
        <v>1</v>
      </c>
      <c r="M6850" s="274"/>
    </row>
    <row r="6851" spans="2:13" ht="15" customHeight="1" x14ac:dyDescent="0.25">
      <c r="B6851" s="289">
        <v>6801</v>
      </c>
      <c r="C6851" s="261">
        <v>123</v>
      </c>
      <c r="D6851" s="244" t="s">
        <v>12</v>
      </c>
      <c r="E6851" s="263">
        <v>87</v>
      </c>
      <c r="F6851" s="294" t="s">
        <v>126</v>
      </c>
      <c r="G6851" s="294" t="s">
        <v>942</v>
      </c>
      <c r="H6851" s="298">
        <v>1</v>
      </c>
      <c r="M6851" s="274"/>
    </row>
    <row r="6852" spans="2:13" ht="15" customHeight="1" x14ac:dyDescent="0.25">
      <c r="B6852" s="289">
        <v>6802</v>
      </c>
      <c r="C6852" s="261">
        <v>119</v>
      </c>
      <c r="D6852" s="244" t="s">
        <v>11</v>
      </c>
      <c r="E6852" s="263">
        <v>10</v>
      </c>
      <c r="F6852" s="294" t="s">
        <v>895</v>
      </c>
      <c r="G6852" s="294" t="s">
        <v>126</v>
      </c>
      <c r="H6852" s="298">
        <v>1</v>
      </c>
      <c r="M6852" s="274"/>
    </row>
    <row r="6853" spans="2:13" ht="15" customHeight="1" x14ac:dyDescent="0.25">
      <c r="B6853" s="289">
        <v>6803</v>
      </c>
      <c r="C6853" s="261">
        <v>125</v>
      </c>
      <c r="D6853" s="244" t="s">
        <v>12</v>
      </c>
      <c r="E6853" s="263">
        <v>5</v>
      </c>
      <c r="F6853" s="294" t="s">
        <v>126</v>
      </c>
      <c r="G6853" s="294" t="s">
        <v>943</v>
      </c>
      <c r="H6853" s="298">
        <v>1</v>
      </c>
      <c r="M6853" s="274"/>
    </row>
    <row r="6854" spans="2:13" ht="15" customHeight="1" x14ac:dyDescent="0.25">
      <c r="B6854" s="289">
        <v>6804</v>
      </c>
      <c r="C6854" s="261">
        <v>123</v>
      </c>
      <c r="D6854" s="244" t="s">
        <v>11</v>
      </c>
      <c r="E6854" s="263">
        <v>6</v>
      </c>
      <c r="F6854" s="294" t="s">
        <v>464</v>
      </c>
      <c r="G6854" s="294" t="s">
        <v>126</v>
      </c>
      <c r="H6854" s="298">
        <v>1</v>
      </c>
      <c r="M6854" s="274"/>
    </row>
    <row r="6855" spans="2:13" ht="15" customHeight="1" x14ac:dyDescent="0.25">
      <c r="B6855" s="289">
        <v>6804</v>
      </c>
      <c r="C6855" s="261">
        <v>139</v>
      </c>
      <c r="D6855" s="244" t="s">
        <v>12</v>
      </c>
      <c r="E6855" s="263">
        <v>2</v>
      </c>
      <c r="F6855" s="294" t="s">
        <v>126</v>
      </c>
      <c r="G6855" s="294" t="s">
        <v>285</v>
      </c>
      <c r="H6855" s="298">
        <v>1</v>
      </c>
      <c r="M6855" s="274"/>
    </row>
    <row r="6856" spans="2:13" ht="15" customHeight="1" x14ac:dyDescent="0.25">
      <c r="B6856" s="289">
        <v>6805</v>
      </c>
      <c r="C6856" s="261">
        <v>123</v>
      </c>
      <c r="D6856" s="244" t="s">
        <v>12</v>
      </c>
      <c r="E6856" s="263">
        <v>1</v>
      </c>
      <c r="F6856" s="294" t="s">
        <v>126</v>
      </c>
      <c r="G6856" s="294" t="s">
        <v>426</v>
      </c>
      <c r="H6856" s="298">
        <v>1</v>
      </c>
      <c r="M6856" s="274"/>
    </row>
    <row r="6857" spans="2:13" ht="15" customHeight="1" x14ac:dyDescent="0.25">
      <c r="B6857" s="289">
        <v>6806</v>
      </c>
      <c r="C6857" s="261">
        <v>123</v>
      </c>
      <c r="D6857" s="244" t="s">
        <v>12</v>
      </c>
      <c r="E6857" s="263">
        <v>100</v>
      </c>
      <c r="F6857" s="294" t="s">
        <v>126</v>
      </c>
      <c r="G6857" s="294" t="s">
        <v>944</v>
      </c>
      <c r="H6857" s="298">
        <v>1</v>
      </c>
      <c r="M6857" s="274"/>
    </row>
    <row r="6858" spans="2:13" ht="15" customHeight="1" x14ac:dyDescent="0.25">
      <c r="B6858" s="289">
        <v>6807</v>
      </c>
      <c r="C6858" s="261">
        <v>123</v>
      </c>
      <c r="D6858" s="244" t="s">
        <v>12</v>
      </c>
      <c r="E6858" s="263">
        <v>1</v>
      </c>
      <c r="F6858" s="294" t="s">
        <v>126</v>
      </c>
      <c r="G6858" s="294" t="s">
        <v>139</v>
      </c>
      <c r="H6858" s="298">
        <v>1</v>
      </c>
      <c r="M6858" s="274"/>
    </row>
    <row r="6859" spans="2:13" ht="15" customHeight="1" x14ac:dyDescent="0.25">
      <c r="B6859" s="289">
        <v>6809</v>
      </c>
      <c r="C6859" s="261">
        <v>116</v>
      </c>
      <c r="D6859" s="244" t="s">
        <v>12</v>
      </c>
      <c r="E6859" s="263">
        <v>2</v>
      </c>
      <c r="F6859" s="294" t="s">
        <v>126</v>
      </c>
      <c r="G6859" s="294" t="s">
        <v>420</v>
      </c>
      <c r="H6859" s="298">
        <v>1</v>
      </c>
      <c r="M6859" s="274"/>
    </row>
    <row r="6860" spans="2:13" ht="15" customHeight="1" x14ac:dyDescent="0.25">
      <c r="B6860" s="289">
        <v>6809</v>
      </c>
      <c r="C6860" s="261">
        <v>123</v>
      </c>
      <c r="D6860" s="244" t="s">
        <v>11</v>
      </c>
      <c r="E6860" s="263">
        <v>2</v>
      </c>
      <c r="F6860" s="294" t="s">
        <v>420</v>
      </c>
      <c r="G6860" s="294" t="s">
        <v>126</v>
      </c>
      <c r="H6860" s="298">
        <v>1</v>
      </c>
      <c r="M6860" s="274"/>
    </row>
    <row r="6861" spans="2:13" ht="15" customHeight="1" x14ac:dyDescent="0.25">
      <c r="B6861" s="289">
        <v>6810</v>
      </c>
      <c r="C6861" s="261">
        <v>123</v>
      </c>
      <c r="D6861" s="244" t="s">
        <v>12</v>
      </c>
      <c r="E6861" s="263">
        <v>48</v>
      </c>
      <c r="F6861" s="294" t="s">
        <v>126</v>
      </c>
      <c r="G6861" s="294" t="s">
        <v>945</v>
      </c>
      <c r="H6861" s="298">
        <v>1</v>
      </c>
      <c r="M6861" s="274"/>
    </row>
    <row r="6862" spans="2:13" ht="15" customHeight="1" x14ac:dyDescent="0.25">
      <c r="B6862" s="289">
        <v>6811</v>
      </c>
      <c r="C6862" s="261">
        <v>123</v>
      </c>
      <c r="D6862" s="244" t="s">
        <v>12</v>
      </c>
      <c r="E6862" s="263">
        <v>24</v>
      </c>
      <c r="F6862" s="294" t="s">
        <v>126</v>
      </c>
      <c r="G6862" s="294" t="s">
        <v>946</v>
      </c>
      <c r="H6862" s="298">
        <v>1</v>
      </c>
      <c r="M6862" s="274"/>
    </row>
    <row r="6863" spans="2:13" ht="15" customHeight="1" x14ac:dyDescent="0.25">
      <c r="B6863" s="289">
        <v>6812</v>
      </c>
      <c r="C6863" s="261">
        <v>117</v>
      </c>
      <c r="D6863" s="244" t="s">
        <v>11</v>
      </c>
      <c r="E6863" s="263">
        <v>3</v>
      </c>
      <c r="F6863" s="294" t="s">
        <v>591</v>
      </c>
      <c r="G6863" s="294" t="s">
        <v>126</v>
      </c>
      <c r="H6863" s="298">
        <v>1</v>
      </c>
      <c r="M6863" s="274"/>
    </row>
    <row r="6864" spans="2:13" ht="15" customHeight="1" x14ac:dyDescent="0.25">
      <c r="B6864" s="289">
        <v>6813</v>
      </c>
      <c r="C6864" s="261">
        <v>121</v>
      </c>
      <c r="D6864" s="244" t="s">
        <v>11</v>
      </c>
      <c r="E6864" s="263">
        <v>1</v>
      </c>
      <c r="F6864" s="294" t="s">
        <v>437</v>
      </c>
      <c r="G6864" s="294" t="s">
        <v>126</v>
      </c>
      <c r="H6864" s="298">
        <v>1</v>
      </c>
      <c r="M6864" s="274"/>
    </row>
    <row r="6865" spans="2:13" ht="15" customHeight="1" x14ac:dyDescent="0.25">
      <c r="B6865" s="289">
        <v>6814</v>
      </c>
      <c r="C6865" s="261">
        <v>116</v>
      </c>
      <c r="D6865" s="244" t="s">
        <v>11</v>
      </c>
      <c r="E6865" s="263">
        <v>11</v>
      </c>
      <c r="F6865" s="294" t="s">
        <v>473</v>
      </c>
      <c r="G6865" s="294" t="s">
        <v>126</v>
      </c>
      <c r="H6865" s="298">
        <v>1</v>
      </c>
      <c r="M6865" s="274"/>
    </row>
    <row r="6866" spans="2:13" ht="15" customHeight="1" x14ac:dyDescent="0.25">
      <c r="B6866" s="289">
        <v>6815</v>
      </c>
      <c r="C6866" s="261">
        <v>113</v>
      </c>
      <c r="D6866" s="244" t="s">
        <v>12</v>
      </c>
      <c r="E6866" s="263">
        <v>52</v>
      </c>
      <c r="F6866" s="294" t="s">
        <v>126</v>
      </c>
      <c r="G6866" s="294" t="s">
        <v>947</v>
      </c>
      <c r="H6866" s="298">
        <v>1</v>
      </c>
      <c r="M6866" s="274"/>
    </row>
    <row r="6867" spans="2:13" ht="15" customHeight="1" x14ac:dyDescent="0.25">
      <c r="B6867" s="289">
        <v>6816</v>
      </c>
      <c r="C6867" s="261">
        <v>123</v>
      </c>
      <c r="D6867" s="244" t="s">
        <v>12</v>
      </c>
      <c r="E6867" s="263">
        <v>24</v>
      </c>
      <c r="F6867" s="294" t="s">
        <v>126</v>
      </c>
      <c r="G6867" s="294" t="s">
        <v>946</v>
      </c>
      <c r="H6867" s="298">
        <v>1</v>
      </c>
      <c r="M6867" s="274"/>
    </row>
    <row r="6868" spans="2:13" ht="15" customHeight="1" x14ac:dyDescent="0.25">
      <c r="B6868" s="289">
        <v>6817</v>
      </c>
      <c r="C6868" s="261">
        <v>123</v>
      </c>
      <c r="D6868" s="244" t="s">
        <v>12</v>
      </c>
      <c r="E6868" s="263">
        <v>71</v>
      </c>
      <c r="F6868" s="294" t="s">
        <v>126</v>
      </c>
      <c r="G6868" s="294" t="s">
        <v>948</v>
      </c>
      <c r="H6868" s="298">
        <v>1</v>
      </c>
      <c r="M6868" s="274"/>
    </row>
    <row r="6869" spans="2:13" ht="15" customHeight="1" x14ac:dyDescent="0.25">
      <c r="B6869" s="289">
        <v>6818</v>
      </c>
      <c r="C6869" s="261">
        <v>123</v>
      </c>
      <c r="D6869" s="244" t="s">
        <v>11</v>
      </c>
      <c r="E6869" s="263">
        <v>9</v>
      </c>
      <c r="F6869" s="294" t="s">
        <v>436</v>
      </c>
      <c r="G6869" s="294" t="s">
        <v>126</v>
      </c>
      <c r="H6869" s="298">
        <v>1</v>
      </c>
      <c r="M6869" s="274"/>
    </row>
    <row r="6870" spans="2:13" ht="15" customHeight="1" x14ac:dyDescent="0.25">
      <c r="B6870" s="289">
        <v>6819</v>
      </c>
      <c r="C6870" s="261">
        <v>113</v>
      </c>
      <c r="D6870" s="244" t="s">
        <v>11</v>
      </c>
      <c r="E6870" s="263">
        <v>9</v>
      </c>
      <c r="F6870" s="294" t="s">
        <v>949</v>
      </c>
      <c r="G6870" s="294" t="s">
        <v>126</v>
      </c>
      <c r="H6870" s="298">
        <v>1</v>
      </c>
      <c r="M6870" s="274"/>
    </row>
    <row r="6871" spans="2:13" ht="15" customHeight="1" x14ac:dyDescent="0.25">
      <c r="B6871" s="289">
        <v>6820</v>
      </c>
      <c r="C6871" s="261">
        <v>113</v>
      </c>
      <c r="D6871" s="244" t="s">
        <v>11</v>
      </c>
      <c r="E6871" s="263">
        <v>6</v>
      </c>
      <c r="F6871" s="294" t="s">
        <v>950</v>
      </c>
      <c r="G6871" s="294" t="s">
        <v>126</v>
      </c>
      <c r="H6871" s="298">
        <v>1</v>
      </c>
      <c r="M6871" s="274"/>
    </row>
    <row r="6872" spans="2:13" ht="15" customHeight="1" x14ac:dyDescent="0.25">
      <c r="B6872" s="289">
        <v>6821</v>
      </c>
      <c r="C6872" s="261">
        <v>113</v>
      </c>
      <c r="D6872" s="244" t="s">
        <v>11</v>
      </c>
      <c r="E6872" s="263">
        <v>1</v>
      </c>
      <c r="F6872" s="294" t="s">
        <v>235</v>
      </c>
      <c r="G6872" s="294" t="s">
        <v>126</v>
      </c>
      <c r="H6872" s="298">
        <v>1</v>
      </c>
      <c r="M6872" s="274"/>
    </row>
    <row r="6873" spans="2:13" ht="15" customHeight="1" x14ac:dyDescent="0.25">
      <c r="B6873" s="289">
        <v>6821</v>
      </c>
      <c r="C6873" s="261">
        <v>123</v>
      </c>
      <c r="D6873" s="244" t="s">
        <v>12</v>
      </c>
      <c r="E6873" s="263">
        <v>88</v>
      </c>
      <c r="F6873" s="294" t="s">
        <v>126</v>
      </c>
      <c r="G6873" s="294" t="s">
        <v>951</v>
      </c>
      <c r="H6873" s="298">
        <v>1</v>
      </c>
      <c r="M6873" s="274"/>
    </row>
    <row r="6874" spans="2:13" ht="15" customHeight="1" x14ac:dyDescent="0.25">
      <c r="B6874" s="289">
        <v>6822</v>
      </c>
      <c r="C6874" s="261">
        <v>114</v>
      </c>
      <c r="D6874" s="244" t="s">
        <v>11</v>
      </c>
      <c r="E6874" s="263">
        <v>13</v>
      </c>
      <c r="F6874" s="294" t="s">
        <v>492</v>
      </c>
      <c r="G6874" s="294" t="s">
        <v>126</v>
      </c>
      <c r="H6874" s="298">
        <v>1</v>
      </c>
      <c r="M6874" s="274"/>
    </row>
    <row r="6875" spans="2:13" ht="15" customHeight="1" x14ac:dyDescent="0.25">
      <c r="B6875" s="289">
        <v>6823</v>
      </c>
      <c r="C6875" s="261">
        <v>116</v>
      </c>
      <c r="D6875" s="244" t="s">
        <v>11</v>
      </c>
      <c r="E6875" s="263">
        <v>6</v>
      </c>
      <c r="F6875" s="294" t="s">
        <v>952</v>
      </c>
      <c r="G6875" s="294" t="s">
        <v>126</v>
      </c>
      <c r="H6875" s="298">
        <v>1</v>
      </c>
      <c r="M6875" s="274"/>
    </row>
    <row r="6876" spans="2:13" ht="15" customHeight="1" x14ac:dyDescent="0.25">
      <c r="B6876" s="289">
        <v>6824</v>
      </c>
      <c r="C6876" s="261">
        <v>117</v>
      </c>
      <c r="D6876" s="244" t="s">
        <v>11</v>
      </c>
      <c r="E6876" s="263">
        <v>9</v>
      </c>
      <c r="F6876" s="294" t="s">
        <v>919</v>
      </c>
      <c r="G6876" s="294" t="s">
        <v>126</v>
      </c>
      <c r="H6876" s="298">
        <v>1</v>
      </c>
      <c r="M6876" s="274"/>
    </row>
    <row r="6877" spans="2:13" ht="15" customHeight="1" x14ac:dyDescent="0.25">
      <c r="B6877" s="289">
        <v>6825</v>
      </c>
      <c r="C6877" s="261">
        <v>123</v>
      </c>
      <c r="D6877" s="244" t="s">
        <v>12</v>
      </c>
      <c r="E6877" s="263">
        <v>25</v>
      </c>
      <c r="F6877" s="294" t="s">
        <v>126</v>
      </c>
      <c r="G6877" s="294" t="s">
        <v>953</v>
      </c>
      <c r="H6877" s="298">
        <v>1</v>
      </c>
      <c r="M6877" s="274"/>
    </row>
    <row r="6878" spans="2:13" ht="15" customHeight="1" x14ac:dyDescent="0.25">
      <c r="B6878" s="289">
        <v>6826</v>
      </c>
      <c r="C6878" s="261">
        <v>118</v>
      </c>
      <c r="D6878" s="244" t="s">
        <v>11</v>
      </c>
      <c r="E6878" s="263">
        <v>5</v>
      </c>
      <c r="F6878" s="294" t="s">
        <v>453</v>
      </c>
      <c r="G6878" s="294" t="s">
        <v>126</v>
      </c>
      <c r="H6878" s="298">
        <v>1</v>
      </c>
      <c r="M6878" s="274"/>
    </row>
    <row r="6879" spans="2:13" ht="15" customHeight="1" x14ac:dyDescent="0.25">
      <c r="B6879" s="289">
        <v>6827</v>
      </c>
      <c r="C6879" s="261">
        <v>119</v>
      </c>
      <c r="D6879" s="244" t="s">
        <v>11</v>
      </c>
      <c r="E6879" s="263">
        <v>10</v>
      </c>
      <c r="F6879" s="294" t="s">
        <v>895</v>
      </c>
      <c r="G6879" s="294" t="s">
        <v>126</v>
      </c>
      <c r="H6879" s="298">
        <v>1</v>
      </c>
      <c r="M6879" s="274"/>
    </row>
    <row r="6880" spans="2:13" ht="15" customHeight="1" x14ac:dyDescent="0.25">
      <c r="B6880" s="289">
        <v>6828</v>
      </c>
      <c r="C6880" s="261">
        <v>121</v>
      </c>
      <c r="D6880" s="244" t="s">
        <v>11</v>
      </c>
      <c r="E6880" s="263">
        <v>2</v>
      </c>
      <c r="F6880" s="294" t="s">
        <v>441</v>
      </c>
      <c r="G6880" s="294" t="s">
        <v>126</v>
      </c>
      <c r="H6880" s="298">
        <v>1</v>
      </c>
      <c r="M6880" s="274"/>
    </row>
    <row r="6881" spans="2:13" ht="15" customHeight="1" x14ac:dyDescent="0.25">
      <c r="B6881" s="289">
        <v>6829</v>
      </c>
      <c r="C6881" s="261">
        <v>123</v>
      </c>
      <c r="D6881" s="244" t="s">
        <v>11</v>
      </c>
      <c r="E6881" s="263">
        <v>9</v>
      </c>
      <c r="F6881" s="294" t="s">
        <v>436</v>
      </c>
      <c r="G6881" s="294" t="s">
        <v>126</v>
      </c>
      <c r="H6881" s="298">
        <v>1</v>
      </c>
      <c r="M6881" s="274"/>
    </row>
    <row r="6882" spans="2:13" ht="15" customHeight="1" x14ac:dyDescent="0.25">
      <c r="B6882" s="289">
        <v>6830</v>
      </c>
      <c r="C6882" s="261">
        <v>123</v>
      </c>
      <c r="D6882" s="244" t="s">
        <v>11</v>
      </c>
      <c r="E6882" s="263">
        <v>1</v>
      </c>
      <c r="F6882" s="294" t="s">
        <v>139</v>
      </c>
      <c r="G6882" s="294" t="s">
        <v>126</v>
      </c>
      <c r="H6882" s="298">
        <v>1</v>
      </c>
      <c r="M6882" s="274"/>
    </row>
    <row r="6883" spans="2:13" ht="15" customHeight="1" x14ac:dyDescent="0.25">
      <c r="B6883" s="289">
        <v>6831</v>
      </c>
      <c r="C6883" s="261">
        <v>123</v>
      </c>
      <c r="D6883" s="244" t="s">
        <v>12</v>
      </c>
      <c r="E6883" s="263">
        <v>1</v>
      </c>
      <c r="F6883" s="294" t="s">
        <v>126</v>
      </c>
      <c r="G6883" s="294" t="s">
        <v>437</v>
      </c>
      <c r="H6883" s="298">
        <v>1</v>
      </c>
      <c r="M6883" s="274"/>
    </row>
    <row r="6884" spans="2:13" ht="15" customHeight="1" x14ac:dyDescent="0.25">
      <c r="B6884" s="289">
        <v>6832</v>
      </c>
      <c r="C6884" s="261">
        <v>123</v>
      </c>
      <c r="D6884" s="244" t="s">
        <v>12</v>
      </c>
      <c r="E6884" s="263">
        <v>87</v>
      </c>
      <c r="F6884" s="294" t="s">
        <v>126</v>
      </c>
      <c r="G6884" s="294" t="s">
        <v>954</v>
      </c>
      <c r="H6884" s="298">
        <v>1</v>
      </c>
      <c r="M6884" s="274"/>
    </row>
    <row r="6885" spans="2:13" ht="15" customHeight="1" x14ac:dyDescent="0.25">
      <c r="B6885" s="289">
        <v>6836</v>
      </c>
      <c r="C6885" s="261">
        <v>122</v>
      </c>
      <c r="D6885" s="244" t="s">
        <v>11</v>
      </c>
      <c r="E6885" s="263">
        <v>3</v>
      </c>
      <c r="F6885" s="294" t="s">
        <v>438</v>
      </c>
      <c r="G6885" s="294" t="s">
        <v>126</v>
      </c>
      <c r="H6885" s="298">
        <v>1</v>
      </c>
      <c r="M6885" s="274"/>
    </row>
    <row r="6886" spans="2:13" ht="15" customHeight="1" x14ac:dyDescent="0.25">
      <c r="B6886" s="289">
        <v>6837</v>
      </c>
      <c r="C6886" s="261">
        <v>112</v>
      </c>
      <c r="D6886" s="244" t="s">
        <v>12</v>
      </c>
      <c r="E6886" s="263">
        <v>32</v>
      </c>
      <c r="F6886" s="294" t="s">
        <v>126</v>
      </c>
      <c r="G6886" s="294" t="s">
        <v>955</v>
      </c>
      <c r="H6886" s="298">
        <v>1</v>
      </c>
      <c r="M6886" s="274"/>
    </row>
    <row r="6887" spans="2:13" ht="15" customHeight="1" x14ac:dyDescent="0.25">
      <c r="B6887" s="289">
        <v>6837</v>
      </c>
      <c r="C6887" s="261">
        <v>123</v>
      </c>
      <c r="D6887" s="244" t="s">
        <v>12</v>
      </c>
      <c r="E6887" s="263">
        <v>31</v>
      </c>
      <c r="F6887" s="294" t="s">
        <v>126</v>
      </c>
      <c r="G6887" s="294" t="s">
        <v>956</v>
      </c>
      <c r="H6887" s="298">
        <v>1</v>
      </c>
      <c r="M6887" s="274"/>
    </row>
    <row r="6888" spans="2:13" ht="15" customHeight="1" x14ac:dyDescent="0.25">
      <c r="B6888" s="289">
        <v>6838</v>
      </c>
      <c r="C6888" s="261">
        <v>114</v>
      </c>
      <c r="D6888" s="244" t="s">
        <v>12</v>
      </c>
      <c r="E6888" s="263">
        <v>1</v>
      </c>
      <c r="F6888" s="294" t="s">
        <v>126</v>
      </c>
      <c r="G6888" s="294" t="s">
        <v>139</v>
      </c>
      <c r="H6888" s="298">
        <v>1</v>
      </c>
      <c r="M6888" s="274"/>
    </row>
    <row r="6889" spans="2:13" ht="15" customHeight="1" x14ac:dyDescent="0.25">
      <c r="B6889" s="289">
        <v>6838</v>
      </c>
      <c r="C6889" s="261">
        <v>118</v>
      </c>
      <c r="D6889" s="244" t="s">
        <v>12</v>
      </c>
      <c r="E6889" s="263">
        <v>2</v>
      </c>
      <c r="F6889" s="294" t="s">
        <v>126</v>
      </c>
      <c r="G6889" s="294" t="s">
        <v>417</v>
      </c>
      <c r="H6889" s="298">
        <v>1</v>
      </c>
      <c r="M6889" s="274"/>
    </row>
    <row r="6890" spans="2:13" ht="15" customHeight="1" x14ac:dyDescent="0.25">
      <c r="B6890" s="289">
        <v>6838</v>
      </c>
      <c r="C6890" s="261">
        <v>123</v>
      </c>
      <c r="D6890" s="244" t="s">
        <v>12</v>
      </c>
      <c r="E6890" s="263">
        <v>52</v>
      </c>
      <c r="F6890" s="294" t="s">
        <v>126</v>
      </c>
      <c r="G6890" s="294" t="s">
        <v>957</v>
      </c>
      <c r="H6890" s="298">
        <v>1</v>
      </c>
      <c r="M6890" s="274"/>
    </row>
    <row r="6891" spans="2:13" ht="15" customHeight="1" x14ac:dyDescent="0.25">
      <c r="B6891" s="289">
        <v>6839</v>
      </c>
      <c r="C6891" s="261">
        <v>113</v>
      </c>
      <c r="D6891" s="244" t="s">
        <v>12</v>
      </c>
      <c r="E6891" s="263">
        <v>1</v>
      </c>
      <c r="F6891" s="294" t="s">
        <v>126</v>
      </c>
      <c r="G6891" s="294" t="s">
        <v>426</v>
      </c>
      <c r="H6891" s="298">
        <v>1</v>
      </c>
      <c r="M6891" s="274"/>
    </row>
    <row r="6892" spans="2:13" ht="15" customHeight="1" x14ac:dyDescent="0.25">
      <c r="B6892" s="289">
        <v>6839</v>
      </c>
      <c r="C6892" s="261">
        <v>123</v>
      </c>
      <c r="D6892" s="244" t="s">
        <v>11</v>
      </c>
      <c r="E6892" s="263">
        <v>9</v>
      </c>
      <c r="F6892" s="294" t="s">
        <v>436</v>
      </c>
      <c r="G6892" s="294" t="s">
        <v>126</v>
      </c>
      <c r="H6892" s="298">
        <v>1</v>
      </c>
      <c r="M6892" s="274"/>
    </row>
    <row r="6893" spans="2:13" ht="15" customHeight="1" x14ac:dyDescent="0.25">
      <c r="B6893" s="289">
        <v>6840</v>
      </c>
      <c r="C6893" s="261">
        <v>112</v>
      </c>
      <c r="D6893" s="244" t="s">
        <v>12</v>
      </c>
      <c r="E6893" s="263">
        <v>43</v>
      </c>
      <c r="F6893" s="294" t="s">
        <v>126</v>
      </c>
      <c r="G6893" s="294" t="s">
        <v>604</v>
      </c>
      <c r="H6893" s="298">
        <v>1</v>
      </c>
      <c r="M6893" s="274"/>
    </row>
    <row r="6894" spans="2:13" ht="15" customHeight="1" x14ac:dyDescent="0.25">
      <c r="B6894" s="289">
        <v>6841</v>
      </c>
      <c r="C6894" s="261">
        <v>123</v>
      </c>
      <c r="D6894" s="244" t="s">
        <v>12</v>
      </c>
      <c r="E6894" s="263">
        <v>47</v>
      </c>
      <c r="F6894" s="294" t="s">
        <v>126</v>
      </c>
      <c r="G6894" s="294" t="s">
        <v>958</v>
      </c>
      <c r="H6894" s="298">
        <v>1</v>
      </c>
      <c r="M6894" s="274"/>
    </row>
    <row r="6895" spans="2:13" ht="15" customHeight="1" x14ac:dyDescent="0.25">
      <c r="B6895" s="289">
        <v>6842</v>
      </c>
      <c r="C6895" s="261">
        <v>121</v>
      </c>
      <c r="D6895" s="244" t="s">
        <v>11</v>
      </c>
      <c r="E6895" s="263">
        <v>6</v>
      </c>
      <c r="F6895" s="294" t="s">
        <v>864</v>
      </c>
      <c r="G6895" s="294" t="s">
        <v>126</v>
      </c>
      <c r="H6895" s="298">
        <v>1</v>
      </c>
      <c r="M6895" s="274"/>
    </row>
    <row r="6896" spans="2:13" ht="15" customHeight="1" x14ac:dyDescent="0.25">
      <c r="B6896" s="289">
        <v>6843</v>
      </c>
      <c r="C6896" s="261">
        <v>123</v>
      </c>
      <c r="D6896" s="244" t="s">
        <v>12</v>
      </c>
      <c r="E6896" s="263">
        <v>3</v>
      </c>
      <c r="F6896" s="294" t="s">
        <v>126</v>
      </c>
      <c r="G6896" s="294" t="s">
        <v>463</v>
      </c>
      <c r="H6896" s="298">
        <v>1</v>
      </c>
      <c r="M6896" s="274"/>
    </row>
    <row r="6897" spans="2:13" ht="15" customHeight="1" x14ac:dyDescent="0.25">
      <c r="B6897" s="289">
        <v>6845</v>
      </c>
      <c r="C6897" s="261">
        <v>122</v>
      </c>
      <c r="D6897" s="244" t="s">
        <v>11</v>
      </c>
      <c r="E6897" s="263">
        <v>1</v>
      </c>
      <c r="F6897" s="294" t="s">
        <v>426</v>
      </c>
      <c r="G6897" s="294" t="s">
        <v>126</v>
      </c>
      <c r="H6897" s="298">
        <v>1</v>
      </c>
      <c r="M6897" s="274"/>
    </row>
    <row r="6898" spans="2:13" ht="15" customHeight="1" x14ac:dyDescent="0.25">
      <c r="B6898" s="289">
        <v>6846</v>
      </c>
      <c r="C6898" s="261">
        <v>123</v>
      </c>
      <c r="D6898" s="244" t="s">
        <v>11</v>
      </c>
      <c r="E6898" s="263">
        <v>9</v>
      </c>
      <c r="F6898" s="294" t="s">
        <v>436</v>
      </c>
      <c r="G6898" s="294" t="s">
        <v>126</v>
      </c>
      <c r="H6898" s="298">
        <v>1</v>
      </c>
      <c r="M6898" s="274"/>
    </row>
    <row r="6899" spans="2:13" ht="15" customHeight="1" x14ac:dyDescent="0.25">
      <c r="B6899" s="289">
        <v>6847</v>
      </c>
      <c r="C6899" s="261">
        <v>127</v>
      </c>
      <c r="D6899" s="244" t="s">
        <v>12</v>
      </c>
      <c r="E6899" s="263">
        <v>6</v>
      </c>
      <c r="F6899" s="294" t="s">
        <v>126</v>
      </c>
      <c r="G6899" s="294" t="s">
        <v>959</v>
      </c>
      <c r="H6899" s="298">
        <v>1</v>
      </c>
      <c r="M6899" s="274"/>
    </row>
    <row r="6900" spans="2:13" ht="15" customHeight="1" x14ac:dyDescent="0.25">
      <c r="B6900" s="289">
        <v>6848</v>
      </c>
      <c r="C6900" s="261">
        <v>123</v>
      </c>
      <c r="D6900" s="244" t="s">
        <v>12</v>
      </c>
      <c r="E6900" s="263">
        <v>20</v>
      </c>
      <c r="F6900" s="294" t="s">
        <v>126</v>
      </c>
      <c r="G6900" s="294" t="s">
        <v>960</v>
      </c>
      <c r="H6900" s="298">
        <v>1</v>
      </c>
      <c r="M6900" s="274"/>
    </row>
    <row r="6901" spans="2:13" ht="15" customHeight="1" x14ac:dyDescent="0.25">
      <c r="B6901" s="289">
        <v>6850</v>
      </c>
      <c r="C6901" s="261">
        <v>123</v>
      </c>
      <c r="D6901" s="244" t="s">
        <v>12</v>
      </c>
      <c r="E6901" s="263">
        <v>12</v>
      </c>
      <c r="F6901" s="294" t="s">
        <v>126</v>
      </c>
      <c r="G6901" s="294" t="s">
        <v>961</v>
      </c>
      <c r="H6901" s="298">
        <v>1</v>
      </c>
      <c r="M6901" s="274"/>
    </row>
    <row r="6902" spans="2:13" ht="15" customHeight="1" x14ac:dyDescent="0.25">
      <c r="B6902" s="289">
        <v>6851</v>
      </c>
      <c r="C6902" s="261">
        <v>123</v>
      </c>
      <c r="D6902" s="244" t="s">
        <v>11</v>
      </c>
      <c r="E6902" s="263">
        <v>9</v>
      </c>
      <c r="F6902" s="294" t="s">
        <v>436</v>
      </c>
      <c r="G6902" s="294" t="s">
        <v>126</v>
      </c>
      <c r="H6902" s="298">
        <v>1</v>
      </c>
      <c r="M6902" s="274"/>
    </row>
    <row r="6903" spans="2:13" ht="15" customHeight="1" x14ac:dyDescent="0.25">
      <c r="B6903" s="289">
        <v>6853</v>
      </c>
      <c r="C6903" s="261">
        <v>123</v>
      </c>
      <c r="D6903" s="244" t="s">
        <v>12</v>
      </c>
      <c r="E6903" s="263">
        <v>25</v>
      </c>
      <c r="F6903" s="294" t="s">
        <v>126</v>
      </c>
      <c r="G6903" s="294" t="s">
        <v>962</v>
      </c>
      <c r="H6903" s="298">
        <v>1</v>
      </c>
      <c r="M6903" s="274"/>
    </row>
    <row r="6904" spans="2:13" ht="15" customHeight="1" x14ac:dyDescent="0.25">
      <c r="B6904" s="289">
        <v>6853</v>
      </c>
      <c r="C6904" s="261">
        <v>128</v>
      </c>
      <c r="D6904" s="244" t="s">
        <v>12</v>
      </c>
      <c r="E6904" s="263">
        <v>6</v>
      </c>
      <c r="F6904" s="294" t="s">
        <v>126</v>
      </c>
      <c r="G6904" s="294" t="s">
        <v>963</v>
      </c>
      <c r="H6904" s="298">
        <v>1</v>
      </c>
      <c r="M6904" s="274"/>
    </row>
    <row r="6905" spans="2:13" ht="15" customHeight="1" x14ac:dyDescent="0.25">
      <c r="B6905" s="289">
        <v>6854</v>
      </c>
      <c r="C6905" s="261">
        <v>113</v>
      </c>
      <c r="D6905" s="244" t="s">
        <v>11</v>
      </c>
      <c r="E6905" s="263">
        <v>4</v>
      </c>
      <c r="F6905" s="294" t="s">
        <v>964</v>
      </c>
      <c r="G6905" s="294" t="s">
        <v>126</v>
      </c>
      <c r="H6905" s="298">
        <v>1</v>
      </c>
      <c r="M6905" s="274"/>
    </row>
    <row r="6906" spans="2:13" ht="15" customHeight="1" x14ac:dyDescent="0.25">
      <c r="B6906" s="289">
        <v>6854</v>
      </c>
      <c r="C6906" s="261">
        <v>122</v>
      </c>
      <c r="D6906" s="244" t="s">
        <v>12</v>
      </c>
      <c r="E6906" s="263">
        <v>2</v>
      </c>
      <c r="F6906" s="294" t="s">
        <v>126</v>
      </c>
      <c r="G6906" s="294" t="s">
        <v>441</v>
      </c>
      <c r="H6906" s="298">
        <v>1</v>
      </c>
      <c r="M6906" s="274"/>
    </row>
    <row r="6907" spans="2:13" ht="15" customHeight="1" x14ac:dyDescent="0.25">
      <c r="B6907" s="289">
        <v>6854</v>
      </c>
      <c r="C6907" s="261">
        <v>134</v>
      </c>
      <c r="D6907" s="244" t="s">
        <v>12</v>
      </c>
      <c r="E6907" s="263">
        <v>5</v>
      </c>
      <c r="F6907" s="294" t="s">
        <v>126</v>
      </c>
      <c r="G6907" s="294" t="s">
        <v>600</v>
      </c>
      <c r="H6907" s="298">
        <v>1</v>
      </c>
      <c r="M6907" s="274"/>
    </row>
    <row r="6908" spans="2:13" ht="15" customHeight="1" x14ac:dyDescent="0.25">
      <c r="B6908" s="289">
        <v>6855</v>
      </c>
      <c r="C6908" s="261">
        <v>111</v>
      </c>
      <c r="D6908" s="244" t="s">
        <v>12</v>
      </c>
      <c r="E6908" s="263">
        <v>42</v>
      </c>
      <c r="F6908" s="294" t="s">
        <v>126</v>
      </c>
      <c r="G6908" s="294" t="s">
        <v>965</v>
      </c>
      <c r="H6908" s="298">
        <v>1</v>
      </c>
      <c r="M6908" s="274"/>
    </row>
    <row r="6909" spans="2:13" ht="15" customHeight="1" x14ac:dyDescent="0.25">
      <c r="B6909" s="289">
        <v>6856</v>
      </c>
      <c r="C6909" s="261">
        <v>123</v>
      </c>
      <c r="D6909" s="244" t="s">
        <v>12</v>
      </c>
      <c r="E6909" s="263">
        <v>42</v>
      </c>
      <c r="F6909" s="294" t="s">
        <v>126</v>
      </c>
      <c r="G6909" s="294" t="s">
        <v>804</v>
      </c>
      <c r="H6909" s="298">
        <v>1</v>
      </c>
      <c r="M6909" s="274"/>
    </row>
    <row r="6910" spans="2:13" ht="15" customHeight="1" x14ac:dyDescent="0.25">
      <c r="B6910" s="289">
        <v>6857</v>
      </c>
      <c r="C6910" s="261">
        <v>123</v>
      </c>
      <c r="D6910" s="244" t="s">
        <v>12</v>
      </c>
      <c r="E6910" s="263">
        <v>84</v>
      </c>
      <c r="F6910" s="294" t="s">
        <v>126</v>
      </c>
      <c r="G6910" s="294" t="s">
        <v>966</v>
      </c>
      <c r="H6910" s="298">
        <v>1</v>
      </c>
      <c r="M6910" s="274"/>
    </row>
    <row r="6911" spans="2:13" ht="15" customHeight="1" x14ac:dyDescent="0.25">
      <c r="B6911" s="289">
        <v>6858</v>
      </c>
      <c r="C6911" s="261">
        <v>115</v>
      </c>
      <c r="D6911" s="244" t="s">
        <v>11</v>
      </c>
      <c r="E6911" s="263">
        <v>9</v>
      </c>
      <c r="F6911" s="294" t="s">
        <v>918</v>
      </c>
      <c r="G6911" s="294" t="s">
        <v>126</v>
      </c>
      <c r="H6911" s="298">
        <v>1</v>
      </c>
      <c r="M6911" s="274"/>
    </row>
    <row r="6912" spans="2:13" ht="15" customHeight="1" x14ac:dyDescent="0.25">
      <c r="B6912" s="289">
        <v>6859</v>
      </c>
      <c r="C6912" s="261">
        <v>114</v>
      </c>
      <c r="D6912" s="244" t="s">
        <v>12</v>
      </c>
      <c r="E6912" s="263">
        <v>2</v>
      </c>
      <c r="F6912" s="294" t="s">
        <v>126</v>
      </c>
      <c r="G6912" s="294" t="s">
        <v>227</v>
      </c>
      <c r="H6912" s="298">
        <v>1</v>
      </c>
      <c r="M6912" s="274"/>
    </row>
    <row r="6913" spans="2:13" ht="15" customHeight="1" x14ac:dyDescent="0.25">
      <c r="B6913" s="289">
        <v>6859</v>
      </c>
      <c r="C6913" s="261">
        <v>123</v>
      </c>
      <c r="D6913" s="244" t="s">
        <v>12</v>
      </c>
      <c r="E6913" s="263">
        <v>84</v>
      </c>
      <c r="F6913" s="294" t="s">
        <v>126</v>
      </c>
      <c r="G6913" s="294" t="s">
        <v>845</v>
      </c>
      <c r="H6913" s="298">
        <v>1</v>
      </c>
      <c r="M6913" s="274"/>
    </row>
    <row r="6914" spans="2:13" ht="15" customHeight="1" x14ac:dyDescent="0.25">
      <c r="B6914" s="289">
        <v>6859</v>
      </c>
      <c r="C6914" s="261">
        <v>128</v>
      </c>
      <c r="D6914" s="244" t="s">
        <v>12</v>
      </c>
      <c r="E6914" s="263">
        <v>2</v>
      </c>
      <c r="F6914" s="294" t="s">
        <v>126</v>
      </c>
      <c r="G6914" s="294" t="s">
        <v>227</v>
      </c>
      <c r="H6914" s="298">
        <v>1</v>
      </c>
      <c r="M6914" s="274"/>
    </row>
    <row r="6915" spans="2:13" ht="15" customHeight="1" x14ac:dyDescent="0.25">
      <c r="B6915" s="289">
        <v>6859</v>
      </c>
      <c r="C6915" s="261">
        <v>137</v>
      </c>
      <c r="D6915" s="244" t="s">
        <v>12</v>
      </c>
      <c r="E6915" s="263">
        <v>2</v>
      </c>
      <c r="F6915" s="294" t="s">
        <v>126</v>
      </c>
      <c r="G6915" s="294" t="s">
        <v>454</v>
      </c>
      <c r="H6915" s="298">
        <v>1</v>
      </c>
      <c r="M6915" s="274"/>
    </row>
    <row r="6916" spans="2:13" ht="15" customHeight="1" x14ac:dyDescent="0.25">
      <c r="B6916" s="289">
        <v>6860</v>
      </c>
      <c r="C6916" s="261">
        <v>111</v>
      </c>
      <c r="D6916" s="244" t="s">
        <v>11</v>
      </c>
      <c r="E6916" s="263">
        <v>19</v>
      </c>
      <c r="F6916" s="294" t="s">
        <v>967</v>
      </c>
      <c r="G6916" s="294" t="s">
        <v>126</v>
      </c>
      <c r="H6916" s="298">
        <v>1</v>
      </c>
      <c r="M6916" s="274"/>
    </row>
    <row r="6917" spans="2:13" ht="15" customHeight="1" x14ac:dyDescent="0.25">
      <c r="B6917" s="289">
        <v>6861</v>
      </c>
      <c r="C6917" s="261">
        <v>111</v>
      </c>
      <c r="D6917" s="244" t="s">
        <v>11</v>
      </c>
      <c r="E6917" s="263">
        <v>10</v>
      </c>
      <c r="F6917" s="294" t="s">
        <v>968</v>
      </c>
      <c r="G6917" s="294" t="s">
        <v>126</v>
      </c>
      <c r="H6917" s="298">
        <v>1</v>
      </c>
      <c r="M6917" s="274"/>
    </row>
    <row r="6918" spans="2:13" ht="15" customHeight="1" x14ac:dyDescent="0.25">
      <c r="B6918" s="289">
        <v>6862</v>
      </c>
      <c r="C6918" s="261">
        <v>114</v>
      </c>
      <c r="D6918" s="244" t="s">
        <v>12</v>
      </c>
      <c r="E6918" s="263">
        <v>6</v>
      </c>
      <c r="F6918" s="294" t="s">
        <v>126</v>
      </c>
      <c r="G6918" s="294" t="s">
        <v>969</v>
      </c>
      <c r="H6918" s="298">
        <v>1</v>
      </c>
      <c r="M6918" s="274"/>
    </row>
    <row r="6919" spans="2:13" ht="15" customHeight="1" x14ac:dyDescent="0.25">
      <c r="B6919" s="289">
        <v>6862</v>
      </c>
      <c r="C6919" s="261">
        <v>119</v>
      </c>
      <c r="D6919" s="244" t="s">
        <v>11</v>
      </c>
      <c r="E6919" s="263">
        <v>2</v>
      </c>
      <c r="F6919" s="294" t="s">
        <v>511</v>
      </c>
      <c r="G6919" s="294" t="s">
        <v>126</v>
      </c>
      <c r="H6919" s="298">
        <v>1</v>
      </c>
      <c r="M6919" s="274"/>
    </row>
    <row r="6920" spans="2:13" ht="15" customHeight="1" x14ac:dyDescent="0.25">
      <c r="B6920" s="289">
        <v>6862</v>
      </c>
      <c r="C6920" s="261">
        <v>123</v>
      </c>
      <c r="D6920" s="244" t="s">
        <v>12</v>
      </c>
      <c r="E6920" s="263">
        <v>53</v>
      </c>
      <c r="F6920" s="294" t="s">
        <v>126</v>
      </c>
      <c r="G6920" s="294" t="s">
        <v>970</v>
      </c>
      <c r="H6920" s="298">
        <v>1</v>
      </c>
      <c r="M6920" s="274"/>
    </row>
    <row r="6921" spans="2:13" ht="15" customHeight="1" x14ac:dyDescent="0.25">
      <c r="B6921" s="289">
        <v>6863</v>
      </c>
      <c r="C6921" s="261">
        <v>113</v>
      </c>
      <c r="D6921" s="244" t="s">
        <v>11</v>
      </c>
      <c r="E6921" s="263">
        <v>31</v>
      </c>
      <c r="F6921" s="294" t="s">
        <v>971</v>
      </c>
      <c r="G6921" s="294" t="s">
        <v>126</v>
      </c>
      <c r="H6921" s="298">
        <v>1</v>
      </c>
      <c r="M6921" s="274"/>
    </row>
    <row r="6922" spans="2:13" ht="15" customHeight="1" x14ac:dyDescent="0.25">
      <c r="B6922" s="289">
        <v>6865</v>
      </c>
      <c r="C6922" s="261">
        <v>110</v>
      </c>
      <c r="D6922" s="244" t="s">
        <v>12</v>
      </c>
      <c r="E6922" s="263">
        <v>33</v>
      </c>
      <c r="F6922" s="294" t="s">
        <v>126</v>
      </c>
      <c r="G6922" s="294" t="s">
        <v>972</v>
      </c>
      <c r="H6922" s="298">
        <v>1</v>
      </c>
      <c r="M6922" s="274"/>
    </row>
    <row r="6923" spans="2:13" ht="15" customHeight="1" x14ac:dyDescent="0.25">
      <c r="B6923" s="289">
        <v>6865</v>
      </c>
      <c r="C6923" s="261">
        <v>123</v>
      </c>
      <c r="D6923" s="244" t="s">
        <v>12</v>
      </c>
      <c r="E6923" s="263">
        <v>62</v>
      </c>
      <c r="F6923" s="294" t="s">
        <v>126</v>
      </c>
      <c r="G6923" s="294" t="s">
        <v>973</v>
      </c>
      <c r="H6923" s="298">
        <v>1</v>
      </c>
      <c r="M6923" s="274"/>
    </row>
    <row r="6924" spans="2:13" ht="15" customHeight="1" x14ac:dyDescent="0.25">
      <c r="B6924" s="289">
        <v>6866</v>
      </c>
      <c r="C6924" s="261">
        <v>110</v>
      </c>
      <c r="D6924" s="244" t="s">
        <v>12</v>
      </c>
      <c r="E6924" s="263">
        <v>33</v>
      </c>
      <c r="F6924" s="294" t="s">
        <v>126</v>
      </c>
      <c r="G6924" s="294" t="s">
        <v>972</v>
      </c>
      <c r="H6924" s="298">
        <v>1</v>
      </c>
      <c r="M6924" s="274"/>
    </row>
    <row r="6925" spans="2:13" ht="15" customHeight="1" x14ac:dyDescent="0.25">
      <c r="B6925" s="289">
        <v>6866</v>
      </c>
      <c r="C6925" s="261">
        <v>123</v>
      </c>
      <c r="D6925" s="244" t="s">
        <v>12</v>
      </c>
      <c r="E6925" s="263">
        <v>62</v>
      </c>
      <c r="F6925" s="294" t="s">
        <v>126</v>
      </c>
      <c r="G6925" s="294" t="s">
        <v>974</v>
      </c>
      <c r="H6925" s="298">
        <v>1</v>
      </c>
      <c r="M6925" s="274"/>
    </row>
    <row r="6926" spans="2:13" ht="15" customHeight="1" x14ac:dyDescent="0.25">
      <c r="B6926" s="289">
        <v>6867</v>
      </c>
      <c r="C6926" s="261">
        <v>110</v>
      </c>
      <c r="D6926" s="244" t="s">
        <v>12</v>
      </c>
      <c r="E6926" s="263">
        <v>33</v>
      </c>
      <c r="F6926" s="294" t="s">
        <v>126</v>
      </c>
      <c r="G6926" s="294" t="s">
        <v>972</v>
      </c>
      <c r="H6926" s="298">
        <v>1</v>
      </c>
      <c r="M6926" s="274"/>
    </row>
    <row r="6927" spans="2:13" ht="15" customHeight="1" x14ac:dyDescent="0.25">
      <c r="B6927" s="289">
        <v>6867</v>
      </c>
      <c r="C6927" s="261">
        <v>123</v>
      </c>
      <c r="D6927" s="244" t="s">
        <v>12</v>
      </c>
      <c r="E6927" s="263">
        <v>62</v>
      </c>
      <c r="F6927" s="294" t="s">
        <v>126</v>
      </c>
      <c r="G6927" s="294" t="s">
        <v>975</v>
      </c>
      <c r="H6927" s="298">
        <v>1</v>
      </c>
      <c r="M6927" s="274"/>
    </row>
    <row r="6928" spans="2:13" ht="15" customHeight="1" x14ac:dyDescent="0.25">
      <c r="B6928" s="289">
        <v>6868</v>
      </c>
      <c r="C6928" s="261">
        <v>110</v>
      </c>
      <c r="D6928" s="244" t="s">
        <v>12</v>
      </c>
      <c r="E6928" s="263">
        <v>33</v>
      </c>
      <c r="F6928" s="294" t="s">
        <v>126</v>
      </c>
      <c r="G6928" s="294" t="s">
        <v>972</v>
      </c>
      <c r="H6928" s="298">
        <v>1</v>
      </c>
      <c r="M6928" s="274"/>
    </row>
    <row r="6929" spans="2:13" ht="15" customHeight="1" x14ac:dyDescent="0.25">
      <c r="B6929" s="289">
        <v>6868</v>
      </c>
      <c r="C6929" s="261">
        <v>123</v>
      </c>
      <c r="D6929" s="244" t="s">
        <v>12</v>
      </c>
      <c r="E6929" s="263">
        <v>62</v>
      </c>
      <c r="F6929" s="294" t="s">
        <v>126</v>
      </c>
      <c r="G6929" s="294" t="s">
        <v>976</v>
      </c>
      <c r="H6929" s="298">
        <v>1</v>
      </c>
      <c r="M6929" s="274"/>
    </row>
    <row r="6930" spans="2:13" ht="15" customHeight="1" x14ac:dyDescent="0.25">
      <c r="B6930" s="289">
        <v>6869</v>
      </c>
      <c r="C6930" s="261">
        <v>111</v>
      </c>
      <c r="D6930" s="244" t="s">
        <v>11</v>
      </c>
      <c r="E6930" s="263">
        <v>10</v>
      </c>
      <c r="F6930" s="294" t="s">
        <v>968</v>
      </c>
      <c r="G6930" s="294" t="s">
        <v>126</v>
      </c>
      <c r="H6930" s="298">
        <v>1</v>
      </c>
      <c r="M6930" s="274"/>
    </row>
    <row r="6931" spans="2:13" ht="15" customHeight="1" x14ac:dyDescent="0.25">
      <c r="B6931" s="289">
        <v>6870</v>
      </c>
      <c r="C6931" s="261">
        <v>122</v>
      </c>
      <c r="D6931" s="244" t="s">
        <v>11</v>
      </c>
      <c r="E6931" s="263">
        <v>1</v>
      </c>
      <c r="F6931" s="294" t="s">
        <v>426</v>
      </c>
      <c r="G6931" s="294" t="s">
        <v>126</v>
      </c>
      <c r="H6931" s="298">
        <v>1</v>
      </c>
      <c r="M6931" s="274"/>
    </row>
    <row r="6932" spans="2:13" ht="15" customHeight="1" x14ac:dyDescent="0.25">
      <c r="B6932" s="289">
        <v>6871</v>
      </c>
      <c r="C6932" s="261">
        <v>123</v>
      </c>
      <c r="D6932" s="244" t="s">
        <v>12</v>
      </c>
      <c r="E6932" s="263">
        <v>15</v>
      </c>
      <c r="F6932" s="294" t="s">
        <v>126</v>
      </c>
      <c r="G6932" s="294" t="s">
        <v>977</v>
      </c>
      <c r="H6932" s="298">
        <v>1</v>
      </c>
      <c r="M6932" s="274"/>
    </row>
    <row r="6933" spans="2:13" ht="15" customHeight="1" x14ac:dyDescent="0.25">
      <c r="B6933" s="289">
        <v>6872</v>
      </c>
      <c r="C6933" s="261">
        <v>141</v>
      </c>
      <c r="D6933" s="244" t="s">
        <v>12</v>
      </c>
      <c r="E6933" s="263">
        <v>1</v>
      </c>
      <c r="F6933" s="294" t="s">
        <v>126</v>
      </c>
      <c r="G6933" s="294" t="s">
        <v>437</v>
      </c>
      <c r="H6933" s="298">
        <v>1</v>
      </c>
      <c r="M6933" s="274"/>
    </row>
    <row r="6934" spans="2:13" ht="15" customHeight="1" x14ac:dyDescent="0.25">
      <c r="B6934" s="289">
        <v>6874</v>
      </c>
      <c r="C6934" s="261">
        <v>123</v>
      </c>
      <c r="D6934" s="244" t="s">
        <v>12</v>
      </c>
      <c r="E6934" s="263">
        <v>62</v>
      </c>
      <c r="F6934" s="294" t="s">
        <v>126</v>
      </c>
      <c r="G6934" s="294" t="s">
        <v>978</v>
      </c>
      <c r="H6934" s="298">
        <v>1</v>
      </c>
      <c r="M6934" s="274"/>
    </row>
    <row r="6935" spans="2:13" ht="15" customHeight="1" x14ac:dyDescent="0.25">
      <c r="B6935" s="289">
        <v>6875</v>
      </c>
      <c r="C6935" s="261">
        <v>123</v>
      </c>
      <c r="D6935" s="244" t="s">
        <v>12</v>
      </c>
      <c r="E6935" s="263">
        <v>62</v>
      </c>
      <c r="F6935" s="294" t="s">
        <v>126</v>
      </c>
      <c r="G6935" s="294" t="s">
        <v>979</v>
      </c>
      <c r="H6935" s="298">
        <v>1</v>
      </c>
      <c r="M6935" s="274"/>
    </row>
    <row r="6936" spans="2:13" ht="15" customHeight="1" x14ac:dyDescent="0.25">
      <c r="B6936" s="289">
        <v>6877</v>
      </c>
      <c r="C6936" s="261">
        <v>111</v>
      </c>
      <c r="D6936" s="244" t="s">
        <v>11</v>
      </c>
      <c r="E6936" s="263">
        <v>10</v>
      </c>
      <c r="F6936" s="294" t="s">
        <v>968</v>
      </c>
      <c r="G6936" s="294" t="s">
        <v>126</v>
      </c>
      <c r="H6936" s="298">
        <v>1</v>
      </c>
      <c r="M6936" s="274"/>
    </row>
    <row r="6937" spans="2:13" ht="15" customHeight="1" x14ac:dyDescent="0.25">
      <c r="B6937" s="289">
        <v>6878</v>
      </c>
      <c r="C6937" s="261">
        <v>118</v>
      </c>
      <c r="D6937" s="244" t="s">
        <v>11</v>
      </c>
      <c r="E6937" s="263">
        <v>3</v>
      </c>
      <c r="F6937" s="294" t="s">
        <v>933</v>
      </c>
      <c r="G6937" s="294" t="s">
        <v>126</v>
      </c>
      <c r="H6937" s="298">
        <v>1</v>
      </c>
      <c r="M6937" s="274"/>
    </row>
    <row r="6938" spans="2:13" ht="15" customHeight="1" x14ac:dyDescent="0.25">
      <c r="B6938" s="289">
        <v>6879</v>
      </c>
      <c r="C6938" s="261">
        <v>123</v>
      </c>
      <c r="D6938" s="244" t="s">
        <v>11</v>
      </c>
      <c r="E6938" s="263">
        <v>5</v>
      </c>
      <c r="F6938" s="294" t="s">
        <v>505</v>
      </c>
      <c r="G6938" s="294" t="s">
        <v>126</v>
      </c>
      <c r="H6938" s="298">
        <v>1</v>
      </c>
      <c r="M6938" s="274"/>
    </row>
    <row r="6939" spans="2:13" ht="15" customHeight="1" x14ac:dyDescent="0.25">
      <c r="B6939" s="289">
        <v>6882</v>
      </c>
      <c r="C6939" s="261">
        <v>112</v>
      </c>
      <c r="D6939" s="244" t="s">
        <v>11</v>
      </c>
      <c r="E6939" s="263">
        <v>12</v>
      </c>
      <c r="F6939" s="294" t="s">
        <v>980</v>
      </c>
      <c r="G6939" s="294" t="s">
        <v>126</v>
      </c>
      <c r="H6939" s="298">
        <v>1</v>
      </c>
      <c r="M6939" s="274"/>
    </row>
    <row r="6940" spans="2:13" ht="15" customHeight="1" x14ac:dyDescent="0.25">
      <c r="B6940" s="289">
        <v>6883</v>
      </c>
      <c r="C6940" s="261">
        <v>117</v>
      </c>
      <c r="D6940" s="244" t="s">
        <v>11</v>
      </c>
      <c r="E6940" s="263">
        <v>6</v>
      </c>
      <c r="F6940" s="294" t="s">
        <v>506</v>
      </c>
      <c r="G6940" s="294" t="s">
        <v>126</v>
      </c>
      <c r="H6940" s="298">
        <v>1</v>
      </c>
      <c r="M6940" s="274"/>
    </row>
    <row r="6941" spans="2:13" ht="15" customHeight="1" x14ac:dyDescent="0.25">
      <c r="B6941" s="289">
        <v>6884</v>
      </c>
      <c r="C6941" s="261">
        <v>109</v>
      </c>
      <c r="D6941" s="244" t="s">
        <v>12</v>
      </c>
      <c r="E6941" s="263">
        <v>5</v>
      </c>
      <c r="F6941" s="294" t="s">
        <v>126</v>
      </c>
      <c r="G6941" s="294" t="s">
        <v>981</v>
      </c>
      <c r="H6941" s="298">
        <v>1</v>
      </c>
      <c r="M6941" s="274"/>
    </row>
    <row r="6942" spans="2:13" ht="15" customHeight="1" x14ac:dyDescent="0.25">
      <c r="B6942" s="289">
        <v>6884</v>
      </c>
      <c r="C6942" s="261">
        <v>123</v>
      </c>
      <c r="D6942" s="244" t="s">
        <v>12</v>
      </c>
      <c r="E6942" s="263">
        <v>42</v>
      </c>
      <c r="F6942" s="294" t="s">
        <v>126</v>
      </c>
      <c r="G6942" s="294" t="s">
        <v>982</v>
      </c>
      <c r="H6942" s="298">
        <v>1</v>
      </c>
      <c r="M6942" s="274"/>
    </row>
    <row r="6943" spans="2:13" ht="15" customHeight="1" x14ac:dyDescent="0.25">
      <c r="B6943" s="289">
        <v>6886</v>
      </c>
      <c r="C6943" s="261">
        <v>108</v>
      </c>
      <c r="D6943" s="244" t="s">
        <v>11</v>
      </c>
      <c r="E6943" s="263">
        <v>7</v>
      </c>
      <c r="F6943" s="294" t="s">
        <v>983</v>
      </c>
      <c r="G6943" s="294" t="s">
        <v>126</v>
      </c>
      <c r="H6943" s="298">
        <v>1</v>
      </c>
      <c r="M6943" s="274"/>
    </row>
    <row r="6944" spans="2:13" ht="15" customHeight="1" x14ac:dyDescent="0.25">
      <c r="B6944" s="289">
        <v>6887</v>
      </c>
      <c r="C6944" s="261">
        <v>112</v>
      </c>
      <c r="D6944" s="244" t="s">
        <v>11</v>
      </c>
      <c r="E6944" s="263">
        <v>11</v>
      </c>
      <c r="F6944" s="294" t="s">
        <v>984</v>
      </c>
      <c r="G6944" s="294" t="s">
        <v>126</v>
      </c>
      <c r="H6944" s="298">
        <v>1</v>
      </c>
      <c r="M6944" s="274"/>
    </row>
    <row r="6945" spans="2:13" ht="15" customHeight="1" x14ac:dyDescent="0.25">
      <c r="B6945" s="289">
        <v>6890</v>
      </c>
      <c r="C6945" s="261">
        <v>113</v>
      </c>
      <c r="D6945" s="244" t="s">
        <v>11</v>
      </c>
      <c r="E6945" s="263">
        <v>14</v>
      </c>
      <c r="F6945" s="294" t="s">
        <v>985</v>
      </c>
      <c r="G6945" s="294" t="s">
        <v>126</v>
      </c>
      <c r="H6945" s="298">
        <v>1</v>
      </c>
      <c r="M6945" s="274"/>
    </row>
    <row r="6946" spans="2:13" ht="15" customHeight="1" x14ac:dyDescent="0.25">
      <c r="B6946" s="289">
        <v>6891</v>
      </c>
      <c r="C6946" s="261">
        <v>116</v>
      </c>
      <c r="D6946" s="244" t="s">
        <v>11</v>
      </c>
      <c r="E6946" s="263">
        <v>11</v>
      </c>
      <c r="F6946" s="294" t="s">
        <v>473</v>
      </c>
      <c r="G6946" s="294" t="s">
        <v>126</v>
      </c>
      <c r="H6946" s="298">
        <v>1</v>
      </c>
      <c r="M6946" s="274"/>
    </row>
    <row r="6947" spans="2:13" ht="15" customHeight="1" x14ac:dyDescent="0.25">
      <c r="B6947" s="289">
        <v>6892</v>
      </c>
      <c r="C6947" s="261">
        <v>120</v>
      </c>
      <c r="D6947" s="244" t="s">
        <v>11</v>
      </c>
      <c r="E6947" s="263">
        <v>8</v>
      </c>
      <c r="F6947" s="294" t="s">
        <v>589</v>
      </c>
      <c r="G6947" s="294" t="s">
        <v>126</v>
      </c>
      <c r="H6947" s="298">
        <v>1</v>
      </c>
      <c r="M6947" s="274"/>
    </row>
    <row r="6948" spans="2:13" ht="15" customHeight="1" x14ac:dyDescent="0.25">
      <c r="B6948" s="289">
        <v>6893</v>
      </c>
      <c r="C6948" s="261">
        <v>123</v>
      </c>
      <c r="D6948" s="244" t="s">
        <v>12</v>
      </c>
      <c r="E6948" s="263">
        <v>12</v>
      </c>
      <c r="F6948" s="294" t="s">
        <v>126</v>
      </c>
      <c r="G6948" s="294" t="s">
        <v>986</v>
      </c>
      <c r="H6948" s="298">
        <v>1</v>
      </c>
      <c r="M6948" s="274"/>
    </row>
    <row r="6949" spans="2:13" ht="15" customHeight="1" x14ac:dyDescent="0.25">
      <c r="B6949" s="289">
        <v>6894</v>
      </c>
      <c r="C6949" s="261">
        <v>123</v>
      </c>
      <c r="D6949" s="244" t="s">
        <v>12</v>
      </c>
      <c r="E6949" s="263">
        <v>2</v>
      </c>
      <c r="F6949" s="294" t="s">
        <v>126</v>
      </c>
      <c r="G6949" s="294" t="s">
        <v>441</v>
      </c>
      <c r="H6949" s="298">
        <v>1</v>
      </c>
      <c r="M6949" s="274"/>
    </row>
    <row r="6950" spans="2:13" ht="15" customHeight="1" x14ac:dyDescent="0.25">
      <c r="B6950" s="289">
        <v>6899</v>
      </c>
      <c r="C6950" s="261">
        <v>122</v>
      </c>
      <c r="D6950" s="244" t="s">
        <v>12</v>
      </c>
      <c r="E6950" s="263">
        <v>6</v>
      </c>
      <c r="F6950" s="294" t="s">
        <v>126</v>
      </c>
      <c r="G6950" s="294" t="s">
        <v>987</v>
      </c>
      <c r="H6950" s="298">
        <v>1</v>
      </c>
      <c r="M6950" s="274"/>
    </row>
    <row r="6951" spans="2:13" ht="15" customHeight="1" x14ac:dyDescent="0.25">
      <c r="B6951" s="289">
        <v>6901</v>
      </c>
      <c r="C6951" s="261">
        <v>123</v>
      </c>
      <c r="D6951" s="244" t="s">
        <v>11</v>
      </c>
      <c r="E6951" s="263">
        <v>9</v>
      </c>
      <c r="F6951" s="294" t="s">
        <v>436</v>
      </c>
      <c r="G6951" s="294" t="s">
        <v>126</v>
      </c>
      <c r="H6951" s="298">
        <v>1</v>
      </c>
      <c r="M6951" s="274"/>
    </row>
    <row r="6952" spans="2:13" ht="15" customHeight="1" x14ac:dyDescent="0.25">
      <c r="B6952" s="289">
        <v>6902</v>
      </c>
      <c r="C6952" s="261">
        <v>139</v>
      </c>
      <c r="D6952" s="244" t="s">
        <v>11</v>
      </c>
      <c r="E6952" s="263">
        <v>1</v>
      </c>
      <c r="F6952" s="294" t="s">
        <v>235</v>
      </c>
      <c r="G6952" s="294" t="s">
        <v>126</v>
      </c>
      <c r="H6952" s="298">
        <v>1</v>
      </c>
      <c r="M6952" s="274"/>
    </row>
    <row r="6953" spans="2:13" ht="15" customHeight="1" x14ac:dyDescent="0.25">
      <c r="B6953" s="289">
        <v>6904</v>
      </c>
      <c r="C6953" s="261">
        <v>109</v>
      </c>
      <c r="D6953" s="244" t="s">
        <v>11</v>
      </c>
      <c r="E6953" s="263">
        <v>15</v>
      </c>
      <c r="F6953" s="294" t="s">
        <v>497</v>
      </c>
      <c r="G6953" s="294" t="s">
        <v>126</v>
      </c>
      <c r="H6953" s="298">
        <v>1</v>
      </c>
      <c r="M6953" s="274"/>
    </row>
    <row r="6954" spans="2:13" ht="15" customHeight="1" x14ac:dyDescent="0.25">
      <c r="B6954" s="289">
        <v>6906</v>
      </c>
      <c r="C6954" s="261">
        <v>115</v>
      </c>
      <c r="D6954" s="244" t="s">
        <v>11</v>
      </c>
      <c r="E6954" s="263">
        <v>1</v>
      </c>
      <c r="F6954" s="294" t="s">
        <v>235</v>
      </c>
      <c r="G6954" s="294" t="s">
        <v>126</v>
      </c>
      <c r="H6954" s="298">
        <v>1</v>
      </c>
      <c r="M6954" s="274"/>
    </row>
    <row r="6955" spans="2:13" ht="15" customHeight="1" x14ac:dyDescent="0.25">
      <c r="B6955" s="289">
        <v>6907</v>
      </c>
      <c r="C6955" s="261">
        <v>117</v>
      </c>
      <c r="D6955" s="244" t="s">
        <v>11</v>
      </c>
      <c r="E6955" s="263">
        <v>9</v>
      </c>
      <c r="F6955" s="294" t="s">
        <v>919</v>
      </c>
      <c r="G6955" s="294" t="s">
        <v>126</v>
      </c>
      <c r="H6955" s="298">
        <v>1</v>
      </c>
      <c r="M6955" s="274"/>
    </row>
    <row r="6956" spans="2:13" ht="15" customHeight="1" x14ac:dyDescent="0.25">
      <c r="B6956" s="289">
        <v>6908</v>
      </c>
      <c r="C6956" s="261">
        <v>118</v>
      </c>
      <c r="D6956" s="244" t="s">
        <v>11</v>
      </c>
      <c r="E6956" s="263">
        <v>5</v>
      </c>
      <c r="F6956" s="294" t="s">
        <v>453</v>
      </c>
      <c r="G6956" s="294" t="s">
        <v>126</v>
      </c>
      <c r="H6956" s="298">
        <v>1</v>
      </c>
      <c r="M6956" s="274"/>
    </row>
    <row r="6957" spans="2:13" ht="15" customHeight="1" x14ac:dyDescent="0.25">
      <c r="B6957" s="289">
        <v>6909</v>
      </c>
      <c r="C6957" s="261">
        <v>119</v>
      </c>
      <c r="D6957" s="244" t="s">
        <v>11</v>
      </c>
      <c r="E6957" s="263">
        <v>10</v>
      </c>
      <c r="F6957" s="294" t="s">
        <v>895</v>
      </c>
      <c r="G6957" s="294" t="s">
        <v>126</v>
      </c>
      <c r="H6957" s="298">
        <v>1</v>
      </c>
      <c r="M6957" s="274"/>
    </row>
    <row r="6958" spans="2:13" ht="15" customHeight="1" x14ac:dyDescent="0.25">
      <c r="B6958" s="289">
        <v>6910</v>
      </c>
      <c r="C6958" s="261">
        <v>121</v>
      </c>
      <c r="D6958" s="244" t="s">
        <v>11</v>
      </c>
      <c r="E6958" s="263">
        <v>2</v>
      </c>
      <c r="F6958" s="294" t="s">
        <v>441</v>
      </c>
      <c r="G6958" s="294" t="s">
        <v>126</v>
      </c>
      <c r="H6958" s="298">
        <v>1</v>
      </c>
      <c r="M6958" s="274"/>
    </row>
    <row r="6959" spans="2:13" ht="15" customHeight="1" x14ac:dyDescent="0.25">
      <c r="B6959" s="289">
        <v>6911</v>
      </c>
      <c r="C6959" s="261">
        <v>123</v>
      </c>
      <c r="D6959" s="244" t="s">
        <v>11</v>
      </c>
      <c r="E6959" s="263">
        <v>9</v>
      </c>
      <c r="F6959" s="294" t="s">
        <v>436</v>
      </c>
      <c r="G6959" s="294" t="s">
        <v>126</v>
      </c>
      <c r="H6959" s="298">
        <v>1</v>
      </c>
      <c r="M6959" s="274"/>
    </row>
    <row r="6960" spans="2:13" ht="15" customHeight="1" x14ac:dyDescent="0.25">
      <c r="B6960" s="289">
        <v>6913</v>
      </c>
      <c r="C6960" s="261">
        <v>120</v>
      </c>
      <c r="D6960" s="244" t="s">
        <v>12</v>
      </c>
      <c r="E6960" s="263">
        <v>1</v>
      </c>
      <c r="F6960" s="294" t="s">
        <v>126</v>
      </c>
      <c r="G6960" s="294" t="s">
        <v>426</v>
      </c>
      <c r="H6960" s="298">
        <v>1</v>
      </c>
      <c r="M6960" s="274"/>
    </row>
    <row r="6961" spans="2:13" ht="15" customHeight="1" x14ac:dyDescent="0.25">
      <c r="B6961" s="289">
        <v>6913</v>
      </c>
      <c r="C6961" s="261">
        <v>123</v>
      </c>
      <c r="D6961" s="244" t="s">
        <v>12</v>
      </c>
      <c r="E6961" s="263">
        <v>21</v>
      </c>
      <c r="F6961" s="294" t="s">
        <v>126</v>
      </c>
      <c r="G6961" s="294" t="s">
        <v>988</v>
      </c>
      <c r="H6961" s="298">
        <v>1</v>
      </c>
      <c r="M6961" s="274"/>
    </row>
    <row r="6962" spans="2:13" ht="15" customHeight="1" x14ac:dyDescent="0.25">
      <c r="B6962" s="289">
        <v>6915</v>
      </c>
      <c r="C6962" s="261">
        <v>105</v>
      </c>
      <c r="D6962" s="244" t="s">
        <v>12</v>
      </c>
      <c r="E6962" s="263">
        <v>83</v>
      </c>
      <c r="F6962" s="294" t="s">
        <v>126</v>
      </c>
      <c r="G6962" s="294" t="s">
        <v>989</v>
      </c>
      <c r="H6962" s="298">
        <v>1</v>
      </c>
      <c r="M6962" s="274"/>
    </row>
    <row r="6963" spans="2:13" ht="15" customHeight="1" x14ac:dyDescent="0.25">
      <c r="B6963" s="289">
        <v>6916</v>
      </c>
      <c r="C6963" s="261">
        <v>123</v>
      </c>
      <c r="D6963" s="244" t="s">
        <v>11</v>
      </c>
      <c r="E6963" s="263">
        <v>9</v>
      </c>
      <c r="F6963" s="294" t="s">
        <v>436</v>
      </c>
      <c r="G6963" s="294" t="s">
        <v>126</v>
      </c>
      <c r="H6963" s="298">
        <v>1</v>
      </c>
      <c r="M6963" s="274"/>
    </row>
    <row r="6964" spans="2:13" ht="15" customHeight="1" x14ac:dyDescent="0.25">
      <c r="B6964" s="289">
        <v>6917</v>
      </c>
      <c r="C6964" s="261">
        <v>113</v>
      </c>
      <c r="D6964" s="244" t="s">
        <v>11</v>
      </c>
      <c r="E6964" s="263">
        <v>1</v>
      </c>
      <c r="F6964" s="294" t="s">
        <v>235</v>
      </c>
      <c r="G6964" s="294" t="s">
        <v>126</v>
      </c>
      <c r="H6964" s="298">
        <v>1</v>
      </c>
      <c r="M6964" s="274"/>
    </row>
    <row r="6965" spans="2:13" ht="15" customHeight="1" x14ac:dyDescent="0.25">
      <c r="B6965" s="289">
        <v>6918</v>
      </c>
      <c r="C6965" s="261">
        <v>116</v>
      </c>
      <c r="D6965" s="244" t="s">
        <v>11</v>
      </c>
      <c r="E6965" s="263">
        <v>7</v>
      </c>
      <c r="F6965" s="294" t="s">
        <v>581</v>
      </c>
      <c r="G6965" s="294" t="s">
        <v>126</v>
      </c>
      <c r="H6965" s="298">
        <v>1</v>
      </c>
      <c r="M6965" s="274"/>
    </row>
    <row r="6966" spans="2:13" ht="15" customHeight="1" x14ac:dyDescent="0.25">
      <c r="B6966" s="289">
        <v>6919</v>
      </c>
      <c r="C6966" s="261">
        <v>122</v>
      </c>
      <c r="D6966" s="244" t="s">
        <v>11</v>
      </c>
      <c r="E6966" s="263">
        <v>8</v>
      </c>
      <c r="F6966" s="294" t="s">
        <v>554</v>
      </c>
      <c r="G6966" s="294" t="s">
        <v>126</v>
      </c>
      <c r="H6966" s="298">
        <v>1</v>
      </c>
      <c r="M6966" s="274"/>
    </row>
    <row r="6967" spans="2:13" ht="15" customHeight="1" x14ac:dyDescent="0.25">
      <c r="B6967" s="289">
        <v>6920</v>
      </c>
      <c r="C6967" s="261">
        <v>123</v>
      </c>
      <c r="D6967" s="244" t="s">
        <v>11</v>
      </c>
      <c r="E6967" s="263">
        <v>9</v>
      </c>
      <c r="F6967" s="294" t="s">
        <v>436</v>
      </c>
      <c r="G6967" s="294" t="s">
        <v>126</v>
      </c>
      <c r="H6967" s="298">
        <v>1</v>
      </c>
      <c r="M6967" s="274"/>
    </row>
    <row r="6968" spans="2:13" ht="15" customHeight="1" x14ac:dyDescent="0.25">
      <c r="B6968" s="289">
        <v>6922</v>
      </c>
      <c r="C6968" s="261">
        <v>123</v>
      </c>
      <c r="D6968" s="244" t="s">
        <v>12</v>
      </c>
      <c r="E6968" s="263">
        <v>1</v>
      </c>
      <c r="F6968" s="294" t="s">
        <v>126</v>
      </c>
      <c r="G6968" s="294" t="s">
        <v>139</v>
      </c>
      <c r="H6968" s="298">
        <v>1</v>
      </c>
      <c r="M6968" s="274"/>
    </row>
    <row r="6969" spans="2:13" ht="15" customHeight="1" x14ac:dyDescent="0.25">
      <c r="B6969" s="289">
        <v>6923</v>
      </c>
      <c r="C6969" s="261">
        <v>104</v>
      </c>
      <c r="D6969" s="244" t="s">
        <v>12</v>
      </c>
      <c r="E6969" s="263">
        <v>32</v>
      </c>
      <c r="F6969" s="294" t="s">
        <v>126</v>
      </c>
      <c r="G6969" s="294" t="s">
        <v>990</v>
      </c>
      <c r="H6969" s="298">
        <v>1</v>
      </c>
      <c r="M6969" s="274"/>
    </row>
    <row r="6970" spans="2:13" ht="15" customHeight="1" x14ac:dyDescent="0.25">
      <c r="B6970" s="289">
        <v>6923</v>
      </c>
      <c r="C6970" s="261">
        <v>123</v>
      </c>
      <c r="D6970" s="244" t="s">
        <v>12</v>
      </c>
      <c r="E6970" s="263">
        <v>31</v>
      </c>
      <c r="F6970" s="294" t="s">
        <v>126</v>
      </c>
      <c r="G6970" s="294" t="s">
        <v>991</v>
      </c>
      <c r="H6970" s="298">
        <v>1</v>
      </c>
      <c r="M6970" s="274"/>
    </row>
    <row r="6971" spans="2:13" ht="15" customHeight="1" x14ac:dyDescent="0.25">
      <c r="B6971" s="289">
        <v>6925</v>
      </c>
      <c r="C6971" s="261">
        <v>109</v>
      </c>
      <c r="D6971" s="244" t="s">
        <v>11</v>
      </c>
      <c r="E6971" s="263">
        <v>1</v>
      </c>
      <c r="F6971" s="294" t="s">
        <v>426</v>
      </c>
      <c r="G6971" s="294" t="s">
        <v>126</v>
      </c>
      <c r="H6971" s="298">
        <v>1</v>
      </c>
      <c r="M6971" s="274"/>
    </row>
    <row r="6972" spans="2:13" ht="15" customHeight="1" x14ac:dyDescent="0.25">
      <c r="B6972" s="289">
        <v>6925</v>
      </c>
      <c r="C6972" s="261">
        <v>120</v>
      </c>
      <c r="D6972" s="244" t="s">
        <v>12</v>
      </c>
      <c r="E6972" s="263">
        <v>2</v>
      </c>
      <c r="F6972" s="294" t="s">
        <v>126</v>
      </c>
      <c r="G6972" s="294" t="s">
        <v>341</v>
      </c>
      <c r="H6972" s="298">
        <v>1</v>
      </c>
      <c r="M6972" s="274"/>
    </row>
    <row r="6973" spans="2:13" ht="15" customHeight="1" x14ac:dyDescent="0.25">
      <c r="B6973" s="289">
        <v>6925</v>
      </c>
      <c r="C6973" s="261">
        <v>123</v>
      </c>
      <c r="D6973" s="244" t="s">
        <v>12</v>
      </c>
      <c r="E6973" s="263">
        <v>10</v>
      </c>
      <c r="F6973" s="294" t="s">
        <v>126</v>
      </c>
      <c r="G6973" s="294" t="s">
        <v>992</v>
      </c>
      <c r="H6973" s="298">
        <v>1</v>
      </c>
      <c r="M6973" s="274"/>
    </row>
    <row r="6974" spans="2:13" ht="15" customHeight="1" x14ac:dyDescent="0.25">
      <c r="B6974" s="289">
        <v>6926</v>
      </c>
      <c r="C6974" s="261">
        <v>113</v>
      </c>
      <c r="D6974" s="244" t="s">
        <v>11</v>
      </c>
      <c r="E6974" s="263">
        <v>27</v>
      </c>
      <c r="F6974" s="294" t="s">
        <v>993</v>
      </c>
      <c r="G6974" s="294" t="s">
        <v>126</v>
      </c>
      <c r="H6974" s="298">
        <v>1</v>
      </c>
      <c r="M6974" s="274"/>
    </row>
    <row r="6975" spans="2:13" ht="15" customHeight="1" x14ac:dyDescent="0.25">
      <c r="B6975" s="289">
        <v>6927</v>
      </c>
      <c r="C6975" s="261">
        <v>114</v>
      </c>
      <c r="D6975" s="244" t="s">
        <v>11</v>
      </c>
      <c r="E6975" s="263">
        <v>1</v>
      </c>
      <c r="F6975" s="294" t="s">
        <v>437</v>
      </c>
      <c r="G6975" s="294" t="s">
        <v>126</v>
      </c>
      <c r="H6975" s="298">
        <v>1</v>
      </c>
      <c r="M6975" s="274"/>
    </row>
    <row r="6976" spans="2:13" ht="15" customHeight="1" x14ac:dyDescent="0.25">
      <c r="B6976" s="289">
        <v>6928</v>
      </c>
      <c r="C6976" s="261">
        <v>115</v>
      </c>
      <c r="D6976" s="244" t="s">
        <v>11</v>
      </c>
      <c r="E6976" s="263">
        <v>7</v>
      </c>
      <c r="F6976" s="294" t="s">
        <v>468</v>
      </c>
      <c r="G6976" s="294" t="s">
        <v>126</v>
      </c>
      <c r="H6976" s="298">
        <v>1</v>
      </c>
      <c r="M6976" s="274"/>
    </row>
    <row r="6977" spans="2:13" ht="15" customHeight="1" x14ac:dyDescent="0.25">
      <c r="B6977" s="289">
        <v>6929</v>
      </c>
      <c r="C6977" s="261">
        <v>118</v>
      </c>
      <c r="D6977" s="244" t="s">
        <v>11</v>
      </c>
      <c r="E6977" s="263">
        <v>5</v>
      </c>
      <c r="F6977" s="294" t="s">
        <v>453</v>
      </c>
      <c r="G6977" s="294" t="s">
        <v>126</v>
      </c>
      <c r="H6977" s="298">
        <v>1</v>
      </c>
      <c r="M6977" s="274"/>
    </row>
    <row r="6978" spans="2:13" ht="15" customHeight="1" x14ac:dyDescent="0.25">
      <c r="B6978" s="289">
        <v>6930</v>
      </c>
      <c r="C6978" s="261">
        <v>120</v>
      </c>
      <c r="D6978" s="244" t="s">
        <v>11</v>
      </c>
      <c r="E6978" s="263">
        <v>3</v>
      </c>
      <c r="F6978" s="294" t="s">
        <v>463</v>
      </c>
      <c r="G6978" s="294" t="s">
        <v>126</v>
      </c>
      <c r="H6978" s="298">
        <v>1</v>
      </c>
      <c r="M6978" s="274"/>
    </row>
    <row r="6979" spans="2:13" ht="15" customHeight="1" x14ac:dyDescent="0.25">
      <c r="B6979" s="289">
        <v>6933</v>
      </c>
      <c r="C6979" s="261">
        <v>106</v>
      </c>
      <c r="D6979" s="244" t="s">
        <v>11</v>
      </c>
      <c r="E6979" s="263">
        <v>28</v>
      </c>
      <c r="F6979" s="294" t="s">
        <v>994</v>
      </c>
      <c r="G6979" s="294" t="s">
        <v>126</v>
      </c>
      <c r="H6979" s="298">
        <v>1</v>
      </c>
      <c r="M6979" s="274"/>
    </row>
    <row r="6980" spans="2:13" ht="15" customHeight="1" x14ac:dyDescent="0.25">
      <c r="B6980" s="289">
        <v>6934</v>
      </c>
      <c r="C6980" s="261">
        <v>121</v>
      </c>
      <c r="D6980" s="244" t="s">
        <v>11</v>
      </c>
      <c r="E6980" s="263">
        <v>2</v>
      </c>
      <c r="F6980" s="294" t="s">
        <v>441</v>
      </c>
      <c r="G6980" s="294" t="s">
        <v>126</v>
      </c>
      <c r="H6980" s="298">
        <v>1</v>
      </c>
      <c r="M6980" s="274"/>
    </row>
    <row r="6981" spans="2:13" ht="15" customHeight="1" x14ac:dyDescent="0.25">
      <c r="B6981" s="289">
        <v>6936</v>
      </c>
      <c r="C6981" s="261">
        <v>123</v>
      </c>
      <c r="D6981" s="244" t="s">
        <v>12</v>
      </c>
      <c r="E6981" s="263">
        <v>90</v>
      </c>
      <c r="F6981" s="294" t="s">
        <v>126</v>
      </c>
      <c r="G6981" s="294" t="s">
        <v>995</v>
      </c>
      <c r="H6981" s="298">
        <v>1</v>
      </c>
      <c r="M6981" s="274"/>
    </row>
    <row r="6982" spans="2:13" ht="15" customHeight="1" x14ac:dyDescent="0.25">
      <c r="B6982" s="289">
        <v>6937</v>
      </c>
      <c r="C6982" s="261">
        <v>105</v>
      </c>
      <c r="D6982" s="244" t="s">
        <v>12</v>
      </c>
      <c r="E6982" s="263">
        <v>4</v>
      </c>
      <c r="F6982" s="294" t="s">
        <v>126</v>
      </c>
      <c r="G6982" s="294" t="s">
        <v>996</v>
      </c>
      <c r="H6982" s="298">
        <v>1</v>
      </c>
      <c r="M6982" s="274"/>
    </row>
    <row r="6983" spans="2:13" ht="15" customHeight="1" x14ac:dyDescent="0.25">
      <c r="B6983" s="289">
        <v>6937</v>
      </c>
      <c r="C6983" s="261">
        <v>108</v>
      </c>
      <c r="D6983" s="244" t="s">
        <v>12</v>
      </c>
      <c r="E6983" s="263">
        <v>20</v>
      </c>
      <c r="F6983" s="294" t="s">
        <v>126</v>
      </c>
      <c r="G6983" s="294" t="s">
        <v>997</v>
      </c>
      <c r="H6983" s="298">
        <v>1</v>
      </c>
      <c r="M6983" s="274"/>
    </row>
    <row r="6984" spans="2:13" ht="15" customHeight="1" x14ac:dyDescent="0.25">
      <c r="B6984" s="289">
        <v>6937</v>
      </c>
      <c r="C6984" s="261">
        <v>123</v>
      </c>
      <c r="D6984" s="244" t="s">
        <v>12</v>
      </c>
      <c r="E6984" s="263">
        <v>21</v>
      </c>
      <c r="F6984" s="294" t="s">
        <v>126</v>
      </c>
      <c r="G6984" s="294" t="s">
        <v>998</v>
      </c>
      <c r="H6984" s="298">
        <v>1</v>
      </c>
      <c r="M6984" s="274"/>
    </row>
    <row r="6985" spans="2:13" ht="15" customHeight="1" x14ac:dyDescent="0.25">
      <c r="B6985" s="289">
        <v>6938</v>
      </c>
      <c r="C6985" s="261">
        <v>105</v>
      </c>
      <c r="D6985" s="244" t="s">
        <v>12</v>
      </c>
      <c r="E6985" s="263">
        <v>4</v>
      </c>
      <c r="F6985" s="294" t="s">
        <v>126</v>
      </c>
      <c r="G6985" s="294" t="s">
        <v>996</v>
      </c>
      <c r="H6985" s="298">
        <v>1</v>
      </c>
      <c r="M6985" s="274"/>
    </row>
    <row r="6986" spans="2:13" ht="15" customHeight="1" x14ac:dyDescent="0.25">
      <c r="B6986" s="289">
        <v>6938</v>
      </c>
      <c r="C6986" s="261">
        <v>108</v>
      </c>
      <c r="D6986" s="244" t="s">
        <v>12</v>
      </c>
      <c r="E6986" s="263">
        <v>20</v>
      </c>
      <c r="F6986" s="294" t="s">
        <v>126</v>
      </c>
      <c r="G6986" s="294" t="s">
        <v>997</v>
      </c>
      <c r="H6986" s="298">
        <v>1</v>
      </c>
      <c r="M6986" s="274"/>
    </row>
    <row r="6987" spans="2:13" ht="15" customHeight="1" x14ac:dyDescent="0.25">
      <c r="B6987" s="289">
        <v>6938</v>
      </c>
      <c r="C6987" s="261">
        <v>123</v>
      </c>
      <c r="D6987" s="244" t="s">
        <v>12</v>
      </c>
      <c r="E6987" s="263">
        <v>21</v>
      </c>
      <c r="F6987" s="294" t="s">
        <v>126</v>
      </c>
      <c r="G6987" s="294" t="s">
        <v>999</v>
      </c>
      <c r="H6987" s="298">
        <v>1</v>
      </c>
      <c r="M6987" s="274"/>
    </row>
    <row r="6988" spans="2:13" ht="15" customHeight="1" x14ac:dyDescent="0.25">
      <c r="B6988" s="289">
        <v>6939</v>
      </c>
      <c r="C6988" s="261">
        <v>105</v>
      </c>
      <c r="D6988" s="244" t="s">
        <v>12</v>
      </c>
      <c r="E6988" s="263">
        <v>4</v>
      </c>
      <c r="F6988" s="294" t="s">
        <v>126</v>
      </c>
      <c r="G6988" s="294" t="s">
        <v>996</v>
      </c>
      <c r="H6988" s="298">
        <v>1</v>
      </c>
      <c r="M6988" s="274"/>
    </row>
    <row r="6989" spans="2:13" ht="15" customHeight="1" x14ac:dyDescent="0.25">
      <c r="B6989" s="289">
        <v>6939</v>
      </c>
      <c r="C6989" s="261">
        <v>108</v>
      </c>
      <c r="D6989" s="244" t="s">
        <v>12</v>
      </c>
      <c r="E6989" s="263">
        <v>20</v>
      </c>
      <c r="F6989" s="294" t="s">
        <v>126</v>
      </c>
      <c r="G6989" s="294" t="s">
        <v>997</v>
      </c>
      <c r="H6989" s="298">
        <v>1</v>
      </c>
      <c r="M6989" s="274"/>
    </row>
    <row r="6990" spans="2:13" ht="15" customHeight="1" x14ac:dyDescent="0.25">
      <c r="B6990" s="289">
        <v>6939</v>
      </c>
      <c r="C6990" s="261">
        <v>123</v>
      </c>
      <c r="D6990" s="244" t="s">
        <v>12</v>
      </c>
      <c r="E6990" s="263">
        <v>21</v>
      </c>
      <c r="F6990" s="294" t="s">
        <v>126</v>
      </c>
      <c r="G6990" s="294" t="s">
        <v>1000</v>
      </c>
      <c r="H6990" s="298">
        <v>1</v>
      </c>
      <c r="M6990" s="274"/>
    </row>
    <row r="6991" spans="2:13" ht="15" customHeight="1" x14ac:dyDescent="0.25">
      <c r="B6991" s="289">
        <v>6940</v>
      </c>
      <c r="C6991" s="261">
        <v>117</v>
      </c>
      <c r="D6991" s="244" t="s">
        <v>12</v>
      </c>
      <c r="E6991" s="263">
        <v>5</v>
      </c>
      <c r="F6991" s="294" t="s">
        <v>126</v>
      </c>
      <c r="G6991" s="294" t="s">
        <v>1001</v>
      </c>
      <c r="H6991" s="298">
        <v>1</v>
      </c>
      <c r="M6991" s="274"/>
    </row>
    <row r="6992" spans="2:13" ht="15" customHeight="1" x14ac:dyDescent="0.25">
      <c r="B6992" s="289">
        <v>6940</v>
      </c>
      <c r="C6992" s="261">
        <v>127</v>
      </c>
      <c r="D6992" s="244" t="s">
        <v>12</v>
      </c>
      <c r="E6992" s="263">
        <v>2</v>
      </c>
      <c r="F6992" s="294" t="s">
        <v>126</v>
      </c>
      <c r="G6992" s="294" t="s">
        <v>227</v>
      </c>
      <c r="H6992" s="298">
        <v>1</v>
      </c>
      <c r="M6992" s="274"/>
    </row>
    <row r="6993" spans="2:13" ht="15" customHeight="1" x14ac:dyDescent="0.25">
      <c r="B6993" s="289">
        <v>6941</v>
      </c>
      <c r="C6993" s="261">
        <v>122</v>
      </c>
      <c r="D6993" s="244" t="s">
        <v>11</v>
      </c>
      <c r="E6993" s="263">
        <v>8</v>
      </c>
      <c r="F6993" s="294" t="s">
        <v>554</v>
      </c>
      <c r="G6993" s="294" t="s">
        <v>126</v>
      </c>
      <c r="H6993" s="298">
        <v>1</v>
      </c>
      <c r="M6993" s="274"/>
    </row>
    <row r="6994" spans="2:13" ht="15" customHeight="1" x14ac:dyDescent="0.25">
      <c r="B6994" s="289">
        <v>6942</v>
      </c>
      <c r="C6994" s="261">
        <v>123</v>
      </c>
      <c r="D6994" s="244" t="s">
        <v>12</v>
      </c>
      <c r="E6994" s="263">
        <v>17</v>
      </c>
      <c r="F6994" s="294" t="s">
        <v>126</v>
      </c>
      <c r="G6994" s="294" t="s">
        <v>1002</v>
      </c>
      <c r="H6994" s="298">
        <v>1</v>
      </c>
      <c r="M6994" s="274"/>
    </row>
    <row r="6995" spans="2:13" ht="15" customHeight="1" x14ac:dyDescent="0.25">
      <c r="B6995" s="289">
        <v>6943</v>
      </c>
      <c r="C6995" s="261">
        <v>123</v>
      </c>
      <c r="D6995" s="244" t="s">
        <v>12</v>
      </c>
      <c r="E6995" s="263">
        <v>2</v>
      </c>
      <c r="F6995" s="294" t="s">
        <v>126</v>
      </c>
      <c r="G6995" s="294" t="s">
        <v>420</v>
      </c>
      <c r="H6995" s="298">
        <v>1</v>
      </c>
      <c r="M6995" s="274"/>
    </row>
    <row r="6996" spans="2:13" ht="15" customHeight="1" x14ac:dyDescent="0.25">
      <c r="B6996" s="289">
        <v>6944</v>
      </c>
      <c r="C6996" s="261">
        <v>106</v>
      </c>
      <c r="D6996" s="244" t="s">
        <v>11</v>
      </c>
      <c r="E6996" s="263">
        <v>13</v>
      </c>
      <c r="F6996" s="294" t="s">
        <v>1003</v>
      </c>
      <c r="G6996" s="294" t="s">
        <v>126</v>
      </c>
      <c r="H6996" s="298">
        <v>1</v>
      </c>
      <c r="M6996" s="274"/>
    </row>
    <row r="6997" spans="2:13" ht="15" customHeight="1" x14ac:dyDescent="0.25">
      <c r="B6997" s="289">
        <v>6945</v>
      </c>
      <c r="C6997" s="261">
        <v>123</v>
      </c>
      <c r="D6997" s="244" t="s">
        <v>12</v>
      </c>
      <c r="E6997" s="263">
        <v>2</v>
      </c>
      <c r="F6997" s="294" t="s">
        <v>126</v>
      </c>
      <c r="G6997" s="294" t="s">
        <v>441</v>
      </c>
      <c r="H6997" s="298">
        <v>1</v>
      </c>
      <c r="M6997" s="274"/>
    </row>
    <row r="6998" spans="2:13" ht="15" customHeight="1" x14ac:dyDescent="0.25">
      <c r="B6998" s="289">
        <v>6948</v>
      </c>
      <c r="C6998" s="261">
        <v>103</v>
      </c>
      <c r="D6998" s="244" t="s">
        <v>12</v>
      </c>
      <c r="E6998" s="263">
        <v>1</v>
      </c>
      <c r="F6998" s="294" t="s">
        <v>126</v>
      </c>
      <c r="G6998" s="294" t="s">
        <v>139</v>
      </c>
      <c r="H6998" s="298">
        <v>1</v>
      </c>
      <c r="M6998" s="274"/>
    </row>
    <row r="6999" spans="2:13" ht="15" customHeight="1" x14ac:dyDescent="0.25">
      <c r="B6999" s="289">
        <v>6948</v>
      </c>
      <c r="C6999" s="261">
        <v>109</v>
      </c>
      <c r="D6999" s="244" t="s">
        <v>11</v>
      </c>
      <c r="E6999" s="263">
        <v>14</v>
      </c>
      <c r="F6999" s="294" t="s">
        <v>1004</v>
      </c>
      <c r="G6999" s="294" t="s">
        <v>126</v>
      </c>
      <c r="H6999" s="298">
        <v>1</v>
      </c>
      <c r="M6999" s="274"/>
    </row>
    <row r="7000" spans="2:13" ht="15" customHeight="1" x14ac:dyDescent="0.25">
      <c r="B7000" s="289">
        <v>6949</v>
      </c>
      <c r="C7000" s="261">
        <v>106</v>
      </c>
      <c r="D7000" s="244" t="s">
        <v>11</v>
      </c>
      <c r="E7000" s="263">
        <v>2</v>
      </c>
      <c r="F7000" s="294" t="s">
        <v>587</v>
      </c>
      <c r="G7000" s="294" t="s">
        <v>126</v>
      </c>
      <c r="H7000" s="298">
        <v>1</v>
      </c>
      <c r="M7000" s="274"/>
    </row>
    <row r="7001" spans="2:13" ht="15" customHeight="1" x14ac:dyDescent="0.25">
      <c r="B7001" s="289">
        <v>6949</v>
      </c>
      <c r="C7001" s="261">
        <v>123</v>
      </c>
      <c r="D7001" s="244" t="s">
        <v>12</v>
      </c>
      <c r="E7001" s="263">
        <v>30</v>
      </c>
      <c r="F7001" s="294" t="s">
        <v>126</v>
      </c>
      <c r="G7001" s="294" t="s">
        <v>1005</v>
      </c>
      <c r="H7001" s="298">
        <v>1</v>
      </c>
      <c r="M7001" s="274"/>
    </row>
    <row r="7002" spans="2:13" ht="15" customHeight="1" x14ac:dyDescent="0.25">
      <c r="B7002" s="289">
        <v>6950</v>
      </c>
      <c r="C7002" s="261">
        <v>109</v>
      </c>
      <c r="D7002" s="244" t="s">
        <v>11</v>
      </c>
      <c r="E7002" s="263">
        <v>14</v>
      </c>
      <c r="F7002" s="294" t="s">
        <v>1004</v>
      </c>
      <c r="G7002" s="294" t="s">
        <v>126</v>
      </c>
      <c r="H7002" s="298">
        <v>1</v>
      </c>
      <c r="M7002" s="274"/>
    </row>
    <row r="7003" spans="2:13" ht="15" customHeight="1" x14ac:dyDescent="0.25">
      <c r="B7003" s="289">
        <v>6951</v>
      </c>
      <c r="C7003" s="261">
        <v>128</v>
      </c>
      <c r="D7003" s="244" t="s">
        <v>11</v>
      </c>
      <c r="E7003" s="263">
        <v>1</v>
      </c>
      <c r="F7003" s="294" t="s">
        <v>426</v>
      </c>
      <c r="G7003" s="294" t="s">
        <v>126</v>
      </c>
      <c r="H7003" s="298">
        <v>1</v>
      </c>
      <c r="M7003" s="274"/>
    </row>
    <row r="7004" spans="2:13" ht="15" customHeight="1" x14ac:dyDescent="0.25">
      <c r="B7004" s="289">
        <v>6952</v>
      </c>
      <c r="C7004" s="261">
        <v>106</v>
      </c>
      <c r="D7004" s="244" t="s">
        <v>12</v>
      </c>
      <c r="E7004" s="263">
        <v>13</v>
      </c>
      <c r="F7004" s="294" t="s">
        <v>126</v>
      </c>
      <c r="G7004" s="294" t="s">
        <v>1006</v>
      </c>
      <c r="H7004" s="298">
        <v>1</v>
      </c>
      <c r="M7004" s="274"/>
    </row>
    <row r="7005" spans="2:13" ht="15" customHeight="1" x14ac:dyDescent="0.25">
      <c r="B7005" s="289">
        <v>6952</v>
      </c>
      <c r="C7005" s="261">
        <v>123</v>
      </c>
      <c r="D7005" s="244" t="s">
        <v>12</v>
      </c>
      <c r="E7005" s="263">
        <v>38</v>
      </c>
      <c r="F7005" s="294" t="s">
        <v>126</v>
      </c>
      <c r="G7005" s="294" t="s">
        <v>1007</v>
      </c>
      <c r="H7005" s="298">
        <v>1</v>
      </c>
      <c r="M7005" s="274"/>
    </row>
    <row r="7006" spans="2:13" ht="15" customHeight="1" x14ac:dyDescent="0.25">
      <c r="B7006" s="289">
        <v>6953</v>
      </c>
      <c r="C7006" s="261">
        <v>102</v>
      </c>
      <c r="D7006" s="244" t="s">
        <v>12</v>
      </c>
      <c r="E7006" s="263">
        <v>3</v>
      </c>
      <c r="F7006" s="294" t="s">
        <v>126</v>
      </c>
      <c r="G7006" s="294" t="s">
        <v>848</v>
      </c>
      <c r="H7006" s="298">
        <v>1</v>
      </c>
      <c r="M7006" s="274"/>
    </row>
    <row r="7007" spans="2:13" ht="15" customHeight="1" x14ac:dyDescent="0.25">
      <c r="B7007" s="289">
        <v>6953</v>
      </c>
      <c r="C7007" s="261">
        <v>108</v>
      </c>
      <c r="D7007" s="244" t="s">
        <v>11</v>
      </c>
      <c r="E7007" s="263">
        <v>1</v>
      </c>
      <c r="F7007" s="294" t="s">
        <v>139</v>
      </c>
      <c r="G7007" s="294" t="s">
        <v>126</v>
      </c>
      <c r="H7007" s="298">
        <v>1</v>
      </c>
      <c r="M7007" s="274"/>
    </row>
    <row r="7008" spans="2:13" ht="15" customHeight="1" x14ac:dyDescent="0.25">
      <c r="B7008" s="289">
        <v>6953</v>
      </c>
      <c r="C7008" s="261">
        <v>123</v>
      </c>
      <c r="D7008" s="244" t="s">
        <v>11</v>
      </c>
      <c r="E7008" s="263">
        <v>4</v>
      </c>
      <c r="F7008" s="294" t="s">
        <v>833</v>
      </c>
      <c r="G7008" s="294" t="s">
        <v>126</v>
      </c>
      <c r="H7008" s="298">
        <v>1</v>
      </c>
      <c r="M7008" s="274"/>
    </row>
    <row r="7009" spans="2:13" ht="15" customHeight="1" x14ac:dyDescent="0.25">
      <c r="B7009" s="289">
        <v>6953</v>
      </c>
      <c r="C7009" s="261">
        <v>136</v>
      </c>
      <c r="D7009" s="244" t="s">
        <v>11</v>
      </c>
      <c r="E7009" s="263">
        <v>7</v>
      </c>
      <c r="F7009" s="294" t="s">
        <v>826</v>
      </c>
      <c r="G7009" s="294" t="s">
        <v>126</v>
      </c>
      <c r="H7009" s="298">
        <v>1</v>
      </c>
      <c r="M7009" s="274"/>
    </row>
    <row r="7010" spans="2:13" ht="15" customHeight="1" x14ac:dyDescent="0.25">
      <c r="B7010" s="289">
        <v>6954</v>
      </c>
      <c r="C7010" s="261">
        <v>101</v>
      </c>
      <c r="D7010" s="244" t="s">
        <v>11</v>
      </c>
      <c r="E7010" s="263">
        <v>18</v>
      </c>
      <c r="F7010" s="294" t="s">
        <v>1008</v>
      </c>
      <c r="G7010" s="294" t="s">
        <v>126</v>
      </c>
      <c r="H7010" s="298">
        <v>1</v>
      </c>
      <c r="M7010" s="274"/>
    </row>
    <row r="7011" spans="2:13" ht="15" customHeight="1" x14ac:dyDescent="0.25">
      <c r="B7011" s="289">
        <v>6954</v>
      </c>
      <c r="C7011" s="261">
        <v>126</v>
      </c>
      <c r="D7011" s="244" t="s">
        <v>12</v>
      </c>
      <c r="E7011" s="263">
        <v>2</v>
      </c>
      <c r="F7011" s="294" t="s">
        <v>126</v>
      </c>
      <c r="G7011" s="294" t="s">
        <v>341</v>
      </c>
      <c r="H7011" s="298">
        <v>1</v>
      </c>
      <c r="M7011" s="274"/>
    </row>
    <row r="7012" spans="2:13" ht="15" customHeight="1" x14ac:dyDescent="0.25">
      <c r="B7012" s="289">
        <v>6955</v>
      </c>
      <c r="C7012" s="261">
        <v>121</v>
      </c>
      <c r="D7012" s="244" t="s">
        <v>11</v>
      </c>
      <c r="E7012" s="263">
        <v>5</v>
      </c>
      <c r="F7012" s="294" t="s">
        <v>1009</v>
      </c>
      <c r="G7012" s="294" t="s">
        <v>126</v>
      </c>
      <c r="H7012" s="298">
        <v>1</v>
      </c>
      <c r="M7012" s="274"/>
    </row>
    <row r="7013" spans="2:13" ht="15" customHeight="1" x14ac:dyDescent="0.25">
      <c r="B7013" s="289">
        <v>6956</v>
      </c>
      <c r="C7013" s="261">
        <v>98</v>
      </c>
      <c r="D7013" s="244" t="s">
        <v>11</v>
      </c>
      <c r="E7013" s="263">
        <v>24</v>
      </c>
      <c r="F7013" s="294" t="s">
        <v>1010</v>
      </c>
      <c r="G7013" s="294" t="s">
        <v>126</v>
      </c>
      <c r="H7013" s="298">
        <v>1</v>
      </c>
      <c r="M7013" s="274"/>
    </row>
    <row r="7014" spans="2:13" ht="15" customHeight="1" x14ac:dyDescent="0.25">
      <c r="B7014" s="289">
        <v>6958</v>
      </c>
      <c r="C7014" s="261">
        <v>123</v>
      </c>
      <c r="D7014" s="244" t="s">
        <v>12</v>
      </c>
      <c r="E7014" s="263">
        <v>97</v>
      </c>
      <c r="F7014" s="294" t="s">
        <v>126</v>
      </c>
      <c r="G7014" s="294" t="s">
        <v>1011</v>
      </c>
      <c r="H7014" s="298">
        <v>1</v>
      </c>
      <c r="M7014" s="274"/>
    </row>
    <row r="7015" spans="2:13" ht="15" customHeight="1" x14ac:dyDescent="0.25">
      <c r="B7015" s="289">
        <v>6959</v>
      </c>
      <c r="C7015" s="261">
        <v>95</v>
      </c>
      <c r="D7015" s="244" t="s">
        <v>11</v>
      </c>
      <c r="E7015" s="263">
        <v>15</v>
      </c>
      <c r="F7015" s="294" t="s">
        <v>1012</v>
      </c>
      <c r="G7015" s="294" t="s">
        <v>126</v>
      </c>
      <c r="H7015" s="298">
        <v>1</v>
      </c>
      <c r="M7015" s="274"/>
    </row>
    <row r="7016" spans="2:13" ht="15" customHeight="1" x14ac:dyDescent="0.25">
      <c r="B7016" s="289">
        <v>6959</v>
      </c>
      <c r="C7016" s="261">
        <v>123</v>
      </c>
      <c r="D7016" s="244" t="s">
        <v>12</v>
      </c>
      <c r="E7016" s="263">
        <v>2</v>
      </c>
      <c r="F7016" s="294" t="s">
        <v>126</v>
      </c>
      <c r="G7016" s="294" t="s">
        <v>341</v>
      </c>
      <c r="H7016" s="298">
        <v>1</v>
      </c>
      <c r="M7016" s="274"/>
    </row>
    <row r="7017" spans="2:13" ht="15" customHeight="1" x14ac:dyDescent="0.25">
      <c r="B7017" s="289">
        <v>6961</v>
      </c>
      <c r="C7017" s="261">
        <v>123</v>
      </c>
      <c r="D7017" s="244" t="s">
        <v>12</v>
      </c>
      <c r="E7017" s="263">
        <v>75</v>
      </c>
      <c r="F7017" s="294" t="s">
        <v>126</v>
      </c>
      <c r="G7017" s="294" t="s">
        <v>1013</v>
      </c>
      <c r="H7017" s="298">
        <v>1</v>
      </c>
      <c r="M7017" s="274"/>
    </row>
    <row r="7018" spans="2:13" ht="15" customHeight="1" x14ac:dyDescent="0.25">
      <c r="B7018" s="289">
        <v>6962</v>
      </c>
      <c r="C7018" s="261">
        <v>123</v>
      </c>
      <c r="D7018" s="244" t="s">
        <v>12</v>
      </c>
      <c r="E7018" s="263">
        <v>94</v>
      </c>
      <c r="F7018" s="294" t="s">
        <v>126</v>
      </c>
      <c r="G7018" s="294" t="s">
        <v>1014</v>
      </c>
      <c r="H7018" s="298">
        <v>1</v>
      </c>
      <c r="M7018" s="274"/>
    </row>
    <row r="7019" spans="2:13" ht="15" customHeight="1" x14ac:dyDescent="0.25">
      <c r="B7019" s="289">
        <v>6963</v>
      </c>
      <c r="C7019" s="261">
        <v>123</v>
      </c>
      <c r="D7019" s="244" t="s">
        <v>12</v>
      </c>
      <c r="E7019" s="263">
        <v>39</v>
      </c>
      <c r="F7019" s="294" t="s">
        <v>126</v>
      </c>
      <c r="G7019" s="294" t="s">
        <v>1015</v>
      </c>
      <c r="H7019" s="298">
        <v>1</v>
      </c>
      <c r="M7019" s="274"/>
    </row>
    <row r="7020" spans="2:13" ht="15" customHeight="1" x14ac:dyDescent="0.25">
      <c r="B7020" s="289">
        <v>6964</v>
      </c>
      <c r="C7020" s="261">
        <v>123</v>
      </c>
      <c r="D7020" s="244" t="s">
        <v>12</v>
      </c>
      <c r="E7020" s="263">
        <v>91</v>
      </c>
      <c r="F7020" s="294" t="s">
        <v>126</v>
      </c>
      <c r="G7020" s="294" t="s">
        <v>1016</v>
      </c>
      <c r="H7020" s="298">
        <v>1</v>
      </c>
      <c r="M7020" s="274"/>
    </row>
    <row r="7021" spans="2:13" ht="15" customHeight="1" x14ac:dyDescent="0.25">
      <c r="B7021" s="289">
        <v>6966</v>
      </c>
      <c r="C7021" s="261">
        <v>134</v>
      </c>
      <c r="D7021" s="244" t="s">
        <v>12</v>
      </c>
      <c r="E7021" s="263">
        <v>7</v>
      </c>
      <c r="F7021" s="294" t="s">
        <v>126</v>
      </c>
      <c r="G7021" s="294" t="s">
        <v>1017</v>
      </c>
      <c r="H7021" s="298">
        <v>1</v>
      </c>
      <c r="M7021" s="274"/>
    </row>
    <row r="7022" spans="2:13" ht="15" customHeight="1" x14ac:dyDescent="0.25">
      <c r="B7022" s="289">
        <v>6967</v>
      </c>
      <c r="C7022" s="261">
        <v>123</v>
      </c>
      <c r="D7022" s="244" t="s">
        <v>12</v>
      </c>
      <c r="E7022" s="263">
        <v>12</v>
      </c>
      <c r="F7022" s="294" t="s">
        <v>126</v>
      </c>
      <c r="G7022" s="294" t="s">
        <v>1018</v>
      </c>
      <c r="H7022" s="298">
        <v>1</v>
      </c>
      <c r="M7022" s="274"/>
    </row>
    <row r="7023" spans="2:13" ht="15" customHeight="1" x14ac:dyDescent="0.25">
      <c r="B7023" s="289">
        <v>6969</v>
      </c>
      <c r="C7023" s="261">
        <v>123</v>
      </c>
      <c r="D7023" s="244" t="s">
        <v>12</v>
      </c>
      <c r="E7023" s="263">
        <v>73</v>
      </c>
      <c r="F7023" s="294" t="s">
        <v>126</v>
      </c>
      <c r="G7023" s="294" t="s">
        <v>1019</v>
      </c>
      <c r="H7023" s="298">
        <v>1</v>
      </c>
      <c r="M7023" s="274"/>
    </row>
    <row r="7024" spans="2:13" ht="15" customHeight="1" x14ac:dyDescent="0.25">
      <c r="B7024" s="289">
        <v>6970</v>
      </c>
      <c r="C7024" s="261">
        <v>123</v>
      </c>
      <c r="D7024" s="244" t="s">
        <v>12</v>
      </c>
      <c r="E7024" s="263">
        <v>99</v>
      </c>
      <c r="F7024" s="294" t="s">
        <v>126</v>
      </c>
      <c r="G7024" s="294" t="s">
        <v>1020</v>
      </c>
      <c r="H7024" s="298">
        <v>1</v>
      </c>
      <c r="M7024" s="274"/>
    </row>
    <row r="7025" spans="2:13" ht="15" customHeight="1" x14ac:dyDescent="0.25">
      <c r="B7025" s="289">
        <v>6971</v>
      </c>
      <c r="C7025" s="261">
        <v>123</v>
      </c>
      <c r="D7025" s="244" t="s">
        <v>12</v>
      </c>
      <c r="E7025" s="263">
        <v>1</v>
      </c>
      <c r="F7025" s="294" t="s">
        <v>126</v>
      </c>
      <c r="G7025" s="294" t="s">
        <v>139</v>
      </c>
      <c r="H7025" s="298">
        <v>1</v>
      </c>
      <c r="M7025" s="274"/>
    </row>
    <row r="7026" spans="2:13" ht="15" customHeight="1" x14ac:dyDescent="0.25">
      <c r="B7026" s="289">
        <v>6972</v>
      </c>
      <c r="C7026" s="261">
        <v>123</v>
      </c>
      <c r="D7026" s="244" t="s">
        <v>12</v>
      </c>
      <c r="E7026" s="263">
        <v>57</v>
      </c>
      <c r="F7026" s="294" t="s">
        <v>126</v>
      </c>
      <c r="G7026" s="294" t="s">
        <v>1021</v>
      </c>
      <c r="H7026" s="298">
        <v>1</v>
      </c>
      <c r="M7026" s="274"/>
    </row>
    <row r="7027" spans="2:13" ht="15" customHeight="1" x14ac:dyDescent="0.25">
      <c r="B7027" s="289">
        <v>6973</v>
      </c>
      <c r="C7027" s="261">
        <v>87</v>
      </c>
      <c r="D7027" s="244" t="s">
        <v>11</v>
      </c>
      <c r="E7027" s="263">
        <v>34</v>
      </c>
      <c r="F7027" s="294" t="s">
        <v>1022</v>
      </c>
      <c r="G7027" s="294" t="s">
        <v>126</v>
      </c>
      <c r="H7027" s="298">
        <v>1</v>
      </c>
      <c r="M7027" s="274"/>
    </row>
    <row r="7028" spans="2:13" ht="15" customHeight="1" x14ac:dyDescent="0.25">
      <c r="B7028" s="289">
        <v>6973</v>
      </c>
      <c r="C7028" s="261">
        <v>127</v>
      </c>
      <c r="D7028" s="244" t="s">
        <v>11</v>
      </c>
      <c r="E7028" s="263">
        <v>3</v>
      </c>
      <c r="F7028" s="294" t="s">
        <v>933</v>
      </c>
      <c r="G7028" s="294" t="s">
        <v>126</v>
      </c>
      <c r="H7028" s="298">
        <v>1</v>
      </c>
      <c r="M7028" s="274"/>
    </row>
    <row r="7029" spans="2:13" ht="15" customHeight="1" x14ac:dyDescent="0.25">
      <c r="B7029" s="289">
        <v>6974</v>
      </c>
      <c r="C7029" s="261">
        <v>123</v>
      </c>
      <c r="D7029" s="244" t="s">
        <v>12</v>
      </c>
      <c r="E7029" s="263">
        <v>61</v>
      </c>
      <c r="F7029" s="294" t="s">
        <v>126</v>
      </c>
      <c r="G7029" s="294" t="s">
        <v>1023</v>
      </c>
      <c r="H7029" s="298">
        <v>1</v>
      </c>
      <c r="M7029" s="274"/>
    </row>
    <row r="7030" spans="2:13" ht="15" customHeight="1" x14ac:dyDescent="0.25">
      <c r="B7030" s="289">
        <v>6976</v>
      </c>
      <c r="C7030" s="261">
        <v>123</v>
      </c>
      <c r="D7030" s="244" t="s">
        <v>11</v>
      </c>
      <c r="E7030" s="263">
        <v>9</v>
      </c>
      <c r="F7030" s="294" t="s">
        <v>436</v>
      </c>
      <c r="G7030" s="294" t="s">
        <v>126</v>
      </c>
      <c r="H7030" s="298">
        <v>1</v>
      </c>
      <c r="M7030" s="274"/>
    </row>
    <row r="7031" spans="2:13" ht="15" customHeight="1" x14ac:dyDescent="0.25">
      <c r="B7031" s="289">
        <v>6977</v>
      </c>
      <c r="C7031" s="261">
        <v>123</v>
      </c>
      <c r="D7031" s="244" t="s">
        <v>12</v>
      </c>
      <c r="E7031" s="263">
        <v>2</v>
      </c>
      <c r="F7031" s="294" t="s">
        <v>126</v>
      </c>
      <c r="G7031" s="294" t="s">
        <v>420</v>
      </c>
      <c r="H7031" s="298">
        <v>1</v>
      </c>
      <c r="M7031" s="274"/>
    </row>
    <row r="7032" spans="2:13" ht="15" customHeight="1" x14ac:dyDescent="0.25">
      <c r="B7032" s="289">
        <v>6978</v>
      </c>
      <c r="C7032" s="261">
        <v>116</v>
      </c>
      <c r="D7032" s="244" t="s">
        <v>11</v>
      </c>
      <c r="E7032" s="263">
        <v>7</v>
      </c>
      <c r="F7032" s="294" t="s">
        <v>581</v>
      </c>
      <c r="G7032" s="294" t="s">
        <v>126</v>
      </c>
      <c r="H7032" s="298">
        <v>1</v>
      </c>
      <c r="M7032" s="274"/>
    </row>
    <row r="7033" spans="2:13" ht="15" customHeight="1" x14ac:dyDescent="0.25">
      <c r="B7033" s="289">
        <v>6979</v>
      </c>
      <c r="C7033" s="261">
        <v>127</v>
      </c>
      <c r="D7033" s="244" t="s">
        <v>11</v>
      </c>
      <c r="E7033" s="263">
        <v>7</v>
      </c>
      <c r="F7033" s="294" t="s">
        <v>790</v>
      </c>
      <c r="G7033" s="294" t="s">
        <v>126</v>
      </c>
      <c r="H7033" s="298">
        <v>1</v>
      </c>
      <c r="M7033" s="274"/>
    </row>
    <row r="7034" spans="2:13" ht="15" customHeight="1" x14ac:dyDescent="0.25">
      <c r="B7034" s="289">
        <v>6980</v>
      </c>
      <c r="C7034" s="261">
        <v>123</v>
      </c>
      <c r="D7034" s="244" t="s">
        <v>12</v>
      </c>
      <c r="E7034" s="263">
        <v>81</v>
      </c>
      <c r="F7034" s="294" t="s">
        <v>126</v>
      </c>
      <c r="G7034" s="294" t="s">
        <v>1024</v>
      </c>
      <c r="H7034" s="298">
        <v>1</v>
      </c>
      <c r="M7034" s="274"/>
    </row>
    <row r="7035" spans="2:13" ht="15" customHeight="1" x14ac:dyDescent="0.25">
      <c r="B7035" s="289">
        <v>6980</v>
      </c>
      <c r="C7035" s="261">
        <v>132</v>
      </c>
      <c r="D7035" s="244" t="s">
        <v>12</v>
      </c>
      <c r="E7035" s="263">
        <v>2</v>
      </c>
      <c r="F7035" s="294" t="s">
        <v>126</v>
      </c>
      <c r="G7035" s="294" t="s">
        <v>433</v>
      </c>
      <c r="H7035" s="298">
        <v>1</v>
      </c>
      <c r="M7035" s="274"/>
    </row>
    <row r="7036" spans="2:13" ht="15" customHeight="1" x14ac:dyDescent="0.25">
      <c r="B7036" s="289">
        <v>6981</v>
      </c>
      <c r="C7036" s="261">
        <v>123</v>
      </c>
      <c r="D7036" s="244" t="s">
        <v>12</v>
      </c>
      <c r="E7036" s="263">
        <v>80</v>
      </c>
      <c r="F7036" s="294" t="s">
        <v>126</v>
      </c>
      <c r="G7036" s="294" t="s">
        <v>1025</v>
      </c>
      <c r="H7036" s="298">
        <v>1</v>
      </c>
      <c r="M7036" s="274"/>
    </row>
    <row r="7037" spans="2:13" ht="15" customHeight="1" x14ac:dyDescent="0.25">
      <c r="B7037" s="289">
        <v>6982</v>
      </c>
      <c r="C7037" s="261">
        <v>105</v>
      </c>
      <c r="D7037" s="244" t="s">
        <v>11</v>
      </c>
      <c r="E7037" s="263">
        <v>18</v>
      </c>
      <c r="F7037" s="294" t="s">
        <v>1026</v>
      </c>
      <c r="G7037" s="294" t="s">
        <v>126</v>
      </c>
      <c r="H7037" s="298">
        <v>1</v>
      </c>
      <c r="M7037" s="274"/>
    </row>
    <row r="7038" spans="2:13" ht="15" customHeight="1" x14ac:dyDescent="0.25">
      <c r="B7038" s="289">
        <v>6984</v>
      </c>
      <c r="C7038" s="261">
        <v>123</v>
      </c>
      <c r="D7038" s="244" t="s">
        <v>12</v>
      </c>
      <c r="E7038" s="263">
        <v>74</v>
      </c>
      <c r="F7038" s="294" t="s">
        <v>126</v>
      </c>
      <c r="G7038" s="294" t="s">
        <v>1027</v>
      </c>
      <c r="H7038" s="298">
        <v>1</v>
      </c>
      <c r="M7038" s="274"/>
    </row>
    <row r="7039" spans="2:13" ht="15" customHeight="1" x14ac:dyDescent="0.25">
      <c r="B7039" s="289">
        <v>6985</v>
      </c>
      <c r="C7039" s="261">
        <v>123</v>
      </c>
      <c r="D7039" s="244" t="s">
        <v>11</v>
      </c>
      <c r="E7039" s="263">
        <v>9</v>
      </c>
      <c r="F7039" s="294" t="s">
        <v>436</v>
      </c>
      <c r="G7039" s="294" t="s">
        <v>126</v>
      </c>
      <c r="H7039" s="298">
        <v>1</v>
      </c>
      <c r="M7039" s="274"/>
    </row>
    <row r="7040" spans="2:13" ht="15" customHeight="1" x14ac:dyDescent="0.25">
      <c r="B7040" s="289">
        <v>6986</v>
      </c>
      <c r="C7040" s="261">
        <v>112</v>
      </c>
      <c r="D7040" s="244" t="s">
        <v>12</v>
      </c>
      <c r="E7040" s="263">
        <v>4</v>
      </c>
      <c r="F7040" s="294" t="s">
        <v>126</v>
      </c>
      <c r="G7040" s="294" t="s">
        <v>457</v>
      </c>
      <c r="H7040" s="298">
        <v>1</v>
      </c>
      <c r="M7040" s="274"/>
    </row>
    <row r="7041" spans="2:13" ht="15" customHeight="1" x14ac:dyDescent="0.25">
      <c r="B7041" s="289">
        <v>6986</v>
      </c>
      <c r="C7041" s="261">
        <v>117</v>
      </c>
      <c r="D7041" s="244" t="s">
        <v>12</v>
      </c>
      <c r="E7041" s="263">
        <v>31</v>
      </c>
      <c r="F7041" s="294" t="s">
        <v>126</v>
      </c>
      <c r="G7041" s="294" t="s">
        <v>1028</v>
      </c>
      <c r="H7041" s="298">
        <v>1</v>
      </c>
      <c r="M7041" s="274"/>
    </row>
    <row r="7042" spans="2:13" ht="15" customHeight="1" x14ac:dyDescent="0.25">
      <c r="B7042" s="289">
        <v>6987</v>
      </c>
      <c r="C7042" s="261">
        <v>123</v>
      </c>
      <c r="D7042" s="244" t="s">
        <v>12</v>
      </c>
      <c r="E7042" s="263">
        <v>1</v>
      </c>
      <c r="F7042" s="294" t="s">
        <v>126</v>
      </c>
      <c r="G7042" s="294" t="s">
        <v>426</v>
      </c>
      <c r="H7042" s="298">
        <v>1</v>
      </c>
      <c r="M7042" s="274"/>
    </row>
    <row r="7043" spans="2:13" ht="15" customHeight="1" x14ac:dyDescent="0.25">
      <c r="B7043" s="289">
        <v>6988</v>
      </c>
      <c r="C7043" s="261">
        <v>123</v>
      </c>
      <c r="D7043" s="244" t="s">
        <v>12</v>
      </c>
      <c r="E7043" s="263">
        <v>24</v>
      </c>
      <c r="F7043" s="294" t="s">
        <v>126</v>
      </c>
      <c r="G7043" s="294" t="s">
        <v>1029</v>
      </c>
      <c r="H7043" s="298">
        <v>1</v>
      </c>
      <c r="M7043" s="274"/>
    </row>
    <row r="7044" spans="2:13" ht="15" customHeight="1" x14ac:dyDescent="0.25">
      <c r="B7044" s="289">
        <v>6989</v>
      </c>
      <c r="C7044" s="261">
        <v>119</v>
      </c>
      <c r="D7044" s="244" t="s">
        <v>11</v>
      </c>
      <c r="E7044" s="263">
        <v>1</v>
      </c>
      <c r="F7044" s="294" t="s">
        <v>426</v>
      </c>
      <c r="G7044" s="294" t="s">
        <v>126</v>
      </c>
      <c r="H7044" s="298">
        <v>1</v>
      </c>
      <c r="M7044" s="274"/>
    </row>
    <row r="7045" spans="2:13" ht="15" customHeight="1" x14ac:dyDescent="0.25">
      <c r="B7045" s="289">
        <v>6989</v>
      </c>
      <c r="C7045" s="261">
        <v>123</v>
      </c>
      <c r="D7045" s="244" t="s">
        <v>12</v>
      </c>
      <c r="E7045" s="263">
        <v>10</v>
      </c>
      <c r="F7045" s="294" t="s">
        <v>126</v>
      </c>
      <c r="G7045" s="294" t="s">
        <v>1030</v>
      </c>
      <c r="H7045" s="298">
        <v>1</v>
      </c>
      <c r="M7045" s="274"/>
    </row>
    <row r="7046" spans="2:13" ht="15" customHeight="1" x14ac:dyDescent="0.25">
      <c r="B7046" s="289">
        <v>6990</v>
      </c>
      <c r="C7046" s="261">
        <v>114</v>
      </c>
      <c r="D7046" s="244" t="s">
        <v>11</v>
      </c>
      <c r="E7046" s="263">
        <v>9</v>
      </c>
      <c r="F7046" s="294" t="s">
        <v>479</v>
      </c>
      <c r="G7046" s="294" t="s">
        <v>126</v>
      </c>
      <c r="H7046" s="298">
        <v>1</v>
      </c>
      <c r="M7046" s="274"/>
    </row>
    <row r="7047" spans="2:13" ht="15" customHeight="1" x14ac:dyDescent="0.25">
      <c r="B7047" s="289">
        <v>6991</v>
      </c>
      <c r="C7047" s="261">
        <v>111</v>
      </c>
      <c r="D7047" s="244" t="s">
        <v>11</v>
      </c>
      <c r="E7047" s="263">
        <v>12</v>
      </c>
      <c r="F7047" s="294" t="s">
        <v>725</v>
      </c>
      <c r="G7047" s="294" t="s">
        <v>126</v>
      </c>
      <c r="H7047" s="298">
        <v>1</v>
      </c>
      <c r="M7047" s="274"/>
    </row>
    <row r="7048" spans="2:13" ht="15" customHeight="1" x14ac:dyDescent="0.25">
      <c r="B7048" s="289">
        <v>6992</v>
      </c>
      <c r="C7048" s="261">
        <v>123</v>
      </c>
      <c r="D7048" s="244" t="s">
        <v>12</v>
      </c>
      <c r="E7048" s="263">
        <v>25</v>
      </c>
      <c r="F7048" s="294" t="s">
        <v>126</v>
      </c>
      <c r="G7048" s="294" t="s">
        <v>1031</v>
      </c>
      <c r="H7048" s="298">
        <v>1</v>
      </c>
      <c r="M7048" s="274"/>
    </row>
    <row r="7049" spans="2:13" ht="15" customHeight="1" x14ac:dyDescent="0.25">
      <c r="B7049" s="289">
        <v>6993</v>
      </c>
      <c r="C7049" s="261">
        <v>123</v>
      </c>
      <c r="D7049" s="244" t="s">
        <v>12</v>
      </c>
      <c r="E7049" s="263">
        <v>59</v>
      </c>
      <c r="F7049" s="294" t="s">
        <v>126</v>
      </c>
      <c r="G7049" s="294" t="s">
        <v>1032</v>
      </c>
      <c r="H7049" s="298">
        <v>1</v>
      </c>
      <c r="M7049" s="274"/>
    </row>
    <row r="7050" spans="2:13" ht="15" customHeight="1" x14ac:dyDescent="0.25">
      <c r="B7050" s="289">
        <v>6994</v>
      </c>
      <c r="C7050" s="261">
        <v>123</v>
      </c>
      <c r="D7050" s="244" t="s">
        <v>12</v>
      </c>
      <c r="E7050" s="263">
        <v>80</v>
      </c>
      <c r="F7050" s="294" t="s">
        <v>126</v>
      </c>
      <c r="G7050" s="294" t="s">
        <v>1033</v>
      </c>
      <c r="H7050" s="298">
        <v>1</v>
      </c>
      <c r="M7050" s="274"/>
    </row>
    <row r="7051" spans="2:13" ht="15" customHeight="1" x14ac:dyDescent="0.25">
      <c r="B7051" s="289">
        <v>6995</v>
      </c>
      <c r="C7051" s="261">
        <v>123</v>
      </c>
      <c r="D7051" s="244" t="s">
        <v>12</v>
      </c>
      <c r="E7051" s="263">
        <v>79</v>
      </c>
      <c r="F7051" s="294" t="s">
        <v>126</v>
      </c>
      <c r="G7051" s="294" t="s">
        <v>1034</v>
      </c>
      <c r="H7051" s="298">
        <v>1</v>
      </c>
      <c r="M7051" s="274"/>
    </row>
    <row r="7052" spans="2:13" ht="15" customHeight="1" x14ac:dyDescent="0.25">
      <c r="B7052" s="289">
        <v>6997</v>
      </c>
      <c r="C7052" s="261">
        <v>123</v>
      </c>
      <c r="D7052" s="244" t="s">
        <v>12</v>
      </c>
      <c r="E7052" s="263">
        <v>61</v>
      </c>
      <c r="F7052" s="294" t="s">
        <v>126</v>
      </c>
      <c r="G7052" s="294" t="s">
        <v>1035</v>
      </c>
      <c r="H7052" s="298">
        <v>1</v>
      </c>
      <c r="M7052" s="274"/>
    </row>
    <row r="7053" spans="2:13" ht="15" customHeight="1" x14ac:dyDescent="0.25">
      <c r="B7053" s="289">
        <v>6998</v>
      </c>
      <c r="C7053" s="261">
        <v>123</v>
      </c>
      <c r="D7053" s="244" t="s">
        <v>12</v>
      </c>
      <c r="E7053" s="263">
        <v>90</v>
      </c>
      <c r="F7053" s="294" t="s">
        <v>126</v>
      </c>
      <c r="G7053" s="294" t="s">
        <v>1036</v>
      </c>
      <c r="H7053" s="298">
        <v>1</v>
      </c>
      <c r="M7053" s="274"/>
    </row>
    <row r="7054" spans="2:13" ht="15" customHeight="1" x14ac:dyDescent="0.25">
      <c r="B7054" s="289">
        <v>6999</v>
      </c>
      <c r="C7054" s="261">
        <v>79</v>
      </c>
      <c r="D7054" s="244" t="s">
        <v>11</v>
      </c>
      <c r="E7054" s="263">
        <v>37</v>
      </c>
      <c r="F7054" s="294" t="s">
        <v>1037</v>
      </c>
      <c r="G7054" s="294" t="s">
        <v>126</v>
      </c>
      <c r="H7054" s="298">
        <v>1</v>
      </c>
      <c r="M7054" s="274"/>
    </row>
    <row r="7055" spans="2:13" ht="15" customHeight="1" x14ac:dyDescent="0.25">
      <c r="B7055" s="289">
        <v>6999</v>
      </c>
      <c r="C7055" s="261">
        <v>127</v>
      </c>
      <c r="D7055" s="244" t="s">
        <v>12</v>
      </c>
      <c r="E7055" s="263">
        <v>2</v>
      </c>
      <c r="F7055" s="294" t="s">
        <v>126</v>
      </c>
      <c r="G7055" s="294" t="s">
        <v>227</v>
      </c>
      <c r="H7055" s="298">
        <v>1</v>
      </c>
      <c r="M7055" s="274"/>
    </row>
    <row r="7056" spans="2:13" ht="15" customHeight="1" x14ac:dyDescent="0.25">
      <c r="B7056" s="289">
        <v>7004</v>
      </c>
      <c r="C7056" s="261">
        <v>123</v>
      </c>
      <c r="D7056" s="244" t="s">
        <v>11</v>
      </c>
      <c r="E7056" s="263">
        <v>1</v>
      </c>
      <c r="F7056" s="294" t="s">
        <v>139</v>
      </c>
      <c r="G7056" s="294" t="s">
        <v>126</v>
      </c>
      <c r="H7056" s="298">
        <v>1</v>
      </c>
      <c r="M7056" s="274"/>
    </row>
    <row r="7057" spans="2:13" ht="15" customHeight="1" x14ac:dyDescent="0.25">
      <c r="B7057" s="289">
        <v>7004</v>
      </c>
      <c r="C7057" s="261">
        <v>132</v>
      </c>
      <c r="D7057" s="244" t="s">
        <v>11</v>
      </c>
      <c r="E7057" s="263">
        <v>1</v>
      </c>
      <c r="F7057" s="294" t="s">
        <v>437</v>
      </c>
      <c r="G7057" s="294" t="s">
        <v>126</v>
      </c>
      <c r="H7057" s="298">
        <v>1</v>
      </c>
      <c r="M7057" s="274"/>
    </row>
    <row r="7058" spans="2:13" ht="15" customHeight="1" x14ac:dyDescent="0.25">
      <c r="B7058" s="289">
        <v>7005</v>
      </c>
      <c r="C7058" s="261">
        <v>123</v>
      </c>
      <c r="D7058" s="244" t="s">
        <v>12</v>
      </c>
      <c r="E7058" s="263">
        <v>87</v>
      </c>
      <c r="F7058" s="294" t="s">
        <v>126</v>
      </c>
      <c r="G7058" s="294" t="s">
        <v>1038</v>
      </c>
      <c r="H7058" s="298">
        <v>1</v>
      </c>
      <c r="M7058" s="274"/>
    </row>
    <row r="7059" spans="2:13" ht="15" customHeight="1" x14ac:dyDescent="0.25">
      <c r="B7059" s="289">
        <v>7006</v>
      </c>
      <c r="C7059" s="261">
        <v>123</v>
      </c>
      <c r="D7059" s="244" t="s">
        <v>11</v>
      </c>
      <c r="E7059" s="263">
        <v>3</v>
      </c>
      <c r="F7059" s="294" t="s">
        <v>528</v>
      </c>
      <c r="G7059" s="294" t="s">
        <v>126</v>
      </c>
      <c r="H7059" s="298">
        <v>1</v>
      </c>
      <c r="M7059" s="274"/>
    </row>
    <row r="7060" spans="2:13" ht="15" customHeight="1" x14ac:dyDescent="0.25">
      <c r="B7060" s="289">
        <v>7007</v>
      </c>
      <c r="C7060" s="261">
        <v>123</v>
      </c>
      <c r="D7060" s="244" t="s">
        <v>12</v>
      </c>
      <c r="E7060" s="263">
        <v>2</v>
      </c>
      <c r="F7060" s="294" t="s">
        <v>126</v>
      </c>
      <c r="G7060" s="294" t="s">
        <v>441</v>
      </c>
      <c r="H7060" s="298">
        <v>1</v>
      </c>
      <c r="M7060" s="274"/>
    </row>
    <row r="7061" spans="2:13" ht="15" customHeight="1" x14ac:dyDescent="0.25">
      <c r="B7061" s="289">
        <v>7008</v>
      </c>
      <c r="C7061" s="261">
        <v>123</v>
      </c>
      <c r="D7061" s="244" t="s">
        <v>12</v>
      </c>
      <c r="E7061" s="263">
        <v>7</v>
      </c>
      <c r="F7061" s="294" t="s">
        <v>126</v>
      </c>
      <c r="G7061" s="294" t="s">
        <v>581</v>
      </c>
      <c r="H7061" s="298">
        <v>1</v>
      </c>
      <c r="M7061" s="274"/>
    </row>
    <row r="7062" spans="2:13" ht="15" customHeight="1" x14ac:dyDescent="0.25">
      <c r="B7062" s="289">
        <v>7009</v>
      </c>
      <c r="C7062" s="261">
        <v>123</v>
      </c>
      <c r="D7062" s="244" t="s">
        <v>12</v>
      </c>
      <c r="E7062" s="263">
        <v>86</v>
      </c>
      <c r="F7062" s="294" t="s">
        <v>126</v>
      </c>
      <c r="G7062" s="294" t="s">
        <v>1039</v>
      </c>
      <c r="H7062" s="298">
        <v>1</v>
      </c>
      <c r="M7062" s="274"/>
    </row>
    <row r="7063" spans="2:13" ht="15" customHeight="1" x14ac:dyDescent="0.25">
      <c r="B7063" s="289">
        <v>7011</v>
      </c>
      <c r="C7063" s="261">
        <v>122</v>
      </c>
      <c r="D7063" s="244" t="s">
        <v>12</v>
      </c>
      <c r="E7063" s="263">
        <v>6</v>
      </c>
      <c r="F7063" s="294" t="s">
        <v>126</v>
      </c>
      <c r="G7063" s="294" t="s">
        <v>1040</v>
      </c>
      <c r="H7063" s="298">
        <v>1</v>
      </c>
      <c r="M7063" s="274"/>
    </row>
    <row r="7064" spans="2:13" ht="15" customHeight="1" x14ac:dyDescent="0.25">
      <c r="B7064" s="289">
        <v>7012</v>
      </c>
      <c r="C7064" s="261">
        <v>123</v>
      </c>
      <c r="D7064" s="244" t="s">
        <v>12</v>
      </c>
      <c r="E7064" s="263">
        <v>43</v>
      </c>
      <c r="F7064" s="294" t="s">
        <v>126</v>
      </c>
      <c r="G7064" s="294" t="s">
        <v>1041</v>
      </c>
      <c r="H7064" s="298">
        <v>1</v>
      </c>
      <c r="M7064" s="274"/>
    </row>
    <row r="7065" spans="2:13" ht="15" customHeight="1" x14ac:dyDescent="0.25">
      <c r="B7065" s="289">
        <v>7013</v>
      </c>
      <c r="C7065" s="261">
        <v>123</v>
      </c>
      <c r="D7065" s="244" t="s">
        <v>12</v>
      </c>
      <c r="E7065" s="263">
        <v>62</v>
      </c>
      <c r="F7065" s="294" t="s">
        <v>126</v>
      </c>
      <c r="G7065" s="294" t="s">
        <v>1042</v>
      </c>
      <c r="H7065" s="298">
        <v>1</v>
      </c>
      <c r="M7065" s="274"/>
    </row>
    <row r="7066" spans="2:13" ht="15" customHeight="1" x14ac:dyDescent="0.25">
      <c r="B7066" s="289">
        <v>7014</v>
      </c>
      <c r="C7066" s="261">
        <v>122</v>
      </c>
      <c r="D7066" s="244" t="s">
        <v>11</v>
      </c>
      <c r="E7066" s="263">
        <v>8</v>
      </c>
      <c r="F7066" s="294" t="s">
        <v>554</v>
      </c>
      <c r="G7066" s="294" t="s">
        <v>126</v>
      </c>
      <c r="H7066" s="298">
        <v>1</v>
      </c>
      <c r="M7066" s="274"/>
    </row>
    <row r="7067" spans="2:13" ht="15" customHeight="1" x14ac:dyDescent="0.25">
      <c r="B7067" s="289">
        <v>7015</v>
      </c>
      <c r="C7067" s="261">
        <v>114</v>
      </c>
      <c r="D7067" s="244" t="s">
        <v>11</v>
      </c>
      <c r="E7067" s="263">
        <v>13</v>
      </c>
      <c r="F7067" s="294" t="s">
        <v>492</v>
      </c>
      <c r="G7067" s="294" t="s">
        <v>126</v>
      </c>
      <c r="H7067" s="298">
        <v>1</v>
      </c>
      <c r="M7067" s="274"/>
    </row>
    <row r="7068" spans="2:13" ht="15" customHeight="1" x14ac:dyDescent="0.25">
      <c r="B7068" s="289">
        <v>7016</v>
      </c>
      <c r="C7068" s="261">
        <v>123</v>
      </c>
      <c r="D7068" s="244" t="s">
        <v>12</v>
      </c>
      <c r="E7068" s="263">
        <v>66</v>
      </c>
      <c r="F7068" s="294" t="s">
        <v>126</v>
      </c>
      <c r="G7068" s="294" t="s">
        <v>1043</v>
      </c>
      <c r="H7068" s="298">
        <v>1</v>
      </c>
      <c r="M7068" s="274"/>
    </row>
    <row r="7069" spans="2:13" ht="15" customHeight="1" x14ac:dyDescent="0.25">
      <c r="B7069" s="289">
        <v>7017</v>
      </c>
      <c r="C7069" s="261">
        <v>123</v>
      </c>
      <c r="D7069" s="244" t="s">
        <v>12</v>
      </c>
      <c r="E7069" s="263">
        <v>87</v>
      </c>
      <c r="F7069" s="294" t="s">
        <v>126</v>
      </c>
      <c r="G7069" s="294" t="s">
        <v>1044</v>
      </c>
      <c r="H7069" s="298">
        <v>1</v>
      </c>
      <c r="M7069" s="274"/>
    </row>
    <row r="7070" spans="2:13" ht="15" customHeight="1" x14ac:dyDescent="0.25">
      <c r="B7070" s="289">
        <v>7018</v>
      </c>
      <c r="C7070" s="261">
        <v>123</v>
      </c>
      <c r="D7070" s="244" t="s">
        <v>12</v>
      </c>
      <c r="E7070" s="263">
        <v>97</v>
      </c>
      <c r="F7070" s="294" t="s">
        <v>126</v>
      </c>
      <c r="G7070" s="294" t="s">
        <v>1045</v>
      </c>
      <c r="H7070" s="298">
        <v>1</v>
      </c>
      <c r="M7070" s="274"/>
    </row>
    <row r="7071" spans="2:13" ht="15" customHeight="1" x14ac:dyDescent="0.25">
      <c r="B7071" s="289">
        <v>7019</v>
      </c>
      <c r="C7071" s="261">
        <v>123</v>
      </c>
      <c r="D7071" s="244" t="s">
        <v>12</v>
      </c>
      <c r="E7071" s="263">
        <v>24</v>
      </c>
      <c r="F7071" s="294" t="s">
        <v>126</v>
      </c>
      <c r="G7071" s="294" t="s">
        <v>1046</v>
      </c>
      <c r="H7071" s="298">
        <v>1</v>
      </c>
      <c r="M7071" s="274"/>
    </row>
    <row r="7072" spans="2:13" ht="15" customHeight="1" x14ac:dyDescent="0.25">
      <c r="B7072" s="289">
        <v>7020</v>
      </c>
      <c r="C7072" s="261">
        <v>111</v>
      </c>
      <c r="D7072" s="244" t="s">
        <v>11</v>
      </c>
      <c r="E7072" s="263">
        <v>5</v>
      </c>
      <c r="F7072" s="294" t="s">
        <v>1047</v>
      </c>
      <c r="G7072" s="294" t="s">
        <v>126</v>
      </c>
      <c r="H7072" s="298">
        <v>1</v>
      </c>
      <c r="M7072" s="274"/>
    </row>
    <row r="7073" spans="2:13" ht="15" customHeight="1" x14ac:dyDescent="0.25">
      <c r="B7073" s="289">
        <v>7020</v>
      </c>
      <c r="C7073" s="261">
        <v>122</v>
      </c>
      <c r="D7073" s="244" t="s">
        <v>11</v>
      </c>
      <c r="E7073" s="263">
        <v>3</v>
      </c>
      <c r="F7073" s="294" t="s">
        <v>438</v>
      </c>
      <c r="G7073" s="294" t="s">
        <v>126</v>
      </c>
      <c r="H7073" s="298">
        <v>1</v>
      </c>
      <c r="M7073" s="274"/>
    </row>
    <row r="7074" spans="2:13" ht="15" customHeight="1" x14ac:dyDescent="0.25">
      <c r="B7074" s="289">
        <v>7021</v>
      </c>
      <c r="C7074" s="261">
        <v>123</v>
      </c>
      <c r="D7074" s="244" t="s">
        <v>12</v>
      </c>
      <c r="E7074" s="263">
        <v>1</v>
      </c>
      <c r="F7074" s="294" t="s">
        <v>126</v>
      </c>
      <c r="G7074" s="294" t="s">
        <v>426</v>
      </c>
      <c r="H7074" s="298">
        <v>1</v>
      </c>
      <c r="M7074" s="274"/>
    </row>
    <row r="7075" spans="2:13" ht="15" customHeight="1" x14ac:dyDescent="0.25">
      <c r="B7075" s="289">
        <v>7022</v>
      </c>
      <c r="C7075" s="261">
        <v>123</v>
      </c>
      <c r="D7075" s="244" t="s">
        <v>12</v>
      </c>
      <c r="E7075" s="263">
        <v>81</v>
      </c>
      <c r="F7075" s="294" t="s">
        <v>126</v>
      </c>
      <c r="G7075" s="294" t="s">
        <v>1048</v>
      </c>
      <c r="H7075" s="298">
        <v>1</v>
      </c>
      <c r="M7075" s="274"/>
    </row>
    <row r="7076" spans="2:13" ht="15" customHeight="1" x14ac:dyDescent="0.25">
      <c r="B7076" s="289">
        <v>7022</v>
      </c>
      <c r="C7076" s="261">
        <v>132</v>
      </c>
      <c r="D7076" s="244" t="s">
        <v>12</v>
      </c>
      <c r="E7076" s="263">
        <v>2</v>
      </c>
      <c r="F7076" s="294" t="s">
        <v>126</v>
      </c>
      <c r="G7076" s="294" t="s">
        <v>214</v>
      </c>
      <c r="H7076" s="298">
        <v>1</v>
      </c>
      <c r="M7076" s="274"/>
    </row>
    <row r="7077" spans="2:13" ht="15" customHeight="1" x14ac:dyDescent="0.25">
      <c r="B7077" s="289">
        <v>7023</v>
      </c>
      <c r="C7077" s="261">
        <v>114</v>
      </c>
      <c r="D7077" s="244" t="s">
        <v>11</v>
      </c>
      <c r="E7077" s="263">
        <v>25</v>
      </c>
      <c r="F7077" s="294" t="s">
        <v>1049</v>
      </c>
      <c r="G7077" s="294" t="s">
        <v>126</v>
      </c>
      <c r="H7077" s="298">
        <v>1</v>
      </c>
      <c r="M7077" s="274"/>
    </row>
    <row r="7078" spans="2:13" ht="15" customHeight="1" x14ac:dyDescent="0.25">
      <c r="B7078" s="289">
        <v>7024</v>
      </c>
      <c r="C7078" s="261">
        <v>123</v>
      </c>
      <c r="D7078" s="244" t="s">
        <v>12</v>
      </c>
      <c r="E7078" s="263">
        <v>38</v>
      </c>
      <c r="F7078" s="294" t="s">
        <v>126</v>
      </c>
      <c r="G7078" s="294" t="s">
        <v>1050</v>
      </c>
      <c r="H7078" s="298">
        <v>1</v>
      </c>
      <c r="M7078" s="274"/>
    </row>
    <row r="7079" spans="2:13" ht="15" customHeight="1" x14ac:dyDescent="0.25">
      <c r="B7079" s="289">
        <v>7025</v>
      </c>
      <c r="C7079" s="261">
        <v>123</v>
      </c>
      <c r="D7079" s="244" t="s">
        <v>12</v>
      </c>
      <c r="E7079" s="263">
        <v>73</v>
      </c>
      <c r="F7079" s="294" t="s">
        <v>126</v>
      </c>
      <c r="G7079" s="294" t="s">
        <v>1051</v>
      </c>
      <c r="H7079" s="298">
        <v>1</v>
      </c>
      <c r="M7079" s="274"/>
    </row>
    <row r="7080" spans="2:13" ht="15" customHeight="1" x14ac:dyDescent="0.25">
      <c r="B7080" s="289">
        <v>7026</v>
      </c>
      <c r="C7080" s="261">
        <v>123</v>
      </c>
      <c r="D7080" s="244" t="s">
        <v>12</v>
      </c>
      <c r="E7080" s="263">
        <v>94</v>
      </c>
      <c r="F7080" s="294" t="s">
        <v>126</v>
      </c>
      <c r="G7080" s="294" t="s">
        <v>1052</v>
      </c>
      <c r="H7080" s="298">
        <v>1</v>
      </c>
      <c r="M7080" s="274"/>
    </row>
    <row r="7081" spans="2:13" ht="15" customHeight="1" x14ac:dyDescent="0.25">
      <c r="B7081" s="289">
        <v>7027</v>
      </c>
      <c r="C7081" s="261">
        <v>123</v>
      </c>
      <c r="D7081" s="244" t="s">
        <v>12</v>
      </c>
      <c r="E7081" s="263">
        <v>68</v>
      </c>
      <c r="F7081" s="294" t="s">
        <v>126</v>
      </c>
      <c r="G7081" s="294" t="s">
        <v>1053</v>
      </c>
      <c r="H7081" s="298">
        <v>1</v>
      </c>
      <c r="M7081" s="274"/>
    </row>
    <row r="7082" spans="2:13" ht="15" customHeight="1" x14ac:dyDescent="0.25">
      <c r="B7082" s="289">
        <v>7028</v>
      </c>
      <c r="C7082" s="261">
        <v>123</v>
      </c>
      <c r="D7082" s="244" t="s">
        <v>12</v>
      </c>
      <c r="E7082" s="263">
        <v>68</v>
      </c>
      <c r="F7082" s="294" t="s">
        <v>126</v>
      </c>
      <c r="G7082" s="294" t="s">
        <v>1054</v>
      </c>
      <c r="H7082" s="298">
        <v>1</v>
      </c>
      <c r="M7082" s="274"/>
    </row>
    <row r="7083" spans="2:13" ht="15" customHeight="1" x14ac:dyDescent="0.25">
      <c r="B7083" s="289">
        <v>7029</v>
      </c>
      <c r="C7083" s="261">
        <v>123</v>
      </c>
      <c r="D7083" s="244" t="s">
        <v>12</v>
      </c>
      <c r="E7083" s="263">
        <v>68</v>
      </c>
      <c r="F7083" s="294" t="s">
        <v>126</v>
      </c>
      <c r="G7083" s="294" t="s">
        <v>1055</v>
      </c>
      <c r="H7083" s="298">
        <v>1</v>
      </c>
      <c r="M7083" s="274"/>
    </row>
    <row r="7084" spans="2:13" ht="15" customHeight="1" x14ac:dyDescent="0.25">
      <c r="B7084" s="289">
        <v>7030</v>
      </c>
      <c r="C7084" s="261">
        <v>123</v>
      </c>
      <c r="D7084" s="244" t="s">
        <v>12</v>
      </c>
      <c r="E7084" s="263">
        <v>68</v>
      </c>
      <c r="F7084" s="294" t="s">
        <v>126</v>
      </c>
      <c r="G7084" s="294" t="s">
        <v>1056</v>
      </c>
      <c r="H7084" s="298">
        <v>1</v>
      </c>
      <c r="M7084" s="274"/>
    </row>
    <row r="7085" spans="2:13" ht="15" customHeight="1" x14ac:dyDescent="0.25">
      <c r="B7085" s="289">
        <v>7031</v>
      </c>
      <c r="C7085" s="261">
        <v>123</v>
      </c>
      <c r="D7085" s="244" t="s">
        <v>12</v>
      </c>
      <c r="E7085" s="263">
        <v>101</v>
      </c>
      <c r="F7085" s="294" t="s">
        <v>126</v>
      </c>
      <c r="G7085" s="294" t="s">
        <v>1057</v>
      </c>
      <c r="H7085" s="298">
        <v>1</v>
      </c>
      <c r="M7085" s="274"/>
    </row>
    <row r="7086" spans="2:13" ht="15" customHeight="1" x14ac:dyDescent="0.25">
      <c r="B7086" s="289">
        <v>7032</v>
      </c>
      <c r="C7086" s="261">
        <v>139</v>
      </c>
      <c r="D7086" s="244" t="s">
        <v>12</v>
      </c>
      <c r="E7086" s="263">
        <v>16</v>
      </c>
      <c r="F7086" s="294" t="s">
        <v>126</v>
      </c>
      <c r="G7086" s="294" t="s">
        <v>1058</v>
      </c>
      <c r="H7086" s="298">
        <v>1</v>
      </c>
      <c r="M7086" s="274"/>
    </row>
    <row r="7087" spans="2:13" ht="15" customHeight="1" x14ac:dyDescent="0.25">
      <c r="B7087" s="289">
        <v>7034</v>
      </c>
      <c r="C7087" s="261">
        <v>104</v>
      </c>
      <c r="D7087" s="244" t="s">
        <v>11</v>
      </c>
      <c r="E7087" s="263">
        <v>1</v>
      </c>
      <c r="F7087" s="294" t="s">
        <v>437</v>
      </c>
      <c r="G7087" s="294" t="s">
        <v>126</v>
      </c>
      <c r="H7087" s="298">
        <v>1</v>
      </c>
      <c r="M7087" s="274"/>
    </row>
    <row r="7088" spans="2:13" ht="15" customHeight="1" x14ac:dyDescent="0.25">
      <c r="B7088" s="289">
        <v>7034</v>
      </c>
      <c r="C7088" s="261">
        <v>120</v>
      </c>
      <c r="D7088" s="244" t="s">
        <v>11</v>
      </c>
      <c r="E7088" s="263">
        <v>7</v>
      </c>
      <c r="F7088" s="294" t="s">
        <v>1059</v>
      </c>
      <c r="G7088" s="294" t="s">
        <v>126</v>
      </c>
      <c r="H7088" s="298">
        <v>1</v>
      </c>
      <c r="M7088" s="274"/>
    </row>
    <row r="7089" spans="2:13" ht="15" customHeight="1" x14ac:dyDescent="0.25">
      <c r="B7089" s="289">
        <v>7035</v>
      </c>
      <c r="C7089" s="261">
        <v>122</v>
      </c>
      <c r="D7089" s="244" t="s">
        <v>11</v>
      </c>
      <c r="E7089" s="263">
        <v>3</v>
      </c>
      <c r="F7089" s="294" t="s">
        <v>438</v>
      </c>
      <c r="G7089" s="294" t="s">
        <v>126</v>
      </c>
      <c r="H7089" s="298">
        <v>1</v>
      </c>
      <c r="M7089" s="274"/>
    </row>
    <row r="7090" spans="2:13" ht="15" customHeight="1" x14ac:dyDescent="0.25">
      <c r="B7090" s="289">
        <v>7036</v>
      </c>
      <c r="C7090" s="261">
        <v>123</v>
      </c>
      <c r="D7090" s="244" t="s">
        <v>12</v>
      </c>
      <c r="E7090" s="263">
        <v>47</v>
      </c>
      <c r="F7090" s="294" t="s">
        <v>126</v>
      </c>
      <c r="G7090" s="294" t="s">
        <v>675</v>
      </c>
      <c r="H7090" s="298">
        <v>1</v>
      </c>
      <c r="M7090" s="274"/>
    </row>
    <row r="7091" spans="2:13" ht="15" customHeight="1" x14ac:dyDescent="0.25">
      <c r="B7091" s="289">
        <v>7037</v>
      </c>
      <c r="C7091" s="261">
        <v>121</v>
      </c>
      <c r="D7091" s="244" t="s">
        <v>11</v>
      </c>
      <c r="E7091" s="263">
        <v>1</v>
      </c>
      <c r="F7091" s="294" t="s">
        <v>437</v>
      </c>
      <c r="G7091" s="294" t="s">
        <v>126</v>
      </c>
      <c r="H7091" s="298">
        <v>1</v>
      </c>
      <c r="M7091" s="274"/>
    </row>
    <row r="7092" spans="2:13" ht="15" customHeight="1" x14ac:dyDescent="0.25">
      <c r="B7092" s="289">
        <v>7038</v>
      </c>
      <c r="C7092" s="261">
        <v>113</v>
      </c>
      <c r="D7092" s="244" t="s">
        <v>11</v>
      </c>
      <c r="E7092" s="263">
        <v>10</v>
      </c>
      <c r="F7092" s="294" t="s">
        <v>496</v>
      </c>
      <c r="G7092" s="294" t="s">
        <v>126</v>
      </c>
      <c r="H7092" s="298">
        <v>1</v>
      </c>
      <c r="M7092" s="274"/>
    </row>
    <row r="7093" spans="2:13" ht="15" customHeight="1" x14ac:dyDescent="0.25">
      <c r="B7093" s="289">
        <v>7039</v>
      </c>
      <c r="C7093" s="261">
        <v>123</v>
      </c>
      <c r="D7093" s="244" t="s">
        <v>12</v>
      </c>
      <c r="E7093" s="263">
        <v>62</v>
      </c>
      <c r="F7093" s="294" t="s">
        <v>126</v>
      </c>
      <c r="G7093" s="294" t="s">
        <v>1060</v>
      </c>
      <c r="H7093" s="298">
        <v>1</v>
      </c>
      <c r="M7093" s="274"/>
    </row>
    <row r="7094" spans="2:13" ht="15" customHeight="1" x14ac:dyDescent="0.25">
      <c r="B7094" s="289">
        <v>7040</v>
      </c>
      <c r="C7094" s="261">
        <v>123</v>
      </c>
      <c r="D7094" s="244" t="s">
        <v>11</v>
      </c>
      <c r="E7094" s="263">
        <v>9</v>
      </c>
      <c r="F7094" s="294" t="s">
        <v>436</v>
      </c>
      <c r="G7094" s="294" t="s">
        <v>126</v>
      </c>
      <c r="H7094" s="298">
        <v>1</v>
      </c>
      <c r="M7094" s="274"/>
    </row>
    <row r="7095" spans="2:13" ht="15" customHeight="1" x14ac:dyDescent="0.25">
      <c r="B7095" s="289">
        <v>7041</v>
      </c>
      <c r="C7095" s="261">
        <v>128</v>
      </c>
      <c r="D7095" s="244" t="s">
        <v>12</v>
      </c>
      <c r="E7095" s="263">
        <v>1</v>
      </c>
      <c r="F7095" s="294" t="s">
        <v>126</v>
      </c>
      <c r="G7095" s="294" t="s">
        <v>235</v>
      </c>
      <c r="H7095" s="298">
        <v>1</v>
      </c>
      <c r="M7095" s="274"/>
    </row>
    <row r="7096" spans="2:13" ht="15" customHeight="1" x14ac:dyDescent="0.25">
      <c r="B7096" s="289">
        <v>7042</v>
      </c>
      <c r="C7096" s="261">
        <v>123</v>
      </c>
      <c r="D7096" s="244" t="s">
        <v>12</v>
      </c>
      <c r="E7096" s="263">
        <v>33</v>
      </c>
      <c r="F7096" s="294" t="s">
        <v>126</v>
      </c>
      <c r="G7096" s="294" t="s">
        <v>1061</v>
      </c>
      <c r="H7096" s="298">
        <v>1</v>
      </c>
      <c r="M7096" s="274"/>
    </row>
    <row r="7097" spans="2:13" ht="15" customHeight="1" x14ac:dyDescent="0.25">
      <c r="B7097" s="289">
        <v>7043</v>
      </c>
      <c r="C7097" s="261">
        <v>123</v>
      </c>
      <c r="D7097" s="244" t="s">
        <v>12</v>
      </c>
      <c r="E7097" s="263">
        <v>33</v>
      </c>
      <c r="F7097" s="294" t="s">
        <v>126</v>
      </c>
      <c r="G7097" s="294" t="s">
        <v>1061</v>
      </c>
      <c r="H7097" s="298">
        <v>1</v>
      </c>
      <c r="M7097" s="274"/>
    </row>
    <row r="7098" spans="2:13" ht="15" customHeight="1" x14ac:dyDescent="0.25">
      <c r="B7098" s="289">
        <v>7044</v>
      </c>
      <c r="C7098" s="261">
        <v>116</v>
      </c>
      <c r="D7098" s="244" t="s">
        <v>11</v>
      </c>
      <c r="E7098" s="263">
        <v>7</v>
      </c>
      <c r="F7098" s="294" t="s">
        <v>581</v>
      </c>
      <c r="G7098" s="294" t="s">
        <v>126</v>
      </c>
      <c r="H7098" s="298">
        <v>1</v>
      </c>
      <c r="M7098" s="274"/>
    </row>
    <row r="7099" spans="2:13" ht="15" customHeight="1" x14ac:dyDescent="0.25">
      <c r="B7099" s="289">
        <v>7045</v>
      </c>
      <c r="C7099" s="261">
        <v>123</v>
      </c>
      <c r="D7099" s="244" t="s">
        <v>12</v>
      </c>
      <c r="E7099" s="263">
        <v>43</v>
      </c>
      <c r="F7099" s="294" t="s">
        <v>126</v>
      </c>
      <c r="G7099" s="294" t="s">
        <v>1062</v>
      </c>
      <c r="H7099" s="298">
        <v>1</v>
      </c>
      <c r="M7099" s="274"/>
    </row>
    <row r="7100" spans="2:13" ht="15" customHeight="1" x14ac:dyDescent="0.25">
      <c r="B7100" s="289">
        <v>7046</v>
      </c>
      <c r="C7100" s="261">
        <v>123</v>
      </c>
      <c r="D7100" s="244" t="s">
        <v>12</v>
      </c>
      <c r="E7100" s="263">
        <v>2</v>
      </c>
      <c r="F7100" s="294" t="s">
        <v>126</v>
      </c>
      <c r="G7100" s="294" t="s">
        <v>441</v>
      </c>
      <c r="H7100" s="298">
        <v>1</v>
      </c>
      <c r="M7100" s="274"/>
    </row>
    <row r="7101" spans="2:13" ht="15" customHeight="1" x14ac:dyDescent="0.25">
      <c r="B7101" s="289">
        <v>7047</v>
      </c>
      <c r="C7101" s="261">
        <v>123</v>
      </c>
      <c r="D7101" s="244" t="s">
        <v>12</v>
      </c>
      <c r="E7101" s="263">
        <v>66</v>
      </c>
      <c r="F7101" s="294" t="s">
        <v>126</v>
      </c>
      <c r="G7101" s="294" t="s">
        <v>1063</v>
      </c>
      <c r="H7101" s="298">
        <v>1</v>
      </c>
      <c r="M7101" s="274"/>
    </row>
    <row r="7102" spans="2:13" ht="15" customHeight="1" x14ac:dyDescent="0.25">
      <c r="B7102" s="289">
        <v>7047</v>
      </c>
      <c r="C7102" s="261">
        <v>126</v>
      </c>
      <c r="D7102" s="244" t="s">
        <v>11</v>
      </c>
      <c r="E7102" s="263">
        <v>1</v>
      </c>
      <c r="F7102" s="294" t="s">
        <v>235</v>
      </c>
      <c r="G7102" s="294" t="s">
        <v>126</v>
      </c>
      <c r="H7102" s="298">
        <v>1</v>
      </c>
      <c r="M7102" s="274"/>
    </row>
    <row r="7103" spans="2:13" ht="15" customHeight="1" x14ac:dyDescent="0.25">
      <c r="B7103" s="289">
        <v>7049</v>
      </c>
      <c r="C7103" s="261">
        <v>115</v>
      </c>
      <c r="D7103" s="244" t="s">
        <v>11</v>
      </c>
      <c r="E7103" s="263">
        <v>16</v>
      </c>
      <c r="F7103" s="294" t="s">
        <v>467</v>
      </c>
      <c r="G7103" s="294" t="s">
        <v>126</v>
      </c>
      <c r="H7103" s="298">
        <v>1</v>
      </c>
      <c r="M7103" s="274"/>
    </row>
    <row r="7104" spans="2:13" ht="15" customHeight="1" x14ac:dyDescent="0.25">
      <c r="B7104" s="289">
        <v>7052</v>
      </c>
      <c r="C7104" s="261">
        <v>123</v>
      </c>
      <c r="D7104" s="244" t="s">
        <v>12</v>
      </c>
      <c r="E7104" s="263">
        <v>90</v>
      </c>
      <c r="F7104" s="294" t="s">
        <v>126</v>
      </c>
      <c r="G7104" s="294" t="s">
        <v>1064</v>
      </c>
      <c r="H7104" s="298">
        <v>1</v>
      </c>
      <c r="M7104" s="274"/>
    </row>
    <row r="7105" spans="2:13" ht="15" customHeight="1" x14ac:dyDescent="0.25">
      <c r="B7105" s="289">
        <v>7054</v>
      </c>
      <c r="C7105" s="261">
        <v>108</v>
      </c>
      <c r="D7105" s="244" t="s">
        <v>12</v>
      </c>
      <c r="E7105" s="263">
        <v>36</v>
      </c>
      <c r="F7105" s="294" t="s">
        <v>126</v>
      </c>
      <c r="G7105" s="294" t="s">
        <v>1065</v>
      </c>
      <c r="H7105" s="298">
        <v>1</v>
      </c>
      <c r="M7105" s="274"/>
    </row>
    <row r="7106" spans="2:13" ht="15" customHeight="1" x14ac:dyDescent="0.25">
      <c r="B7106" s="289">
        <v>7055</v>
      </c>
      <c r="C7106" s="261">
        <v>108</v>
      </c>
      <c r="D7106" s="244" t="s">
        <v>12</v>
      </c>
      <c r="E7106" s="263">
        <v>38</v>
      </c>
      <c r="F7106" s="294" t="s">
        <v>126</v>
      </c>
      <c r="G7106" s="294" t="s">
        <v>1066</v>
      </c>
      <c r="H7106" s="298">
        <v>1</v>
      </c>
      <c r="M7106" s="274"/>
    </row>
    <row r="7107" spans="2:13" ht="15" customHeight="1" x14ac:dyDescent="0.25">
      <c r="B7107" s="289">
        <v>7055</v>
      </c>
      <c r="C7107" s="261">
        <v>119</v>
      </c>
      <c r="D7107" s="244" t="s">
        <v>11</v>
      </c>
      <c r="E7107" s="263">
        <v>1</v>
      </c>
      <c r="F7107" s="294" t="s">
        <v>426</v>
      </c>
      <c r="G7107" s="294" t="s">
        <v>126</v>
      </c>
      <c r="H7107" s="298">
        <v>1</v>
      </c>
      <c r="M7107" s="274"/>
    </row>
    <row r="7108" spans="2:13" ht="15" customHeight="1" x14ac:dyDescent="0.25">
      <c r="B7108" s="289">
        <v>7055</v>
      </c>
      <c r="C7108" s="261">
        <v>123</v>
      </c>
      <c r="D7108" s="244" t="s">
        <v>12</v>
      </c>
      <c r="E7108" s="263">
        <v>60</v>
      </c>
      <c r="F7108" s="294" t="s">
        <v>126</v>
      </c>
      <c r="G7108" s="294" t="s">
        <v>1067</v>
      </c>
      <c r="H7108" s="298">
        <v>1</v>
      </c>
      <c r="M7108" s="274"/>
    </row>
    <row r="7109" spans="2:13" ht="15" customHeight="1" x14ac:dyDescent="0.25">
      <c r="B7109" s="289">
        <v>7056</v>
      </c>
      <c r="C7109" s="261">
        <v>123</v>
      </c>
      <c r="D7109" s="244" t="s">
        <v>12</v>
      </c>
      <c r="E7109" s="263">
        <v>90</v>
      </c>
      <c r="F7109" s="294" t="s">
        <v>126</v>
      </c>
      <c r="G7109" s="294" t="s">
        <v>1068</v>
      </c>
      <c r="H7109" s="298">
        <v>1</v>
      </c>
      <c r="M7109" s="274"/>
    </row>
    <row r="7110" spans="2:13" ht="15" customHeight="1" x14ac:dyDescent="0.25">
      <c r="B7110" s="289">
        <v>7058</v>
      </c>
      <c r="C7110" s="261">
        <v>123</v>
      </c>
      <c r="D7110" s="244" t="s">
        <v>12</v>
      </c>
      <c r="E7110" s="263">
        <v>71</v>
      </c>
      <c r="F7110" s="294" t="s">
        <v>126</v>
      </c>
      <c r="G7110" s="294" t="s">
        <v>1069</v>
      </c>
      <c r="H7110" s="298">
        <v>1</v>
      </c>
      <c r="M7110" s="274"/>
    </row>
    <row r="7111" spans="2:13" ht="15" customHeight="1" x14ac:dyDescent="0.25">
      <c r="B7111" s="289">
        <v>7059</v>
      </c>
      <c r="C7111" s="261">
        <v>123</v>
      </c>
      <c r="D7111" s="244" t="s">
        <v>12</v>
      </c>
      <c r="E7111" s="263">
        <v>91</v>
      </c>
      <c r="F7111" s="294" t="s">
        <v>126</v>
      </c>
      <c r="G7111" s="294" t="s">
        <v>1070</v>
      </c>
      <c r="H7111" s="298">
        <v>1</v>
      </c>
      <c r="M7111" s="274"/>
    </row>
    <row r="7112" spans="2:13" ht="15" customHeight="1" x14ac:dyDescent="0.25">
      <c r="B7112" s="289">
        <v>7060</v>
      </c>
      <c r="C7112" s="261">
        <v>123</v>
      </c>
      <c r="D7112" s="244" t="s">
        <v>12</v>
      </c>
      <c r="E7112" s="263">
        <v>81</v>
      </c>
      <c r="F7112" s="294" t="s">
        <v>126</v>
      </c>
      <c r="G7112" s="294" t="s">
        <v>1071</v>
      </c>
      <c r="H7112" s="298">
        <v>1</v>
      </c>
      <c r="M7112" s="274"/>
    </row>
    <row r="7113" spans="2:13" ht="15" customHeight="1" x14ac:dyDescent="0.25">
      <c r="B7113" s="289">
        <v>7061</v>
      </c>
      <c r="C7113" s="261">
        <v>123</v>
      </c>
      <c r="D7113" s="244" t="s">
        <v>12</v>
      </c>
      <c r="E7113" s="263">
        <v>101</v>
      </c>
      <c r="F7113" s="294" t="s">
        <v>126</v>
      </c>
      <c r="G7113" s="294" t="s">
        <v>1072</v>
      </c>
      <c r="H7113" s="298">
        <v>1</v>
      </c>
      <c r="M7113" s="274"/>
    </row>
    <row r="7114" spans="2:13" ht="15" customHeight="1" x14ac:dyDescent="0.25">
      <c r="B7114" s="289">
        <v>7062</v>
      </c>
      <c r="C7114" s="261">
        <v>123</v>
      </c>
      <c r="D7114" s="244" t="s">
        <v>12</v>
      </c>
      <c r="E7114" s="263">
        <v>1</v>
      </c>
      <c r="F7114" s="294" t="s">
        <v>126</v>
      </c>
      <c r="G7114" s="294" t="s">
        <v>426</v>
      </c>
      <c r="H7114" s="298">
        <v>1</v>
      </c>
      <c r="M7114" s="274"/>
    </row>
    <row r="7115" spans="2:13" ht="15" customHeight="1" x14ac:dyDescent="0.25">
      <c r="B7115" s="289">
        <v>7063</v>
      </c>
      <c r="C7115" s="261">
        <v>123</v>
      </c>
      <c r="D7115" s="244" t="s">
        <v>12</v>
      </c>
      <c r="E7115" s="263">
        <v>28</v>
      </c>
      <c r="F7115" s="294" t="s">
        <v>126</v>
      </c>
      <c r="G7115" s="294" t="s">
        <v>1073</v>
      </c>
      <c r="H7115" s="298">
        <v>1</v>
      </c>
      <c r="M7115" s="274"/>
    </row>
    <row r="7116" spans="2:13" ht="15" customHeight="1" x14ac:dyDescent="0.25">
      <c r="B7116" s="289">
        <v>7065</v>
      </c>
      <c r="C7116" s="261">
        <v>123</v>
      </c>
      <c r="D7116" s="244" t="s">
        <v>12</v>
      </c>
      <c r="E7116" s="263">
        <v>35</v>
      </c>
      <c r="F7116" s="294" t="s">
        <v>126</v>
      </c>
      <c r="G7116" s="294" t="s">
        <v>1074</v>
      </c>
      <c r="H7116" s="298">
        <v>1</v>
      </c>
      <c r="M7116" s="274"/>
    </row>
    <row r="7117" spans="2:13" ht="15" customHeight="1" x14ac:dyDescent="0.25">
      <c r="B7117" s="289">
        <v>7066</v>
      </c>
      <c r="C7117" s="261">
        <v>139</v>
      </c>
      <c r="D7117" s="244" t="s">
        <v>12</v>
      </c>
      <c r="E7117" s="263">
        <v>15</v>
      </c>
      <c r="F7117" s="294" t="s">
        <v>126</v>
      </c>
      <c r="G7117" s="294" t="s">
        <v>1075</v>
      </c>
      <c r="H7117" s="298">
        <v>1</v>
      </c>
      <c r="M7117" s="274"/>
    </row>
    <row r="7118" spans="2:13" ht="15" customHeight="1" x14ac:dyDescent="0.25">
      <c r="B7118" s="289">
        <v>7067</v>
      </c>
      <c r="C7118" s="261">
        <v>123</v>
      </c>
      <c r="D7118" s="244" t="s">
        <v>12</v>
      </c>
      <c r="E7118" s="263">
        <v>74</v>
      </c>
      <c r="F7118" s="294" t="s">
        <v>126</v>
      </c>
      <c r="G7118" s="294" t="s">
        <v>1076</v>
      </c>
      <c r="H7118" s="298">
        <v>1</v>
      </c>
      <c r="M7118" s="274"/>
    </row>
    <row r="7119" spans="2:13" ht="15" customHeight="1" x14ac:dyDescent="0.25">
      <c r="B7119" s="289">
        <v>7068</v>
      </c>
      <c r="C7119" s="261">
        <v>123</v>
      </c>
      <c r="D7119" s="244" t="s">
        <v>12</v>
      </c>
      <c r="E7119" s="263">
        <v>94</v>
      </c>
      <c r="F7119" s="294" t="s">
        <v>126</v>
      </c>
      <c r="G7119" s="294" t="s">
        <v>1077</v>
      </c>
      <c r="H7119" s="298">
        <v>1</v>
      </c>
      <c r="M7119" s="274"/>
    </row>
    <row r="7120" spans="2:13" ht="15" customHeight="1" x14ac:dyDescent="0.25">
      <c r="B7120" s="289">
        <v>7069</v>
      </c>
      <c r="C7120" s="261">
        <v>123</v>
      </c>
      <c r="D7120" s="244" t="s">
        <v>12</v>
      </c>
      <c r="E7120" s="263">
        <v>96</v>
      </c>
      <c r="F7120" s="294" t="s">
        <v>126</v>
      </c>
      <c r="G7120" s="294" t="s">
        <v>1078</v>
      </c>
      <c r="H7120" s="298">
        <v>1</v>
      </c>
      <c r="M7120" s="274"/>
    </row>
    <row r="7121" spans="2:13" ht="15" customHeight="1" x14ac:dyDescent="0.25">
      <c r="B7121" s="289">
        <v>7070</v>
      </c>
      <c r="C7121" s="261">
        <v>123</v>
      </c>
      <c r="D7121" s="244" t="s">
        <v>12</v>
      </c>
      <c r="E7121" s="263">
        <v>38</v>
      </c>
      <c r="F7121" s="294" t="s">
        <v>126</v>
      </c>
      <c r="G7121" s="294" t="s">
        <v>1079</v>
      </c>
      <c r="H7121" s="298">
        <v>1</v>
      </c>
      <c r="M7121" s="274"/>
    </row>
    <row r="7122" spans="2:13" ht="15" customHeight="1" x14ac:dyDescent="0.25">
      <c r="B7122" s="289">
        <v>7071</v>
      </c>
      <c r="C7122" s="261">
        <v>127</v>
      </c>
      <c r="D7122" s="244" t="s">
        <v>12</v>
      </c>
      <c r="E7122" s="263">
        <v>15</v>
      </c>
      <c r="F7122" s="294" t="s">
        <v>126</v>
      </c>
      <c r="G7122" s="294" t="s">
        <v>1080</v>
      </c>
      <c r="H7122" s="298">
        <v>1</v>
      </c>
      <c r="M7122" s="274"/>
    </row>
    <row r="7123" spans="2:13" ht="15" customHeight="1" x14ac:dyDescent="0.25">
      <c r="B7123" s="289">
        <v>7072</v>
      </c>
      <c r="C7123" s="261">
        <v>123</v>
      </c>
      <c r="D7123" s="244" t="s">
        <v>12</v>
      </c>
      <c r="E7123" s="263">
        <v>80</v>
      </c>
      <c r="F7123" s="294" t="s">
        <v>126</v>
      </c>
      <c r="G7123" s="294" t="s">
        <v>1081</v>
      </c>
      <c r="H7123" s="298">
        <v>1</v>
      </c>
      <c r="M7123" s="274"/>
    </row>
    <row r="7124" spans="2:13" ht="15" customHeight="1" x14ac:dyDescent="0.25">
      <c r="B7124" s="289">
        <v>7073</v>
      </c>
      <c r="C7124" s="261">
        <v>119</v>
      </c>
      <c r="D7124" s="244" t="s">
        <v>12</v>
      </c>
      <c r="E7124" s="263">
        <v>1</v>
      </c>
      <c r="F7124" s="294" t="s">
        <v>126</v>
      </c>
      <c r="G7124" s="294" t="s">
        <v>139</v>
      </c>
      <c r="H7124" s="298">
        <v>1</v>
      </c>
      <c r="M7124" s="274"/>
    </row>
    <row r="7125" spans="2:13" ht="15" customHeight="1" x14ac:dyDescent="0.25">
      <c r="B7125" s="289">
        <v>7073</v>
      </c>
      <c r="C7125" s="261">
        <v>123</v>
      </c>
      <c r="D7125" s="244" t="s">
        <v>12</v>
      </c>
      <c r="E7125" s="263">
        <v>74</v>
      </c>
      <c r="F7125" s="294" t="s">
        <v>126</v>
      </c>
      <c r="G7125" s="294" t="s">
        <v>1082</v>
      </c>
      <c r="H7125" s="298">
        <v>1</v>
      </c>
      <c r="M7125" s="274"/>
    </row>
    <row r="7126" spans="2:13" ht="15" customHeight="1" x14ac:dyDescent="0.25">
      <c r="B7126" s="289">
        <v>7073</v>
      </c>
      <c r="C7126" s="261">
        <v>135</v>
      </c>
      <c r="D7126" s="244" t="s">
        <v>12</v>
      </c>
      <c r="E7126" s="263">
        <v>2</v>
      </c>
      <c r="F7126" s="294" t="s">
        <v>126</v>
      </c>
      <c r="G7126" s="294" t="s">
        <v>341</v>
      </c>
      <c r="H7126" s="298">
        <v>1</v>
      </c>
      <c r="M7126" s="274"/>
    </row>
    <row r="7127" spans="2:13" ht="15" customHeight="1" x14ac:dyDescent="0.25">
      <c r="B7127" s="289">
        <v>7075</v>
      </c>
      <c r="C7127" s="261">
        <v>123</v>
      </c>
      <c r="D7127" s="244" t="s">
        <v>11</v>
      </c>
      <c r="E7127" s="263">
        <v>4</v>
      </c>
      <c r="F7127" s="294" t="s">
        <v>833</v>
      </c>
      <c r="G7127" s="294" t="s">
        <v>126</v>
      </c>
      <c r="H7127" s="298">
        <v>1</v>
      </c>
      <c r="M7127" s="274"/>
    </row>
    <row r="7128" spans="2:13" ht="15" customHeight="1" x14ac:dyDescent="0.25">
      <c r="B7128" s="289">
        <v>7076</v>
      </c>
      <c r="C7128" s="261">
        <v>123</v>
      </c>
      <c r="D7128" s="244" t="s">
        <v>12</v>
      </c>
      <c r="E7128" s="263">
        <v>90</v>
      </c>
      <c r="F7128" s="294" t="s">
        <v>126</v>
      </c>
      <c r="G7128" s="294" t="s">
        <v>1083</v>
      </c>
      <c r="H7128" s="298">
        <v>1</v>
      </c>
      <c r="M7128" s="274"/>
    </row>
    <row r="7129" spans="2:13" ht="15" customHeight="1" x14ac:dyDescent="0.25">
      <c r="B7129" s="289">
        <v>7077</v>
      </c>
      <c r="C7129" s="261">
        <v>117</v>
      </c>
      <c r="D7129" s="244" t="s">
        <v>11</v>
      </c>
      <c r="E7129" s="263">
        <v>6</v>
      </c>
      <c r="F7129" s="294" t="s">
        <v>506</v>
      </c>
      <c r="G7129" s="294" t="s">
        <v>126</v>
      </c>
      <c r="H7129" s="298">
        <v>1</v>
      </c>
      <c r="M7129" s="274"/>
    </row>
    <row r="7130" spans="2:13" ht="15" customHeight="1" x14ac:dyDescent="0.25">
      <c r="B7130" s="289">
        <v>7078</v>
      </c>
      <c r="C7130" s="261">
        <v>123</v>
      </c>
      <c r="D7130" s="244" t="s">
        <v>12</v>
      </c>
      <c r="E7130" s="263">
        <v>97</v>
      </c>
      <c r="F7130" s="294" t="s">
        <v>126</v>
      </c>
      <c r="G7130" s="294" t="s">
        <v>1084</v>
      </c>
      <c r="H7130" s="298">
        <v>1</v>
      </c>
      <c r="M7130" s="274"/>
    </row>
    <row r="7131" spans="2:13" ht="15" customHeight="1" x14ac:dyDescent="0.25">
      <c r="B7131" s="289">
        <v>7079</v>
      </c>
      <c r="C7131" s="261">
        <v>123</v>
      </c>
      <c r="D7131" s="244" t="s">
        <v>12</v>
      </c>
      <c r="E7131" s="263">
        <v>99</v>
      </c>
      <c r="F7131" s="294" t="s">
        <v>126</v>
      </c>
      <c r="G7131" s="294" t="s">
        <v>1085</v>
      </c>
      <c r="H7131" s="298">
        <v>1</v>
      </c>
      <c r="M7131" s="274"/>
    </row>
    <row r="7132" spans="2:13" ht="15" customHeight="1" x14ac:dyDescent="0.25">
      <c r="B7132" s="289">
        <v>7080</v>
      </c>
      <c r="C7132" s="261">
        <v>123</v>
      </c>
      <c r="D7132" s="244" t="s">
        <v>12</v>
      </c>
      <c r="E7132" s="263">
        <v>55</v>
      </c>
      <c r="F7132" s="294" t="s">
        <v>126</v>
      </c>
      <c r="G7132" s="294" t="s">
        <v>1086</v>
      </c>
      <c r="H7132" s="298">
        <v>1</v>
      </c>
      <c r="M7132" s="274"/>
    </row>
    <row r="7133" spans="2:13" ht="15" customHeight="1" x14ac:dyDescent="0.25">
      <c r="B7133" s="289">
        <v>7081</v>
      </c>
      <c r="C7133" s="261">
        <v>123</v>
      </c>
      <c r="D7133" s="244" t="s">
        <v>12</v>
      </c>
      <c r="E7133" s="263">
        <v>97</v>
      </c>
      <c r="F7133" s="294" t="s">
        <v>126</v>
      </c>
      <c r="G7133" s="294" t="s">
        <v>1087</v>
      </c>
      <c r="H7133" s="298">
        <v>1</v>
      </c>
      <c r="M7133" s="274"/>
    </row>
    <row r="7134" spans="2:13" ht="15" customHeight="1" x14ac:dyDescent="0.25">
      <c r="B7134" s="289">
        <v>7084</v>
      </c>
      <c r="C7134" s="261">
        <v>123</v>
      </c>
      <c r="D7134" s="244" t="s">
        <v>12</v>
      </c>
      <c r="E7134" s="263">
        <v>28</v>
      </c>
      <c r="F7134" s="294" t="s">
        <v>126</v>
      </c>
      <c r="G7134" s="294" t="s">
        <v>1088</v>
      </c>
      <c r="H7134" s="298">
        <v>1</v>
      </c>
      <c r="M7134" s="274"/>
    </row>
    <row r="7135" spans="2:13" ht="15" customHeight="1" x14ac:dyDescent="0.25">
      <c r="B7135" s="289">
        <v>7085</v>
      </c>
      <c r="C7135" s="261">
        <v>121</v>
      </c>
      <c r="D7135" s="244" t="s">
        <v>11</v>
      </c>
      <c r="E7135" s="263">
        <v>2</v>
      </c>
      <c r="F7135" s="294" t="s">
        <v>441</v>
      </c>
      <c r="G7135" s="294" t="s">
        <v>126</v>
      </c>
      <c r="H7135" s="298">
        <v>1</v>
      </c>
      <c r="M7135" s="274"/>
    </row>
    <row r="7136" spans="2:13" ht="15" customHeight="1" x14ac:dyDescent="0.25">
      <c r="B7136" s="289">
        <v>7086</v>
      </c>
      <c r="C7136" s="261">
        <v>118</v>
      </c>
      <c r="D7136" s="244" t="s">
        <v>11</v>
      </c>
      <c r="E7136" s="263">
        <v>5</v>
      </c>
      <c r="F7136" s="294" t="s">
        <v>453</v>
      </c>
      <c r="G7136" s="294" t="s">
        <v>126</v>
      </c>
      <c r="H7136" s="298">
        <v>1</v>
      </c>
      <c r="M7136" s="274"/>
    </row>
    <row r="7137" spans="2:13" ht="15" customHeight="1" x14ac:dyDescent="0.25">
      <c r="B7137" s="289">
        <v>7087</v>
      </c>
      <c r="C7137" s="261">
        <v>121</v>
      </c>
      <c r="D7137" s="244" t="s">
        <v>11</v>
      </c>
      <c r="E7137" s="263">
        <v>2</v>
      </c>
      <c r="F7137" s="294" t="s">
        <v>441</v>
      </c>
      <c r="G7137" s="294" t="s">
        <v>126</v>
      </c>
      <c r="H7137" s="298">
        <v>1</v>
      </c>
      <c r="M7137" s="274"/>
    </row>
    <row r="7138" spans="2:13" ht="15" customHeight="1" x14ac:dyDescent="0.25">
      <c r="B7138" s="289">
        <v>7088</v>
      </c>
      <c r="C7138" s="261">
        <v>123</v>
      </c>
      <c r="D7138" s="244" t="s">
        <v>12</v>
      </c>
      <c r="E7138" s="263">
        <v>68</v>
      </c>
      <c r="F7138" s="294" t="s">
        <v>126</v>
      </c>
      <c r="G7138" s="294" t="s">
        <v>1089</v>
      </c>
      <c r="H7138" s="298">
        <v>1</v>
      </c>
      <c r="M7138" s="274"/>
    </row>
    <row r="7139" spans="2:13" ht="15" customHeight="1" x14ac:dyDescent="0.25">
      <c r="B7139" s="289">
        <v>7089</v>
      </c>
      <c r="C7139" s="261">
        <v>123</v>
      </c>
      <c r="D7139" s="244" t="s">
        <v>12</v>
      </c>
      <c r="E7139" s="263">
        <v>2</v>
      </c>
      <c r="F7139" s="294" t="s">
        <v>126</v>
      </c>
      <c r="G7139" s="294" t="s">
        <v>420</v>
      </c>
      <c r="H7139" s="298">
        <v>1</v>
      </c>
      <c r="M7139" s="274"/>
    </row>
    <row r="7140" spans="2:13" ht="15" customHeight="1" x14ac:dyDescent="0.25">
      <c r="B7140" s="289">
        <v>7090</v>
      </c>
      <c r="C7140" s="261">
        <v>123</v>
      </c>
      <c r="D7140" s="244" t="s">
        <v>12</v>
      </c>
      <c r="E7140" s="263">
        <v>51</v>
      </c>
      <c r="F7140" s="294" t="s">
        <v>126</v>
      </c>
      <c r="G7140" s="294" t="s">
        <v>1090</v>
      </c>
      <c r="H7140" s="298">
        <v>1</v>
      </c>
      <c r="M7140" s="274"/>
    </row>
    <row r="7141" spans="2:13" ht="15" customHeight="1" x14ac:dyDescent="0.25">
      <c r="B7141" s="289">
        <v>7093</v>
      </c>
      <c r="C7141" s="261">
        <v>123</v>
      </c>
      <c r="D7141" s="244" t="s">
        <v>12</v>
      </c>
      <c r="E7141" s="263">
        <v>82</v>
      </c>
      <c r="F7141" s="294" t="s">
        <v>126</v>
      </c>
      <c r="G7141" s="294" t="s">
        <v>1091</v>
      </c>
      <c r="H7141" s="298">
        <v>1</v>
      </c>
      <c r="M7141" s="274"/>
    </row>
    <row r="7142" spans="2:13" ht="15" customHeight="1" x14ac:dyDescent="0.25">
      <c r="B7142" s="289">
        <v>7094</v>
      </c>
      <c r="C7142" s="261">
        <v>123</v>
      </c>
      <c r="D7142" s="244" t="s">
        <v>12</v>
      </c>
      <c r="E7142" s="263">
        <v>99</v>
      </c>
      <c r="F7142" s="294" t="s">
        <v>126</v>
      </c>
      <c r="G7142" s="294" t="s">
        <v>1092</v>
      </c>
      <c r="H7142" s="298">
        <v>1</v>
      </c>
      <c r="M7142" s="274"/>
    </row>
    <row r="7143" spans="2:13" ht="15" customHeight="1" x14ac:dyDescent="0.25">
      <c r="B7143" s="289">
        <v>7095</v>
      </c>
      <c r="C7143" s="261">
        <v>121</v>
      </c>
      <c r="D7143" s="244" t="s">
        <v>11</v>
      </c>
      <c r="E7143" s="263">
        <v>2</v>
      </c>
      <c r="F7143" s="294" t="s">
        <v>441</v>
      </c>
      <c r="G7143" s="294" t="s">
        <v>126</v>
      </c>
      <c r="H7143" s="298">
        <v>1</v>
      </c>
      <c r="M7143" s="274"/>
    </row>
    <row r="7144" spans="2:13" ht="15" customHeight="1" x14ac:dyDescent="0.25">
      <c r="B7144" s="289">
        <v>7097</v>
      </c>
      <c r="C7144" s="261">
        <v>123</v>
      </c>
      <c r="D7144" s="244" t="s">
        <v>12</v>
      </c>
      <c r="E7144" s="263">
        <v>1</v>
      </c>
      <c r="F7144" s="294" t="s">
        <v>126</v>
      </c>
      <c r="G7144" s="294" t="s">
        <v>139</v>
      </c>
      <c r="H7144" s="298">
        <v>1</v>
      </c>
      <c r="M7144" s="274"/>
    </row>
    <row r="7145" spans="2:13" ht="15" customHeight="1" x14ac:dyDescent="0.25">
      <c r="B7145" s="289">
        <v>7098</v>
      </c>
      <c r="C7145" s="261">
        <v>123</v>
      </c>
      <c r="D7145" s="244" t="s">
        <v>12</v>
      </c>
      <c r="E7145" s="263">
        <v>47</v>
      </c>
      <c r="F7145" s="294" t="s">
        <v>126</v>
      </c>
      <c r="G7145" s="294" t="s">
        <v>1093</v>
      </c>
      <c r="H7145" s="298">
        <v>1</v>
      </c>
      <c r="M7145" s="274"/>
    </row>
    <row r="7146" spans="2:13" ht="15" customHeight="1" x14ac:dyDescent="0.25">
      <c r="B7146" s="289">
        <v>7099</v>
      </c>
      <c r="C7146" s="261">
        <v>123</v>
      </c>
      <c r="D7146" s="244" t="s">
        <v>12</v>
      </c>
      <c r="E7146" s="263">
        <v>74</v>
      </c>
      <c r="F7146" s="294" t="s">
        <v>126</v>
      </c>
      <c r="G7146" s="294" t="s">
        <v>1094</v>
      </c>
      <c r="H7146" s="298">
        <v>1</v>
      </c>
      <c r="M7146" s="274"/>
    </row>
    <row r="7147" spans="2:13" ht="15" customHeight="1" x14ac:dyDescent="0.25">
      <c r="B7147" s="289">
        <v>7100</v>
      </c>
      <c r="C7147" s="261">
        <v>123</v>
      </c>
      <c r="D7147" s="244" t="s">
        <v>12</v>
      </c>
      <c r="E7147" s="263">
        <v>1</v>
      </c>
      <c r="F7147" s="294" t="s">
        <v>126</v>
      </c>
      <c r="G7147" s="294" t="s">
        <v>235</v>
      </c>
      <c r="H7147" s="298">
        <v>1</v>
      </c>
      <c r="M7147" s="274"/>
    </row>
    <row r="7148" spans="2:13" ht="15" customHeight="1" x14ac:dyDescent="0.25">
      <c r="B7148" s="289">
        <v>7102</v>
      </c>
      <c r="C7148" s="261">
        <v>123</v>
      </c>
      <c r="D7148" s="244" t="s">
        <v>12</v>
      </c>
      <c r="E7148" s="263">
        <v>87</v>
      </c>
      <c r="F7148" s="294" t="s">
        <v>126</v>
      </c>
      <c r="G7148" s="294" t="s">
        <v>1095</v>
      </c>
      <c r="H7148" s="298">
        <v>1</v>
      </c>
      <c r="M7148" s="274"/>
    </row>
    <row r="7149" spans="2:13" ht="15" customHeight="1" x14ac:dyDescent="0.25">
      <c r="B7149" s="289">
        <v>7103</v>
      </c>
      <c r="C7149" s="261">
        <v>123</v>
      </c>
      <c r="D7149" s="244" t="s">
        <v>12</v>
      </c>
      <c r="E7149" s="263">
        <v>78</v>
      </c>
      <c r="F7149" s="294" t="s">
        <v>126</v>
      </c>
      <c r="G7149" s="294" t="s">
        <v>1096</v>
      </c>
      <c r="H7149" s="298">
        <v>1</v>
      </c>
      <c r="M7149" s="274"/>
    </row>
    <row r="7150" spans="2:13" ht="15" customHeight="1" x14ac:dyDescent="0.25">
      <c r="B7150" s="289">
        <v>7103</v>
      </c>
      <c r="C7150" s="261">
        <v>129</v>
      </c>
      <c r="D7150" s="244" t="s">
        <v>12</v>
      </c>
      <c r="E7150" s="263">
        <v>6</v>
      </c>
      <c r="F7150" s="294" t="s">
        <v>126</v>
      </c>
      <c r="G7150" s="294" t="s">
        <v>1097</v>
      </c>
      <c r="H7150" s="298">
        <v>1</v>
      </c>
      <c r="M7150" s="274"/>
    </row>
    <row r="7151" spans="2:13" ht="15" customHeight="1" x14ac:dyDescent="0.25">
      <c r="B7151" s="289">
        <v>7103</v>
      </c>
      <c r="C7151" s="261">
        <v>141</v>
      </c>
      <c r="D7151" s="244" t="s">
        <v>12</v>
      </c>
      <c r="E7151" s="263">
        <v>14</v>
      </c>
      <c r="F7151" s="294" t="s">
        <v>126</v>
      </c>
      <c r="G7151" s="294" t="s">
        <v>1098</v>
      </c>
      <c r="H7151" s="298">
        <v>1</v>
      </c>
      <c r="M7151" s="274"/>
    </row>
    <row r="7152" spans="2:13" ht="15" customHeight="1" x14ac:dyDescent="0.25">
      <c r="B7152" s="289">
        <v>7104</v>
      </c>
      <c r="C7152" s="261">
        <v>108</v>
      </c>
      <c r="D7152" s="244" t="s">
        <v>11</v>
      </c>
      <c r="E7152" s="263">
        <v>20</v>
      </c>
      <c r="F7152" s="294" t="s">
        <v>1099</v>
      </c>
      <c r="G7152" s="294" t="s">
        <v>126</v>
      </c>
      <c r="H7152" s="298">
        <v>1</v>
      </c>
      <c r="M7152" s="274"/>
    </row>
    <row r="7153" spans="2:13" ht="15" customHeight="1" x14ac:dyDescent="0.25">
      <c r="B7153" s="289">
        <v>7105</v>
      </c>
      <c r="C7153" s="261">
        <v>123</v>
      </c>
      <c r="D7153" s="244" t="s">
        <v>12</v>
      </c>
      <c r="E7153" s="263">
        <v>86</v>
      </c>
      <c r="F7153" s="294" t="s">
        <v>126</v>
      </c>
      <c r="G7153" s="294" t="s">
        <v>1100</v>
      </c>
      <c r="H7153" s="298">
        <v>1</v>
      </c>
      <c r="M7153" s="274"/>
    </row>
    <row r="7154" spans="2:13" ht="15" customHeight="1" x14ac:dyDescent="0.25">
      <c r="B7154" s="289">
        <v>7106</v>
      </c>
      <c r="C7154" s="261">
        <v>121</v>
      </c>
      <c r="D7154" s="244" t="s">
        <v>11</v>
      </c>
      <c r="E7154" s="263">
        <v>2</v>
      </c>
      <c r="F7154" s="294" t="s">
        <v>441</v>
      </c>
      <c r="G7154" s="294" t="s">
        <v>126</v>
      </c>
      <c r="H7154" s="298">
        <v>1</v>
      </c>
      <c r="M7154" s="274"/>
    </row>
    <row r="7155" spans="2:13" ht="15" customHeight="1" x14ac:dyDescent="0.25">
      <c r="B7155" s="289">
        <v>7107</v>
      </c>
      <c r="C7155" s="261">
        <v>123</v>
      </c>
      <c r="D7155" s="244" t="s">
        <v>11</v>
      </c>
      <c r="E7155" s="263">
        <v>5</v>
      </c>
      <c r="F7155" s="294" t="s">
        <v>505</v>
      </c>
      <c r="G7155" s="294" t="s">
        <v>126</v>
      </c>
      <c r="H7155" s="298">
        <v>1</v>
      </c>
      <c r="M7155" s="274"/>
    </row>
    <row r="7156" spans="2:13" ht="15" customHeight="1" x14ac:dyDescent="0.25">
      <c r="B7156" s="289">
        <v>7109</v>
      </c>
      <c r="C7156" s="261">
        <v>120</v>
      </c>
      <c r="D7156" s="244" t="s">
        <v>12</v>
      </c>
      <c r="E7156" s="263">
        <v>1</v>
      </c>
      <c r="F7156" s="294" t="s">
        <v>126</v>
      </c>
      <c r="G7156" s="294" t="s">
        <v>426</v>
      </c>
      <c r="H7156" s="298">
        <v>1</v>
      </c>
      <c r="M7156" s="274"/>
    </row>
    <row r="7157" spans="2:13" ht="15" customHeight="1" x14ac:dyDescent="0.25">
      <c r="B7157" s="289">
        <v>7110</v>
      </c>
      <c r="C7157" s="261">
        <v>115</v>
      </c>
      <c r="D7157" s="244" t="s">
        <v>11</v>
      </c>
      <c r="E7157" s="263">
        <v>7</v>
      </c>
      <c r="F7157" s="294" t="s">
        <v>468</v>
      </c>
      <c r="G7157" s="294" t="s">
        <v>126</v>
      </c>
      <c r="H7157" s="298">
        <v>1</v>
      </c>
      <c r="M7157" s="274"/>
    </row>
    <row r="7158" spans="2:13" ht="15" customHeight="1" x14ac:dyDescent="0.25">
      <c r="B7158" s="289">
        <v>7111</v>
      </c>
      <c r="C7158" s="261">
        <v>122</v>
      </c>
      <c r="D7158" s="244" t="s">
        <v>12</v>
      </c>
      <c r="E7158" s="263">
        <v>1</v>
      </c>
      <c r="F7158" s="294" t="s">
        <v>126</v>
      </c>
      <c r="G7158" s="294" t="s">
        <v>437</v>
      </c>
      <c r="H7158" s="298">
        <v>1</v>
      </c>
      <c r="M7158" s="274"/>
    </row>
    <row r="7159" spans="2:13" ht="15" customHeight="1" x14ac:dyDescent="0.25">
      <c r="B7159" s="289">
        <v>7112</v>
      </c>
      <c r="C7159" s="261">
        <v>123</v>
      </c>
      <c r="D7159" s="244" t="s">
        <v>12</v>
      </c>
      <c r="E7159" s="263">
        <v>1</v>
      </c>
      <c r="F7159" s="294" t="s">
        <v>126</v>
      </c>
      <c r="G7159" s="294" t="s">
        <v>235</v>
      </c>
      <c r="H7159" s="298">
        <v>1</v>
      </c>
      <c r="M7159" s="274"/>
    </row>
    <row r="7160" spans="2:13" ht="15" customHeight="1" x14ac:dyDescent="0.25">
      <c r="B7160" s="289">
        <v>7113</v>
      </c>
      <c r="C7160" s="261">
        <v>123</v>
      </c>
      <c r="D7160" s="244" t="s">
        <v>12</v>
      </c>
      <c r="E7160" s="263">
        <v>3</v>
      </c>
      <c r="F7160" s="294" t="s">
        <v>126</v>
      </c>
      <c r="G7160" s="294" t="s">
        <v>848</v>
      </c>
      <c r="H7160" s="298">
        <v>1</v>
      </c>
      <c r="M7160" s="274"/>
    </row>
    <row r="7161" spans="2:13" ht="15" customHeight="1" x14ac:dyDescent="0.25">
      <c r="B7161" s="289">
        <v>7114</v>
      </c>
      <c r="C7161" s="261">
        <v>123</v>
      </c>
      <c r="D7161" s="244" t="s">
        <v>12</v>
      </c>
      <c r="E7161" s="263">
        <v>96</v>
      </c>
      <c r="F7161" s="294" t="s">
        <v>126</v>
      </c>
      <c r="G7161" s="294" t="s">
        <v>1101</v>
      </c>
      <c r="H7161" s="298">
        <v>1</v>
      </c>
      <c r="M7161" s="274"/>
    </row>
    <row r="7162" spans="2:13" ht="15" customHeight="1" x14ac:dyDescent="0.25">
      <c r="B7162" s="289">
        <v>7115</v>
      </c>
      <c r="C7162" s="261">
        <v>123</v>
      </c>
      <c r="D7162" s="244" t="s">
        <v>12</v>
      </c>
      <c r="E7162" s="263">
        <v>84</v>
      </c>
      <c r="F7162" s="294" t="s">
        <v>126</v>
      </c>
      <c r="G7162" s="294" t="s">
        <v>1102</v>
      </c>
      <c r="H7162" s="298">
        <v>1</v>
      </c>
      <c r="M7162" s="274"/>
    </row>
    <row r="7163" spans="2:13" ht="15" customHeight="1" x14ac:dyDescent="0.25">
      <c r="B7163" s="289">
        <v>7115</v>
      </c>
      <c r="C7163" s="261">
        <v>130</v>
      </c>
      <c r="D7163" s="244" t="s">
        <v>11</v>
      </c>
      <c r="E7163" s="263">
        <v>1</v>
      </c>
      <c r="F7163" s="294" t="s">
        <v>437</v>
      </c>
      <c r="G7163" s="294" t="s">
        <v>126</v>
      </c>
      <c r="H7163" s="298">
        <v>1</v>
      </c>
      <c r="M7163" s="274"/>
    </row>
    <row r="7164" spans="2:13" ht="15" customHeight="1" x14ac:dyDescent="0.25">
      <c r="B7164" s="289">
        <v>7116</v>
      </c>
      <c r="C7164" s="261">
        <v>123</v>
      </c>
      <c r="D7164" s="244" t="s">
        <v>12</v>
      </c>
      <c r="E7164" s="263">
        <v>89</v>
      </c>
      <c r="F7164" s="294" t="s">
        <v>126</v>
      </c>
      <c r="G7164" s="294" t="s">
        <v>1103</v>
      </c>
      <c r="H7164" s="298">
        <v>1</v>
      </c>
      <c r="M7164" s="274"/>
    </row>
    <row r="7165" spans="2:13" ht="15" customHeight="1" x14ac:dyDescent="0.25">
      <c r="B7165" s="289">
        <v>7117</v>
      </c>
      <c r="C7165" s="261">
        <v>123</v>
      </c>
      <c r="D7165" s="244" t="s">
        <v>12</v>
      </c>
      <c r="E7165" s="263">
        <v>71</v>
      </c>
      <c r="F7165" s="294" t="s">
        <v>126</v>
      </c>
      <c r="G7165" s="294" t="s">
        <v>1104</v>
      </c>
      <c r="H7165" s="298">
        <v>1</v>
      </c>
      <c r="M7165" s="274"/>
    </row>
    <row r="7166" spans="2:13" ht="15" customHeight="1" x14ac:dyDescent="0.25">
      <c r="B7166" s="289">
        <v>7118</v>
      </c>
      <c r="C7166" s="261">
        <v>123</v>
      </c>
      <c r="D7166" s="244" t="s">
        <v>12</v>
      </c>
      <c r="E7166" s="263">
        <v>28</v>
      </c>
      <c r="F7166" s="294" t="s">
        <v>126</v>
      </c>
      <c r="G7166" s="294" t="s">
        <v>1105</v>
      </c>
      <c r="H7166" s="298">
        <v>1</v>
      </c>
      <c r="M7166" s="274"/>
    </row>
    <row r="7167" spans="2:13" ht="15" customHeight="1" x14ac:dyDescent="0.25">
      <c r="B7167" s="289">
        <v>7119</v>
      </c>
      <c r="C7167" s="261">
        <v>139</v>
      </c>
      <c r="D7167" s="244" t="s">
        <v>12</v>
      </c>
      <c r="E7167" s="263">
        <v>18</v>
      </c>
      <c r="F7167" s="294" t="s">
        <v>126</v>
      </c>
      <c r="G7167" s="294" t="s">
        <v>1106</v>
      </c>
      <c r="H7167" s="298">
        <v>1</v>
      </c>
      <c r="M7167" s="274"/>
    </row>
    <row r="7168" spans="2:13" ht="15" customHeight="1" x14ac:dyDescent="0.25">
      <c r="B7168" s="289">
        <v>7120</v>
      </c>
      <c r="C7168" s="261">
        <v>123</v>
      </c>
      <c r="D7168" s="244" t="s">
        <v>12</v>
      </c>
      <c r="E7168" s="263">
        <v>58</v>
      </c>
      <c r="F7168" s="294" t="s">
        <v>126</v>
      </c>
      <c r="G7168" s="294" t="s">
        <v>1107</v>
      </c>
      <c r="H7168" s="298">
        <v>1</v>
      </c>
      <c r="M7168" s="274"/>
    </row>
    <row r="7169" spans="2:13" ht="15" customHeight="1" x14ac:dyDescent="0.25">
      <c r="B7169" s="289">
        <v>7121</v>
      </c>
      <c r="C7169" s="261">
        <v>123</v>
      </c>
      <c r="D7169" s="244" t="s">
        <v>12</v>
      </c>
      <c r="E7169" s="263">
        <v>1</v>
      </c>
      <c r="F7169" s="294" t="s">
        <v>126</v>
      </c>
      <c r="G7169" s="294" t="s">
        <v>139</v>
      </c>
      <c r="H7169" s="298">
        <v>1</v>
      </c>
      <c r="M7169" s="274"/>
    </row>
    <row r="7170" spans="2:13" ht="15" customHeight="1" x14ac:dyDescent="0.25">
      <c r="B7170" s="289">
        <v>7122</v>
      </c>
      <c r="C7170" s="261">
        <v>123</v>
      </c>
      <c r="D7170" s="244" t="s">
        <v>12</v>
      </c>
      <c r="E7170" s="263">
        <v>1</v>
      </c>
      <c r="F7170" s="294" t="s">
        <v>126</v>
      </c>
      <c r="G7170" s="294" t="s">
        <v>139</v>
      </c>
      <c r="H7170" s="298">
        <v>1</v>
      </c>
      <c r="M7170" s="274"/>
    </row>
    <row r="7171" spans="2:13" ht="15" customHeight="1" x14ac:dyDescent="0.25">
      <c r="B7171" s="289">
        <v>7123</v>
      </c>
      <c r="C7171" s="261">
        <v>123</v>
      </c>
      <c r="D7171" s="244" t="s">
        <v>12</v>
      </c>
      <c r="E7171" s="263">
        <v>63</v>
      </c>
      <c r="F7171" s="294" t="s">
        <v>126</v>
      </c>
      <c r="G7171" s="294" t="s">
        <v>1108</v>
      </c>
      <c r="H7171" s="298">
        <v>1</v>
      </c>
      <c r="M7171" s="274"/>
    </row>
    <row r="7172" spans="2:13" ht="15" customHeight="1" x14ac:dyDescent="0.25">
      <c r="B7172" s="289">
        <v>7125</v>
      </c>
      <c r="C7172" s="261">
        <v>123</v>
      </c>
      <c r="D7172" s="244" t="s">
        <v>12</v>
      </c>
      <c r="E7172" s="263">
        <v>1</v>
      </c>
      <c r="F7172" s="294" t="s">
        <v>126</v>
      </c>
      <c r="G7172" s="294" t="s">
        <v>235</v>
      </c>
      <c r="H7172" s="298">
        <v>1</v>
      </c>
      <c r="M7172" s="274"/>
    </row>
    <row r="7173" spans="2:13" ht="15" customHeight="1" x14ac:dyDescent="0.25">
      <c r="B7173" s="289">
        <v>7126</v>
      </c>
      <c r="C7173" s="261">
        <v>123</v>
      </c>
      <c r="D7173" s="244" t="s">
        <v>12</v>
      </c>
      <c r="E7173" s="263">
        <v>23</v>
      </c>
      <c r="F7173" s="294" t="s">
        <v>126</v>
      </c>
      <c r="G7173" s="294" t="s">
        <v>1109</v>
      </c>
      <c r="H7173" s="298">
        <v>1</v>
      </c>
      <c r="M7173" s="274"/>
    </row>
    <row r="7174" spans="2:13" ht="15" customHeight="1" x14ac:dyDescent="0.25">
      <c r="B7174" s="289">
        <v>7127</v>
      </c>
      <c r="C7174" s="261">
        <v>123</v>
      </c>
      <c r="D7174" s="244" t="s">
        <v>12</v>
      </c>
      <c r="E7174" s="263">
        <v>77</v>
      </c>
      <c r="F7174" s="294" t="s">
        <v>126</v>
      </c>
      <c r="G7174" s="294" t="s">
        <v>1110</v>
      </c>
      <c r="H7174" s="298">
        <v>1</v>
      </c>
      <c r="M7174" s="274"/>
    </row>
    <row r="7175" spans="2:13" ht="15" customHeight="1" x14ac:dyDescent="0.25">
      <c r="B7175" s="289">
        <v>7127</v>
      </c>
      <c r="C7175" s="261">
        <v>130</v>
      </c>
      <c r="D7175" s="244" t="s">
        <v>12</v>
      </c>
      <c r="E7175" s="263">
        <v>6</v>
      </c>
      <c r="F7175" s="294" t="s">
        <v>126</v>
      </c>
      <c r="G7175" s="294" t="s">
        <v>1111</v>
      </c>
      <c r="H7175" s="298">
        <v>1</v>
      </c>
      <c r="M7175" s="274"/>
    </row>
    <row r="7176" spans="2:13" ht="15" customHeight="1" x14ac:dyDescent="0.25">
      <c r="B7176" s="289">
        <v>7128</v>
      </c>
      <c r="C7176" s="261">
        <v>139</v>
      </c>
      <c r="D7176" s="244" t="s">
        <v>11</v>
      </c>
      <c r="E7176" s="263">
        <v>1</v>
      </c>
      <c r="F7176" s="294" t="s">
        <v>235</v>
      </c>
      <c r="G7176" s="294" t="s">
        <v>126</v>
      </c>
      <c r="H7176" s="298">
        <v>1</v>
      </c>
      <c r="M7176" s="274"/>
    </row>
    <row r="7177" spans="2:13" ht="15" customHeight="1" x14ac:dyDescent="0.25">
      <c r="B7177" s="289">
        <v>7129</v>
      </c>
      <c r="C7177" s="261">
        <v>123</v>
      </c>
      <c r="D7177" s="244" t="s">
        <v>12</v>
      </c>
      <c r="E7177" s="263">
        <v>43</v>
      </c>
      <c r="F7177" s="294" t="s">
        <v>126</v>
      </c>
      <c r="G7177" s="294" t="s">
        <v>1112</v>
      </c>
      <c r="H7177" s="298">
        <v>1</v>
      </c>
      <c r="M7177" s="274"/>
    </row>
    <row r="7178" spans="2:13" ht="15" customHeight="1" x14ac:dyDescent="0.25">
      <c r="B7178" s="289">
        <v>7130</v>
      </c>
      <c r="C7178" s="261">
        <v>125</v>
      </c>
      <c r="D7178" s="244" t="s">
        <v>12</v>
      </c>
      <c r="E7178" s="263">
        <v>2</v>
      </c>
      <c r="F7178" s="294" t="s">
        <v>126</v>
      </c>
      <c r="G7178" s="294" t="s">
        <v>285</v>
      </c>
      <c r="H7178" s="298">
        <v>1</v>
      </c>
      <c r="M7178" s="274"/>
    </row>
    <row r="7179" spans="2:13" ht="15" customHeight="1" x14ac:dyDescent="0.25">
      <c r="B7179" s="289">
        <v>7131</v>
      </c>
      <c r="C7179" s="261">
        <v>125</v>
      </c>
      <c r="D7179" s="244" t="s">
        <v>12</v>
      </c>
      <c r="E7179" s="263">
        <v>2</v>
      </c>
      <c r="F7179" s="294" t="s">
        <v>126</v>
      </c>
      <c r="G7179" s="294" t="s">
        <v>285</v>
      </c>
      <c r="H7179" s="298">
        <v>1</v>
      </c>
      <c r="M7179" s="274"/>
    </row>
    <row r="7180" spans="2:13" ht="15" customHeight="1" x14ac:dyDescent="0.25">
      <c r="B7180" s="289">
        <v>7132</v>
      </c>
      <c r="C7180" s="261">
        <v>123</v>
      </c>
      <c r="D7180" s="244" t="s">
        <v>12</v>
      </c>
      <c r="E7180" s="263">
        <v>1</v>
      </c>
      <c r="F7180" s="294" t="s">
        <v>126</v>
      </c>
      <c r="G7180" s="294" t="s">
        <v>139</v>
      </c>
      <c r="H7180" s="298">
        <v>1</v>
      </c>
      <c r="M7180" s="274"/>
    </row>
    <row r="7181" spans="2:13" ht="15" customHeight="1" x14ac:dyDescent="0.25">
      <c r="B7181" s="289">
        <v>7133</v>
      </c>
      <c r="C7181" s="261">
        <v>123</v>
      </c>
      <c r="D7181" s="244" t="s">
        <v>12</v>
      </c>
      <c r="E7181" s="263">
        <v>1</v>
      </c>
      <c r="F7181" s="294" t="s">
        <v>126</v>
      </c>
      <c r="G7181" s="294" t="s">
        <v>426</v>
      </c>
      <c r="H7181" s="298">
        <v>1</v>
      </c>
      <c r="M7181" s="274"/>
    </row>
    <row r="7182" spans="2:13" ht="15" customHeight="1" x14ac:dyDescent="0.25">
      <c r="B7182" s="289">
        <v>7134</v>
      </c>
      <c r="C7182" s="261">
        <v>122</v>
      </c>
      <c r="D7182" s="244" t="s">
        <v>11</v>
      </c>
      <c r="E7182" s="263">
        <v>1</v>
      </c>
      <c r="F7182" s="294" t="s">
        <v>426</v>
      </c>
      <c r="G7182" s="294" t="s">
        <v>126</v>
      </c>
      <c r="H7182" s="298">
        <v>1</v>
      </c>
      <c r="M7182" s="274"/>
    </row>
    <row r="7183" spans="2:13" ht="15" customHeight="1" x14ac:dyDescent="0.25">
      <c r="B7183" s="289">
        <v>7137</v>
      </c>
      <c r="C7183" s="261">
        <v>120</v>
      </c>
      <c r="D7183" s="244" t="s">
        <v>12</v>
      </c>
      <c r="E7183" s="263">
        <v>1</v>
      </c>
      <c r="F7183" s="294" t="s">
        <v>126</v>
      </c>
      <c r="G7183" s="294" t="s">
        <v>426</v>
      </c>
      <c r="H7183" s="298">
        <v>1</v>
      </c>
      <c r="M7183" s="274"/>
    </row>
    <row r="7184" spans="2:13" ht="15" customHeight="1" x14ac:dyDescent="0.25">
      <c r="B7184" s="289">
        <v>7137</v>
      </c>
      <c r="C7184" s="261">
        <v>123</v>
      </c>
      <c r="D7184" s="244" t="s">
        <v>12</v>
      </c>
      <c r="E7184" s="263">
        <v>40</v>
      </c>
      <c r="F7184" s="294" t="s">
        <v>126</v>
      </c>
      <c r="G7184" s="294" t="s">
        <v>1113</v>
      </c>
      <c r="H7184" s="298">
        <v>1</v>
      </c>
      <c r="M7184" s="274"/>
    </row>
    <row r="7185" spans="2:13" ht="15" customHeight="1" x14ac:dyDescent="0.25">
      <c r="B7185" s="289">
        <v>7138</v>
      </c>
      <c r="C7185" s="261">
        <v>123</v>
      </c>
      <c r="D7185" s="244" t="s">
        <v>12</v>
      </c>
      <c r="E7185" s="263">
        <v>91</v>
      </c>
      <c r="F7185" s="294" t="s">
        <v>126</v>
      </c>
      <c r="G7185" s="294" t="s">
        <v>1114</v>
      </c>
      <c r="H7185" s="298">
        <v>1</v>
      </c>
      <c r="M7185" s="274"/>
    </row>
    <row r="7186" spans="2:13" ht="15" customHeight="1" x14ac:dyDescent="0.25">
      <c r="B7186" s="289">
        <v>7139</v>
      </c>
      <c r="C7186" s="261">
        <v>123</v>
      </c>
      <c r="D7186" s="244" t="s">
        <v>11</v>
      </c>
      <c r="E7186" s="263">
        <v>9</v>
      </c>
      <c r="F7186" s="294" t="s">
        <v>436</v>
      </c>
      <c r="G7186" s="294" t="s">
        <v>126</v>
      </c>
      <c r="H7186" s="298">
        <v>1</v>
      </c>
      <c r="M7186" s="274"/>
    </row>
    <row r="7187" spans="2:13" ht="15" customHeight="1" x14ac:dyDescent="0.25">
      <c r="B7187" s="289">
        <v>7140</v>
      </c>
      <c r="C7187" s="261">
        <v>123</v>
      </c>
      <c r="D7187" s="244" t="s">
        <v>12</v>
      </c>
      <c r="E7187" s="263">
        <v>11</v>
      </c>
      <c r="F7187" s="294" t="s">
        <v>126</v>
      </c>
      <c r="G7187" s="294" t="s">
        <v>1115</v>
      </c>
      <c r="H7187" s="298">
        <v>1</v>
      </c>
      <c r="M7187" s="274"/>
    </row>
    <row r="7188" spans="2:13" ht="15" customHeight="1" x14ac:dyDescent="0.25">
      <c r="B7188" s="289">
        <v>7144</v>
      </c>
      <c r="C7188" s="261">
        <v>123</v>
      </c>
      <c r="D7188" s="244" t="s">
        <v>12</v>
      </c>
      <c r="E7188" s="263">
        <v>79</v>
      </c>
      <c r="F7188" s="294" t="s">
        <v>126</v>
      </c>
      <c r="G7188" s="294" t="s">
        <v>1116</v>
      </c>
      <c r="H7188" s="298">
        <v>1</v>
      </c>
      <c r="M7188" s="274"/>
    </row>
    <row r="7189" spans="2:13" ht="15" customHeight="1" x14ac:dyDescent="0.25">
      <c r="B7189" s="289">
        <v>7145</v>
      </c>
      <c r="C7189" s="261">
        <v>123</v>
      </c>
      <c r="D7189" s="244" t="s">
        <v>12</v>
      </c>
      <c r="E7189" s="263">
        <v>91</v>
      </c>
      <c r="F7189" s="294" t="s">
        <v>126</v>
      </c>
      <c r="G7189" s="294" t="s">
        <v>1117</v>
      </c>
      <c r="H7189" s="298">
        <v>1</v>
      </c>
      <c r="M7189" s="274"/>
    </row>
    <row r="7190" spans="2:13" ht="15" customHeight="1" x14ac:dyDescent="0.25">
      <c r="B7190" s="289">
        <v>7147</v>
      </c>
      <c r="C7190" s="261">
        <v>113</v>
      </c>
      <c r="D7190" s="244" t="s">
        <v>11</v>
      </c>
      <c r="E7190" s="263">
        <v>10</v>
      </c>
      <c r="F7190" s="294" t="s">
        <v>496</v>
      </c>
      <c r="G7190" s="294" t="s">
        <v>126</v>
      </c>
      <c r="H7190" s="298">
        <v>1</v>
      </c>
      <c r="M7190" s="274"/>
    </row>
    <row r="7191" spans="2:13" ht="15" customHeight="1" x14ac:dyDescent="0.25">
      <c r="B7191" s="289">
        <v>7148</v>
      </c>
      <c r="C7191" s="261">
        <v>123</v>
      </c>
      <c r="D7191" s="244" t="s">
        <v>12</v>
      </c>
      <c r="E7191" s="263">
        <v>5</v>
      </c>
      <c r="F7191" s="294" t="s">
        <v>126</v>
      </c>
      <c r="G7191" s="294" t="s">
        <v>1118</v>
      </c>
      <c r="H7191" s="298">
        <v>1</v>
      </c>
      <c r="M7191" s="274"/>
    </row>
    <row r="7192" spans="2:13" ht="15" customHeight="1" x14ac:dyDescent="0.25">
      <c r="B7192" s="289">
        <v>7149</v>
      </c>
      <c r="C7192" s="261">
        <v>123</v>
      </c>
      <c r="D7192" s="244" t="s">
        <v>12</v>
      </c>
      <c r="E7192" s="263">
        <v>84</v>
      </c>
      <c r="F7192" s="294" t="s">
        <v>126</v>
      </c>
      <c r="G7192" s="294" t="s">
        <v>1119</v>
      </c>
      <c r="H7192" s="298">
        <v>1</v>
      </c>
      <c r="M7192" s="274"/>
    </row>
    <row r="7193" spans="2:13" ht="15" customHeight="1" x14ac:dyDescent="0.25">
      <c r="B7193" s="289">
        <v>7150</v>
      </c>
      <c r="C7193" s="261">
        <v>121</v>
      </c>
      <c r="D7193" s="244" t="s">
        <v>11</v>
      </c>
      <c r="E7193" s="263">
        <v>2</v>
      </c>
      <c r="F7193" s="294" t="s">
        <v>441</v>
      </c>
      <c r="G7193" s="294" t="s">
        <v>126</v>
      </c>
      <c r="H7193" s="298">
        <v>1</v>
      </c>
      <c r="M7193" s="274"/>
    </row>
    <row r="7194" spans="2:13" ht="15" customHeight="1" x14ac:dyDescent="0.25">
      <c r="B7194" s="289">
        <v>7151</v>
      </c>
      <c r="C7194" s="261">
        <v>123</v>
      </c>
      <c r="D7194" s="244" t="s">
        <v>12</v>
      </c>
      <c r="E7194" s="263">
        <v>45</v>
      </c>
      <c r="F7194" s="294" t="s">
        <v>126</v>
      </c>
      <c r="G7194" s="294" t="s">
        <v>432</v>
      </c>
      <c r="H7194" s="298">
        <v>1</v>
      </c>
      <c r="M7194" s="274"/>
    </row>
    <row r="7195" spans="2:13" ht="15" customHeight="1" x14ac:dyDescent="0.25">
      <c r="B7195" s="289">
        <v>7153</v>
      </c>
      <c r="C7195" s="261">
        <v>123</v>
      </c>
      <c r="D7195" s="244" t="s">
        <v>12</v>
      </c>
      <c r="E7195" s="263">
        <v>3</v>
      </c>
      <c r="F7195" s="294" t="s">
        <v>126</v>
      </c>
      <c r="G7195" s="294" t="s">
        <v>863</v>
      </c>
      <c r="H7195" s="298">
        <v>1</v>
      </c>
      <c r="M7195" s="274"/>
    </row>
    <row r="7196" spans="2:13" ht="15" customHeight="1" x14ac:dyDescent="0.25">
      <c r="B7196" s="289">
        <v>7154</v>
      </c>
      <c r="C7196" s="261">
        <v>132</v>
      </c>
      <c r="D7196" s="244" t="s">
        <v>11</v>
      </c>
      <c r="E7196" s="263">
        <v>1</v>
      </c>
      <c r="F7196" s="294" t="s">
        <v>437</v>
      </c>
      <c r="G7196" s="294" t="s">
        <v>126</v>
      </c>
      <c r="H7196" s="298">
        <v>1</v>
      </c>
      <c r="M7196" s="274"/>
    </row>
    <row r="7197" spans="2:13" ht="15" customHeight="1" x14ac:dyDescent="0.25">
      <c r="B7197" s="289">
        <v>7155</v>
      </c>
      <c r="C7197" s="261">
        <v>116</v>
      </c>
      <c r="D7197" s="244" t="s">
        <v>11</v>
      </c>
      <c r="E7197" s="263">
        <v>7</v>
      </c>
      <c r="F7197" s="294" t="s">
        <v>581</v>
      </c>
      <c r="G7197" s="294" t="s">
        <v>126</v>
      </c>
      <c r="H7197" s="298">
        <v>1</v>
      </c>
      <c r="M7197" s="274"/>
    </row>
    <row r="7198" spans="2:13" ht="15" customHeight="1" x14ac:dyDescent="0.25">
      <c r="B7198" s="289">
        <v>7156</v>
      </c>
      <c r="C7198" s="261">
        <v>116</v>
      </c>
      <c r="D7198" s="244" t="s">
        <v>11</v>
      </c>
      <c r="E7198" s="263">
        <v>7</v>
      </c>
      <c r="F7198" s="294" t="s">
        <v>581</v>
      </c>
      <c r="G7198" s="294" t="s">
        <v>126</v>
      </c>
      <c r="H7198" s="298">
        <v>1</v>
      </c>
      <c r="M7198" s="274"/>
    </row>
    <row r="7199" spans="2:13" ht="15" customHeight="1" x14ac:dyDescent="0.25">
      <c r="B7199" s="289">
        <v>7157</v>
      </c>
      <c r="C7199" s="261">
        <v>111</v>
      </c>
      <c r="D7199" s="244" t="s">
        <v>12</v>
      </c>
      <c r="E7199" s="263">
        <v>7</v>
      </c>
      <c r="F7199" s="294" t="s">
        <v>126</v>
      </c>
      <c r="G7199" s="294" t="s">
        <v>1120</v>
      </c>
      <c r="H7199" s="298">
        <v>1</v>
      </c>
      <c r="M7199" s="274"/>
    </row>
    <row r="7200" spans="2:13" ht="15" customHeight="1" x14ac:dyDescent="0.25">
      <c r="B7200" s="289">
        <v>7157</v>
      </c>
      <c r="C7200" s="261">
        <v>127</v>
      </c>
      <c r="D7200" s="244" t="s">
        <v>12</v>
      </c>
      <c r="E7200" s="263">
        <v>4</v>
      </c>
      <c r="F7200" s="294" t="s">
        <v>126</v>
      </c>
      <c r="G7200" s="294" t="s">
        <v>1121</v>
      </c>
      <c r="H7200" s="298">
        <v>1</v>
      </c>
      <c r="M7200" s="274"/>
    </row>
    <row r="7201" spans="2:13" ht="15" customHeight="1" x14ac:dyDescent="0.25">
      <c r="B7201" s="289">
        <v>7158</v>
      </c>
      <c r="C7201" s="261">
        <v>123</v>
      </c>
      <c r="D7201" s="244" t="s">
        <v>12</v>
      </c>
      <c r="E7201" s="263">
        <v>85</v>
      </c>
      <c r="F7201" s="294" t="s">
        <v>126</v>
      </c>
      <c r="G7201" s="294" t="s">
        <v>1122</v>
      </c>
      <c r="H7201" s="298">
        <v>1</v>
      </c>
      <c r="M7201" s="274"/>
    </row>
    <row r="7202" spans="2:13" ht="15" customHeight="1" x14ac:dyDescent="0.25">
      <c r="B7202" s="289">
        <v>7159</v>
      </c>
      <c r="C7202" s="261">
        <v>122</v>
      </c>
      <c r="D7202" s="244" t="s">
        <v>12</v>
      </c>
      <c r="E7202" s="263">
        <v>1</v>
      </c>
      <c r="F7202" s="294" t="s">
        <v>126</v>
      </c>
      <c r="G7202" s="294" t="s">
        <v>437</v>
      </c>
      <c r="H7202" s="298">
        <v>1</v>
      </c>
      <c r="M7202" s="274"/>
    </row>
    <row r="7203" spans="2:13" ht="15" customHeight="1" x14ac:dyDescent="0.25">
      <c r="B7203" s="289">
        <v>7161</v>
      </c>
      <c r="C7203" s="261">
        <v>123</v>
      </c>
      <c r="D7203" s="244" t="s">
        <v>12</v>
      </c>
      <c r="E7203" s="263">
        <v>23</v>
      </c>
      <c r="F7203" s="294" t="s">
        <v>126</v>
      </c>
      <c r="G7203" s="294" t="s">
        <v>1123</v>
      </c>
      <c r="H7203" s="298">
        <v>1</v>
      </c>
      <c r="M7203" s="274"/>
    </row>
    <row r="7204" spans="2:13" ht="15" customHeight="1" x14ac:dyDescent="0.25">
      <c r="B7204" s="289">
        <v>7163</v>
      </c>
      <c r="C7204" s="261">
        <v>122</v>
      </c>
      <c r="D7204" s="244" t="s">
        <v>11</v>
      </c>
      <c r="E7204" s="263">
        <v>8</v>
      </c>
      <c r="F7204" s="294" t="s">
        <v>554</v>
      </c>
      <c r="G7204" s="294" t="s">
        <v>126</v>
      </c>
      <c r="H7204" s="298">
        <v>1</v>
      </c>
      <c r="M7204" s="274"/>
    </row>
    <row r="7205" spans="2:13" ht="15" customHeight="1" x14ac:dyDescent="0.25">
      <c r="B7205" s="289">
        <v>7165</v>
      </c>
      <c r="C7205" s="261">
        <v>123</v>
      </c>
      <c r="D7205" s="244" t="s">
        <v>11</v>
      </c>
      <c r="E7205" s="263">
        <v>9</v>
      </c>
      <c r="F7205" s="294" t="s">
        <v>436</v>
      </c>
      <c r="G7205" s="294" t="s">
        <v>126</v>
      </c>
      <c r="H7205" s="298">
        <v>1</v>
      </c>
      <c r="M7205" s="274"/>
    </row>
    <row r="7206" spans="2:13" ht="15" customHeight="1" x14ac:dyDescent="0.25">
      <c r="B7206" s="289">
        <v>7166</v>
      </c>
      <c r="C7206" s="261">
        <v>123</v>
      </c>
      <c r="D7206" s="244" t="s">
        <v>12</v>
      </c>
      <c r="E7206" s="263">
        <v>48</v>
      </c>
      <c r="F7206" s="294" t="s">
        <v>126</v>
      </c>
      <c r="G7206" s="294" t="s">
        <v>1124</v>
      </c>
      <c r="H7206" s="298">
        <v>1</v>
      </c>
      <c r="M7206" s="274"/>
    </row>
    <row r="7207" spans="2:13" ht="15" customHeight="1" x14ac:dyDescent="0.25">
      <c r="B7207" s="289">
        <v>7167</v>
      </c>
      <c r="C7207" s="261">
        <v>139</v>
      </c>
      <c r="D7207" s="244" t="s">
        <v>12</v>
      </c>
      <c r="E7207" s="263">
        <v>30</v>
      </c>
      <c r="F7207" s="294" t="s">
        <v>126</v>
      </c>
      <c r="G7207" s="294" t="s">
        <v>1125</v>
      </c>
      <c r="H7207" s="298">
        <v>1</v>
      </c>
      <c r="M7207" s="274"/>
    </row>
    <row r="7208" spans="2:13" ht="15" customHeight="1" x14ac:dyDescent="0.25">
      <c r="B7208" s="289">
        <v>7168</v>
      </c>
      <c r="C7208" s="261">
        <v>123</v>
      </c>
      <c r="D7208" s="244" t="s">
        <v>12</v>
      </c>
      <c r="E7208" s="263">
        <v>68</v>
      </c>
      <c r="F7208" s="294" t="s">
        <v>126</v>
      </c>
      <c r="G7208" s="294" t="s">
        <v>1126</v>
      </c>
      <c r="H7208" s="298">
        <v>1</v>
      </c>
      <c r="M7208" s="274"/>
    </row>
    <row r="7209" spans="2:13" ht="15" customHeight="1" x14ac:dyDescent="0.25">
      <c r="B7209" s="289">
        <v>7170</v>
      </c>
      <c r="C7209" s="261">
        <v>123</v>
      </c>
      <c r="D7209" s="244" t="s">
        <v>12</v>
      </c>
      <c r="E7209" s="263">
        <v>1</v>
      </c>
      <c r="F7209" s="294" t="s">
        <v>126</v>
      </c>
      <c r="G7209" s="294" t="s">
        <v>139</v>
      </c>
      <c r="H7209" s="298">
        <v>1</v>
      </c>
      <c r="M7209" s="274"/>
    </row>
    <row r="7210" spans="2:13" ht="15" customHeight="1" x14ac:dyDescent="0.25">
      <c r="B7210" s="289">
        <v>7171</v>
      </c>
      <c r="C7210" s="261">
        <v>123</v>
      </c>
      <c r="D7210" s="244" t="s">
        <v>12</v>
      </c>
      <c r="E7210" s="263">
        <v>93</v>
      </c>
      <c r="F7210" s="294" t="s">
        <v>126</v>
      </c>
      <c r="G7210" s="294" t="s">
        <v>1127</v>
      </c>
      <c r="H7210" s="298">
        <v>1</v>
      </c>
      <c r="M7210" s="274"/>
    </row>
    <row r="7211" spans="2:13" ht="15" customHeight="1" x14ac:dyDescent="0.25">
      <c r="B7211" s="289">
        <v>7171</v>
      </c>
      <c r="C7211" s="261">
        <v>136</v>
      </c>
      <c r="D7211" s="244" t="s">
        <v>11</v>
      </c>
      <c r="E7211" s="263">
        <v>4</v>
      </c>
      <c r="F7211" s="294" t="s">
        <v>1128</v>
      </c>
      <c r="G7211" s="294" t="s">
        <v>126</v>
      </c>
      <c r="H7211" s="298">
        <v>1</v>
      </c>
      <c r="M7211" s="274"/>
    </row>
    <row r="7212" spans="2:13" ht="15" customHeight="1" x14ac:dyDescent="0.25">
      <c r="B7212" s="289">
        <v>7173</v>
      </c>
      <c r="C7212" s="261">
        <v>121</v>
      </c>
      <c r="D7212" s="244" t="s">
        <v>11</v>
      </c>
      <c r="E7212" s="263">
        <v>2</v>
      </c>
      <c r="F7212" s="294" t="s">
        <v>441</v>
      </c>
      <c r="G7212" s="294" t="s">
        <v>126</v>
      </c>
      <c r="H7212" s="298">
        <v>1</v>
      </c>
      <c r="M7212" s="274"/>
    </row>
    <row r="7213" spans="2:13" ht="15" customHeight="1" x14ac:dyDescent="0.25">
      <c r="B7213" s="289">
        <v>7175</v>
      </c>
      <c r="C7213" s="261">
        <v>123</v>
      </c>
      <c r="D7213" s="244" t="s">
        <v>12</v>
      </c>
      <c r="E7213" s="263">
        <v>1</v>
      </c>
      <c r="F7213" s="294" t="s">
        <v>126</v>
      </c>
      <c r="G7213" s="294" t="s">
        <v>139</v>
      </c>
      <c r="H7213" s="298">
        <v>1</v>
      </c>
      <c r="M7213" s="274"/>
    </row>
    <row r="7214" spans="2:13" ht="15" customHeight="1" x14ac:dyDescent="0.25">
      <c r="B7214" s="289">
        <v>7177</v>
      </c>
      <c r="C7214" s="261">
        <v>123</v>
      </c>
      <c r="D7214" s="244" t="s">
        <v>12</v>
      </c>
      <c r="E7214" s="263">
        <v>101</v>
      </c>
      <c r="F7214" s="294" t="s">
        <v>126</v>
      </c>
      <c r="G7214" s="294" t="s">
        <v>1129</v>
      </c>
      <c r="H7214" s="298">
        <v>1</v>
      </c>
      <c r="M7214" s="274"/>
    </row>
    <row r="7215" spans="2:13" ht="15" customHeight="1" x14ac:dyDescent="0.25">
      <c r="B7215" s="289">
        <v>7178</v>
      </c>
      <c r="C7215" s="261">
        <v>123</v>
      </c>
      <c r="D7215" s="244" t="s">
        <v>11</v>
      </c>
      <c r="E7215" s="263">
        <v>3</v>
      </c>
      <c r="F7215" s="294" t="s">
        <v>528</v>
      </c>
      <c r="G7215" s="294" t="s">
        <v>126</v>
      </c>
      <c r="H7215" s="298">
        <v>1</v>
      </c>
      <c r="M7215" s="274"/>
    </row>
    <row r="7216" spans="2:13" ht="15" customHeight="1" x14ac:dyDescent="0.25">
      <c r="B7216" s="289">
        <v>7181</v>
      </c>
      <c r="C7216" s="261">
        <v>122</v>
      </c>
      <c r="D7216" s="244" t="s">
        <v>11</v>
      </c>
      <c r="E7216" s="263">
        <v>1</v>
      </c>
      <c r="F7216" s="294" t="s">
        <v>426</v>
      </c>
      <c r="G7216" s="294" t="s">
        <v>126</v>
      </c>
      <c r="H7216" s="298">
        <v>1</v>
      </c>
      <c r="M7216" s="274"/>
    </row>
    <row r="7217" spans="2:13" ht="15" customHeight="1" x14ac:dyDescent="0.25">
      <c r="B7217" s="289">
        <v>7182</v>
      </c>
      <c r="C7217" s="261">
        <v>119</v>
      </c>
      <c r="D7217" s="244" t="s">
        <v>11</v>
      </c>
      <c r="E7217" s="263">
        <v>10</v>
      </c>
      <c r="F7217" s="294" t="s">
        <v>895</v>
      </c>
      <c r="G7217" s="294" t="s">
        <v>126</v>
      </c>
      <c r="H7217" s="298">
        <v>1</v>
      </c>
      <c r="M7217" s="274"/>
    </row>
    <row r="7218" spans="2:13" ht="15" customHeight="1" x14ac:dyDescent="0.25">
      <c r="B7218" s="289">
        <v>7183</v>
      </c>
      <c r="C7218" s="261">
        <v>123</v>
      </c>
      <c r="D7218" s="244" t="s">
        <v>12</v>
      </c>
      <c r="E7218" s="263">
        <v>84</v>
      </c>
      <c r="F7218" s="294" t="s">
        <v>126</v>
      </c>
      <c r="G7218" s="294" t="s">
        <v>1130</v>
      </c>
      <c r="H7218" s="298">
        <v>1</v>
      </c>
      <c r="M7218" s="274"/>
    </row>
    <row r="7219" spans="2:13" ht="15" customHeight="1" x14ac:dyDescent="0.25">
      <c r="B7219" s="289">
        <v>7184</v>
      </c>
      <c r="C7219" s="261">
        <v>133</v>
      </c>
      <c r="D7219" s="244" t="s">
        <v>12</v>
      </c>
      <c r="E7219" s="263">
        <v>16</v>
      </c>
      <c r="F7219" s="294" t="s">
        <v>126</v>
      </c>
      <c r="G7219" s="294" t="s">
        <v>1131</v>
      </c>
      <c r="H7219" s="298">
        <v>1</v>
      </c>
      <c r="M7219" s="274"/>
    </row>
    <row r="7220" spans="2:13" ht="15" customHeight="1" x14ac:dyDescent="0.25">
      <c r="B7220" s="289">
        <v>7186</v>
      </c>
      <c r="C7220" s="261">
        <v>123</v>
      </c>
      <c r="D7220" s="244" t="s">
        <v>12</v>
      </c>
      <c r="E7220" s="263">
        <v>94</v>
      </c>
      <c r="F7220" s="294" t="s">
        <v>126</v>
      </c>
      <c r="G7220" s="294" t="s">
        <v>1132</v>
      </c>
      <c r="H7220" s="298">
        <v>1</v>
      </c>
      <c r="M7220" s="274"/>
    </row>
    <row r="7221" spans="2:13" ht="15" customHeight="1" x14ac:dyDescent="0.25">
      <c r="B7221" s="289">
        <v>7187</v>
      </c>
      <c r="C7221" s="261">
        <v>123</v>
      </c>
      <c r="D7221" s="244" t="s">
        <v>12</v>
      </c>
      <c r="E7221" s="263">
        <v>2</v>
      </c>
      <c r="F7221" s="294" t="s">
        <v>126</v>
      </c>
      <c r="G7221" s="294" t="s">
        <v>233</v>
      </c>
      <c r="H7221" s="298">
        <v>1</v>
      </c>
      <c r="M7221" s="274"/>
    </row>
    <row r="7222" spans="2:13" ht="15" customHeight="1" x14ac:dyDescent="0.25">
      <c r="B7222" s="289">
        <v>7188</v>
      </c>
      <c r="C7222" s="261">
        <v>123</v>
      </c>
      <c r="D7222" s="244" t="s">
        <v>12</v>
      </c>
      <c r="E7222" s="263">
        <v>70</v>
      </c>
      <c r="F7222" s="294" t="s">
        <v>126</v>
      </c>
      <c r="G7222" s="294" t="s">
        <v>1133</v>
      </c>
      <c r="H7222" s="298">
        <v>1</v>
      </c>
      <c r="M7222" s="274"/>
    </row>
    <row r="7223" spans="2:13" ht="15" customHeight="1" x14ac:dyDescent="0.25">
      <c r="B7223" s="289">
        <v>7189</v>
      </c>
      <c r="C7223" s="261">
        <v>123</v>
      </c>
      <c r="D7223" s="244" t="s">
        <v>12</v>
      </c>
      <c r="E7223" s="263">
        <v>90</v>
      </c>
      <c r="F7223" s="294" t="s">
        <v>126</v>
      </c>
      <c r="G7223" s="294" t="s">
        <v>1134</v>
      </c>
      <c r="H7223" s="298">
        <v>1</v>
      </c>
      <c r="M7223" s="274"/>
    </row>
    <row r="7224" spans="2:13" ht="15" customHeight="1" x14ac:dyDescent="0.25">
      <c r="B7224" s="289">
        <v>7192</v>
      </c>
      <c r="C7224" s="261">
        <v>123</v>
      </c>
      <c r="D7224" s="244" t="s">
        <v>12</v>
      </c>
      <c r="E7224" s="263">
        <v>1</v>
      </c>
      <c r="F7224" s="294" t="s">
        <v>126</v>
      </c>
      <c r="G7224" s="294" t="s">
        <v>139</v>
      </c>
      <c r="H7224" s="298">
        <v>1</v>
      </c>
      <c r="M7224" s="274"/>
    </row>
    <row r="7225" spans="2:13" ht="15" customHeight="1" x14ac:dyDescent="0.25">
      <c r="B7225" s="289">
        <v>7193</v>
      </c>
      <c r="C7225" s="261">
        <v>122</v>
      </c>
      <c r="D7225" s="244" t="s">
        <v>11</v>
      </c>
      <c r="E7225" s="263">
        <v>8</v>
      </c>
      <c r="F7225" s="294" t="s">
        <v>554</v>
      </c>
      <c r="G7225" s="294" t="s">
        <v>126</v>
      </c>
      <c r="H7225" s="298">
        <v>1</v>
      </c>
      <c r="M7225" s="274"/>
    </row>
    <row r="7226" spans="2:13" ht="15" customHeight="1" x14ac:dyDescent="0.25">
      <c r="B7226" s="289">
        <v>7194</v>
      </c>
      <c r="C7226" s="261">
        <v>123</v>
      </c>
      <c r="D7226" s="244" t="s">
        <v>11</v>
      </c>
      <c r="E7226" s="263">
        <v>9</v>
      </c>
      <c r="F7226" s="294" t="s">
        <v>436</v>
      </c>
      <c r="G7226" s="294" t="s">
        <v>126</v>
      </c>
      <c r="H7226" s="298">
        <v>1</v>
      </c>
      <c r="M7226" s="274"/>
    </row>
    <row r="7227" spans="2:13" ht="15" customHeight="1" x14ac:dyDescent="0.25">
      <c r="B7227" s="289">
        <v>7195</v>
      </c>
      <c r="C7227" s="261">
        <v>122</v>
      </c>
      <c r="D7227" s="244" t="s">
        <v>11</v>
      </c>
      <c r="E7227" s="263">
        <v>1</v>
      </c>
      <c r="F7227" s="294" t="s">
        <v>426</v>
      </c>
      <c r="G7227" s="294" t="s">
        <v>126</v>
      </c>
      <c r="H7227" s="298">
        <v>1</v>
      </c>
      <c r="M7227" s="274"/>
    </row>
    <row r="7228" spans="2:13" ht="15" customHeight="1" x14ac:dyDescent="0.25">
      <c r="B7228" s="289">
        <v>7196</v>
      </c>
      <c r="C7228" s="261">
        <v>123</v>
      </c>
      <c r="D7228" s="244" t="s">
        <v>12</v>
      </c>
      <c r="E7228" s="263">
        <v>1</v>
      </c>
      <c r="F7228" s="294" t="s">
        <v>126</v>
      </c>
      <c r="G7228" s="294" t="s">
        <v>139</v>
      </c>
      <c r="H7228" s="298">
        <v>1</v>
      </c>
      <c r="M7228" s="274"/>
    </row>
    <row r="7229" spans="2:13" ht="15" customHeight="1" x14ac:dyDescent="0.25">
      <c r="B7229" s="289">
        <v>7197</v>
      </c>
      <c r="C7229" s="261">
        <v>123</v>
      </c>
      <c r="D7229" s="244" t="s">
        <v>12</v>
      </c>
      <c r="E7229" s="263">
        <v>67</v>
      </c>
      <c r="F7229" s="294" t="s">
        <v>126</v>
      </c>
      <c r="G7229" s="294" t="s">
        <v>1135</v>
      </c>
      <c r="H7229" s="298">
        <v>1</v>
      </c>
      <c r="M7229" s="274"/>
    </row>
    <row r="7230" spans="2:13" ht="15" customHeight="1" x14ac:dyDescent="0.25">
      <c r="B7230" s="289">
        <v>7199</v>
      </c>
      <c r="C7230" s="261">
        <v>123</v>
      </c>
      <c r="D7230" s="244" t="s">
        <v>12</v>
      </c>
      <c r="E7230" s="263">
        <v>74</v>
      </c>
      <c r="F7230" s="294" t="s">
        <v>126</v>
      </c>
      <c r="G7230" s="294" t="s">
        <v>1136</v>
      </c>
      <c r="H7230" s="298">
        <v>1</v>
      </c>
      <c r="M7230" s="274"/>
    </row>
    <row r="7231" spans="2:13" ht="15" customHeight="1" x14ac:dyDescent="0.25">
      <c r="B7231" s="289">
        <v>7199</v>
      </c>
      <c r="C7231" s="261">
        <v>135</v>
      </c>
      <c r="D7231" s="244" t="s">
        <v>12</v>
      </c>
      <c r="E7231" s="263">
        <v>18</v>
      </c>
      <c r="F7231" s="294" t="s">
        <v>126</v>
      </c>
      <c r="G7231" s="294" t="s">
        <v>1137</v>
      </c>
      <c r="H7231" s="298">
        <v>1</v>
      </c>
      <c r="M7231" s="274"/>
    </row>
    <row r="7232" spans="2:13" ht="15" customHeight="1" x14ac:dyDescent="0.25">
      <c r="B7232" s="289">
        <v>7199</v>
      </c>
      <c r="C7232" s="261">
        <v>141</v>
      </c>
      <c r="D7232" s="244" t="s">
        <v>12</v>
      </c>
      <c r="E7232" s="263">
        <v>7</v>
      </c>
      <c r="F7232" s="294" t="s">
        <v>126</v>
      </c>
      <c r="G7232" s="294" t="s">
        <v>1138</v>
      </c>
      <c r="H7232" s="298">
        <v>1</v>
      </c>
      <c r="M7232" s="274"/>
    </row>
    <row r="7233" spans="2:13" ht="15" customHeight="1" x14ac:dyDescent="0.25">
      <c r="B7233" s="289">
        <v>7200</v>
      </c>
      <c r="C7233" s="261">
        <v>123</v>
      </c>
      <c r="D7233" s="244" t="s">
        <v>12</v>
      </c>
      <c r="E7233" s="263">
        <v>74</v>
      </c>
      <c r="F7233" s="294" t="s">
        <v>126</v>
      </c>
      <c r="G7233" s="294" t="s">
        <v>1136</v>
      </c>
      <c r="H7233" s="298">
        <v>1</v>
      </c>
      <c r="M7233" s="274"/>
    </row>
    <row r="7234" spans="2:13" ht="15" customHeight="1" x14ac:dyDescent="0.25">
      <c r="B7234" s="289">
        <v>7200</v>
      </c>
      <c r="C7234" s="261">
        <v>135</v>
      </c>
      <c r="D7234" s="244" t="s">
        <v>12</v>
      </c>
      <c r="E7234" s="263">
        <v>18</v>
      </c>
      <c r="F7234" s="294" t="s">
        <v>126</v>
      </c>
      <c r="G7234" s="294" t="s">
        <v>1139</v>
      </c>
      <c r="H7234" s="298">
        <v>1</v>
      </c>
      <c r="M7234" s="274"/>
    </row>
    <row r="7235" spans="2:13" ht="15" customHeight="1" x14ac:dyDescent="0.25">
      <c r="B7235" s="289">
        <v>7200</v>
      </c>
      <c r="C7235" s="261">
        <v>141</v>
      </c>
      <c r="D7235" s="244" t="s">
        <v>12</v>
      </c>
      <c r="E7235" s="263">
        <v>7</v>
      </c>
      <c r="F7235" s="294" t="s">
        <v>126</v>
      </c>
      <c r="G7235" s="294" t="s">
        <v>1138</v>
      </c>
      <c r="H7235" s="298">
        <v>1</v>
      </c>
      <c r="M7235" s="274"/>
    </row>
    <row r="7236" spans="2:13" ht="15" customHeight="1" x14ac:dyDescent="0.25">
      <c r="B7236" s="289">
        <v>7201</v>
      </c>
      <c r="C7236" s="261">
        <v>123</v>
      </c>
      <c r="D7236" s="244" t="s">
        <v>12</v>
      </c>
      <c r="E7236" s="263">
        <v>37</v>
      </c>
      <c r="F7236" s="294" t="s">
        <v>126</v>
      </c>
      <c r="G7236" s="294" t="s">
        <v>1140</v>
      </c>
      <c r="H7236" s="298">
        <v>1</v>
      </c>
      <c r="M7236" s="274"/>
    </row>
    <row r="7237" spans="2:13" ht="15" customHeight="1" x14ac:dyDescent="0.25">
      <c r="B7237" s="289">
        <v>7202</v>
      </c>
      <c r="C7237" s="261">
        <v>122</v>
      </c>
      <c r="D7237" s="244" t="s">
        <v>11</v>
      </c>
      <c r="E7237" s="263">
        <v>8</v>
      </c>
      <c r="F7237" s="294" t="s">
        <v>554</v>
      </c>
      <c r="G7237" s="294" t="s">
        <v>126</v>
      </c>
      <c r="H7237" s="298">
        <v>1</v>
      </c>
      <c r="M7237" s="274"/>
    </row>
    <row r="7238" spans="2:13" ht="15" customHeight="1" x14ac:dyDescent="0.25">
      <c r="B7238" s="289">
        <v>7203</v>
      </c>
      <c r="C7238" s="261">
        <v>123</v>
      </c>
      <c r="D7238" s="244" t="s">
        <v>12</v>
      </c>
      <c r="E7238" s="263">
        <v>95</v>
      </c>
      <c r="F7238" s="294" t="s">
        <v>126</v>
      </c>
      <c r="G7238" s="294" t="s">
        <v>1141</v>
      </c>
      <c r="H7238" s="298">
        <v>1</v>
      </c>
      <c r="M7238" s="274"/>
    </row>
    <row r="7239" spans="2:13" ht="15" customHeight="1" x14ac:dyDescent="0.25">
      <c r="B7239" s="289">
        <v>7204</v>
      </c>
      <c r="C7239" s="261">
        <v>122</v>
      </c>
      <c r="D7239" s="244" t="s">
        <v>11</v>
      </c>
      <c r="E7239" s="263">
        <v>34</v>
      </c>
      <c r="F7239" s="294" t="s">
        <v>1142</v>
      </c>
      <c r="G7239" s="294" t="s">
        <v>126</v>
      </c>
      <c r="H7239" s="298">
        <v>1</v>
      </c>
      <c r="M7239" s="274"/>
    </row>
    <row r="7240" spans="2:13" ht="15" customHeight="1" x14ac:dyDescent="0.25">
      <c r="B7240" s="289">
        <v>7206</v>
      </c>
      <c r="C7240" s="261">
        <v>123</v>
      </c>
      <c r="D7240" s="244" t="s">
        <v>12</v>
      </c>
      <c r="E7240" s="263">
        <v>1</v>
      </c>
      <c r="F7240" s="294" t="s">
        <v>126</v>
      </c>
      <c r="G7240" s="294" t="s">
        <v>139</v>
      </c>
      <c r="H7240" s="298">
        <v>1</v>
      </c>
      <c r="M7240" s="274"/>
    </row>
    <row r="7241" spans="2:13" ht="15" customHeight="1" x14ac:dyDescent="0.25">
      <c r="B7241" s="289">
        <v>7207</v>
      </c>
      <c r="C7241" s="261">
        <v>116</v>
      </c>
      <c r="D7241" s="244" t="s">
        <v>11</v>
      </c>
      <c r="E7241" s="263">
        <v>7</v>
      </c>
      <c r="F7241" s="294" t="s">
        <v>581</v>
      </c>
      <c r="G7241" s="294" t="s">
        <v>126</v>
      </c>
      <c r="H7241" s="298">
        <v>1</v>
      </c>
      <c r="M7241" s="274"/>
    </row>
    <row r="7242" spans="2:13" ht="15" customHeight="1" x14ac:dyDescent="0.25">
      <c r="B7242" s="289">
        <v>7208</v>
      </c>
      <c r="C7242" s="261">
        <v>123</v>
      </c>
      <c r="D7242" s="244" t="s">
        <v>12</v>
      </c>
      <c r="E7242" s="263">
        <v>100</v>
      </c>
      <c r="F7242" s="294" t="s">
        <v>126</v>
      </c>
      <c r="G7242" s="294" t="s">
        <v>1143</v>
      </c>
      <c r="H7242" s="298">
        <v>1</v>
      </c>
      <c r="M7242" s="274"/>
    </row>
    <row r="7243" spans="2:13" ht="15" customHeight="1" x14ac:dyDescent="0.25">
      <c r="B7243" s="289">
        <v>7209</v>
      </c>
      <c r="C7243" s="261">
        <v>123</v>
      </c>
      <c r="D7243" s="244" t="s">
        <v>12</v>
      </c>
      <c r="E7243" s="263">
        <v>79</v>
      </c>
      <c r="F7243" s="294" t="s">
        <v>126</v>
      </c>
      <c r="G7243" s="294" t="s">
        <v>1144</v>
      </c>
      <c r="H7243" s="298">
        <v>1</v>
      </c>
      <c r="M7243" s="274"/>
    </row>
    <row r="7244" spans="2:13" ht="15" customHeight="1" x14ac:dyDescent="0.25">
      <c r="B7244" s="289">
        <v>7210</v>
      </c>
      <c r="C7244" s="261">
        <v>123</v>
      </c>
      <c r="D7244" s="244" t="s">
        <v>12</v>
      </c>
      <c r="E7244" s="263">
        <v>97</v>
      </c>
      <c r="F7244" s="294" t="s">
        <v>126</v>
      </c>
      <c r="G7244" s="294" t="s">
        <v>1145</v>
      </c>
      <c r="H7244" s="298">
        <v>1</v>
      </c>
      <c r="M7244" s="274"/>
    </row>
    <row r="7245" spans="2:13" ht="15" customHeight="1" x14ac:dyDescent="0.25">
      <c r="B7245" s="289">
        <v>7213</v>
      </c>
      <c r="C7245" s="261">
        <v>121</v>
      </c>
      <c r="D7245" s="244" t="s">
        <v>11</v>
      </c>
      <c r="E7245" s="263">
        <v>2</v>
      </c>
      <c r="F7245" s="294" t="s">
        <v>441</v>
      </c>
      <c r="G7245" s="294" t="s">
        <v>126</v>
      </c>
      <c r="H7245" s="298">
        <v>1</v>
      </c>
      <c r="M7245" s="274"/>
    </row>
    <row r="7246" spans="2:13" ht="15" customHeight="1" x14ac:dyDescent="0.25">
      <c r="B7246" s="289">
        <v>7215</v>
      </c>
      <c r="C7246" s="261">
        <v>123</v>
      </c>
      <c r="D7246" s="244" t="s">
        <v>12</v>
      </c>
      <c r="E7246" s="263">
        <v>76</v>
      </c>
      <c r="F7246" s="294" t="s">
        <v>126</v>
      </c>
      <c r="G7246" s="294" t="s">
        <v>1146</v>
      </c>
      <c r="H7246" s="298">
        <v>1</v>
      </c>
      <c r="M7246" s="274"/>
    </row>
    <row r="7247" spans="2:13" ht="15" customHeight="1" x14ac:dyDescent="0.25">
      <c r="B7247" s="289">
        <v>7221</v>
      </c>
      <c r="C7247" s="261">
        <v>123</v>
      </c>
      <c r="D7247" s="244" t="s">
        <v>12</v>
      </c>
      <c r="E7247" s="263">
        <v>1</v>
      </c>
      <c r="F7247" s="294" t="s">
        <v>126</v>
      </c>
      <c r="G7247" s="294" t="s">
        <v>437</v>
      </c>
      <c r="H7247" s="298">
        <v>1</v>
      </c>
      <c r="M7247" s="274"/>
    </row>
    <row r="7248" spans="2:13" ht="15" customHeight="1" x14ac:dyDescent="0.25">
      <c r="B7248" s="289">
        <v>7222</v>
      </c>
      <c r="C7248" s="261">
        <v>123</v>
      </c>
      <c r="D7248" s="244" t="s">
        <v>12</v>
      </c>
      <c r="E7248" s="263">
        <v>102</v>
      </c>
      <c r="F7248" s="294" t="s">
        <v>126</v>
      </c>
      <c r="G7248" s="294" t="s">
        <v>1147</v>
      </c>
      <c r="H7248" s="298">
        <v>1</v>
      </c>
      <c r="M7248" s="274"/>
    </row>
    <row r="7249" spans="2:13" ht="15" customHeight="1" x14ac:dyDescent="0.25">
      <c r="B7249" s="289">
        <v>7223</v>
      </c>
      <c r="C7249" s="261">
        <v>123</v>
      </c>
      <c r="D7249" s="244" t="s">
        <v>12</v>
      </c>
      <c r="E7249" s="263">
        <v>50</v>
      </c>
      <c r="F7249" s="294" t="s">
        <v>126</v>
      </c>
      <c r="G7249" s="294" t="s">
        <v>573</v>
      </c>
      <c r="H7249" s="298">
        <v>1</v>
      </c>
      <c r="M7249" s="274"/>
    </row>
    <row r="7250" spans="2:13" ht="15" customHeight="1" x14ac:dyDescent="0.25">
      <c r="B7250" s="289">
        <v>7224</v>
      </c>
      <c r="C7250" s="261">
        <v>123</v>
      </c>
      <c r="D7250" s="244" t="s">
        <v>12</v>
      </c>
      <c r="E7250" s="263">
        <v>49</v>
      </c>
      <c r="F7250" s="294" t="s">
        <v>126</v>
      </c>
      <c r="G7250" s="294" t="s">
        <v>1148</v>
      </c>
      <c r="H7250" s="298">
        <v>1</v>
      </c>
      <c r="M7250" s="274"/>
    </row>
    <row r="7251" spans="2:13" ht="15" customHeight="1" x14ac:dyDescent="0.25">
      <c r="B7251" s="289">
        <v>7225</v>
      </c>
      <c r="C7251" s="261">
        <v>117</v>
      </c>
      <c r="D7251" s="244" t="s">
        <v>11</v>
      </c>
      <c r="E7251" s="263">
        <v>9</v>
      </c>
      <c r="F7251" s="294" t="s">
        <v>919</v>
      </c>
      <c r="G7251" s="294" t="s">
        <v>126</v>
      </c>
      <c r="H7251" s="298">
        <v>1</v>
      </c>
      <c r="M7251" s="274"/>
    </row>
    <row r="7252" spans="2:13" ht="15" customHeight="1" x14ac:dyDescent="0.25">
      <c r="B7252" s="289">
        <v>7226</v>
      </c>
      <c r="C7252" s="261">
        <v>123</v>
      </c>
      <c r="D7252" s="244" t="s">
        <v>12</v>
      </c>
      <c r="E7252" s="263">
        <v>97</v>
      </c>
      <c r="F7252" s="294" t="s">
        <v>126</v>
      </c>
      <c r="G7252" s="294" t="s">
        <v>1149</v>
      </c>
      <c r="H7252" s="298">
        <v>1</v>
      </c>
      <c r="M7252" s="274"/>
    </row>
    <row r="7253" spans="2:13" ht="15" customHeight="1" x14ac:dyDescent="0.25">
      <c r="B7253" s="289">
        <v>7227</v>
      </c>
      <c r="C7253" s="261">
        <v>123</v>
      </c>
      <c r="D7253" s="244" t="s">
        <v>12</v>
      </c>
      <c r="E7253" s="263">
        <v>1</v>
      </c>
      <c r="F7253" s="294" t="s">
        <v>126</v>
      </c>
      <c r="G7253" s="294" t="s">
        <v>139</v>
      </c>
      <c r="H7253" s="298">
        <v>1</v>
      </c>
      <c r="M7253" s="274"/>
    </row>
    <row r="7254" spans="2:13" ht="15" customHeight="1" x14ac:dyDescent="0.25">
      <c r="B7254" s="289">
        <v>7228</v>
      </c>
      <c r="C7254" s="261">
        <v>116</v>
      </c>
      <c r="D7254" s="244" t="s">
        <v>11</v>
      </c>
      <c r="E7254" s="263">
        <v>7</v>
      </c>
      <c r="F7254" s="294" t="s">
        <v>581</v>
      </c>
      <c r="G7254" s="294" t="s">
        <v>126</v>
      </c>
      <c r="H7254" s="298">
        <v>1</v>
      </c>
      <c r="M7254" s="274"/>
    </row>
    <row r="7255" spans="2:13" ht="15" customHeight="1" x14ac:dyDescent="0.25">
      <c r="B7255" s="289">
        <v>7229</v>
      </c>
      <c r="C7255" s="261">
        <v>123</v>
      </c>
      <c r="D7255" s="244" t="s">
        <v>12</v>
      </c>
      <c r="E7255" s="263">
        <v>80</v>
      </c>
      <c r="F7255" s="294" t="s">
        <v>126</v>
      </c>
      <c r="G7255" s="294" t="s">
        <v>1150</v>
      </c>
      <c r="H7255" s="298">
        <v>1</v>
      </c>
      <c r="M7255" s="274"/>
    </row>
    <row r="7256" spans="2:13" ht="15" customHeight="1" x14ac:dyDescent="0.25">
      <c r="B7256" s="289">
        <v>7230</v>
      </c>
      <c r="C7256" s="261">
        <v>123</v>
      </c>
      <c r="D7256" s="244" t="s">
        <v>12</v>
      </c>
      <c r="E7256" s="263">
        <v>81</v>
      </c>
      <c r="F7256" s="294" t="s">
        <v>126</v>
      </c>
      <c r="G7256" s="294" t="s">
        <v>1151</v>
      </c>
      <c r="H7256" s="298">
        <v>1</v>
      </c>
      <c r="M7256" s="274"/>
    </row>
    <row r="7257" spans="2:13" ht="15" customHeight="1" x14ac:dyDescent="0.25">
      <c r="B7257" s="289">
        <v>7231</v>
      </c>
      <c r="C7257" s="261">
        <v>123</v>
      </c>
      <c r="D7257" s="244" t="s">
        <v>12</v>
      </c>
      <c r="E7257" s="263">
        <v>63</v>
      </c>
      <c r="F7257" s="294" t="s">
        <v>126</v>
      </c>
      <c r="G7257" s="294" t="s">
        <v>1152</v>
      </c>
      <c r="H7257" s="298">
        <v>1</v>
      </c>
      <c r="M7257" s="274"/>
    </row>
    <row r="7258" spans="2:13" ht="15" customHeight="1" x14ac:dyDescent="0.25">
      <c r="B7258" s="289">
        <v>7232</v>
      </c>
      <c r="C7258" s="261">
        <v>120</v>
      </c>
      <c r="D7258" s="244" t="s">
        <v>11</v>
      </c>
      <c r="E7258" s="263">
        <v>2</v>
      </c>
      <c r="F7258" s="294" t="s">
        <v>214</v>
      </c>
      <c r="G7258" s="294" t="s">
        <v>126</v>
      </c>
      <c r="H7258" s="298">
        <v>1</v>
      </c>
      <c r="M7258" s="274"/>
    </row>
    <row r="7259" spans="2:13" ht="15" customHeight="1" x14ac:dyDescent="0.25">
      <c r="B7259" s="289">
        <v>7233</v>
      </c>
      <c r="C7259" s="261">
        <v>111</v>
      </c>
      <c r="D7259" s="244" t="s">
        <v>11</v>
      </c>
      <c r="E7259" s="263">
        <v>16</v>
      </c>
      <c r="F7259" s="294" t="s">
        <v>1153</v>
      </c>
      <c r="G7259" s="294" t="s">
        <v>126</v>
      </c>
      <c r="H7259" s="298">
        <v>1</v>
      </c>
      <c r="M7259" s="274"/>
    </row>
    <row r="7260" spans="2:13" ht="15" customHeight="1" x14ac:dyDescent="0.25">
      <c r="B7260" s="289">
        <v>7234</v>
      </c>
      <c r="C7260" s="261">
        <v>123</v>
      </c>
      <c r="D7260" s="244" t="s">
        <v>12</v>
      </c>
      <c r="E7260" s="263">
        <v>70</v>
      </c>
      <c r="F7260" s="294" t="s">
        <v>126</v>
      </c>
      <c r="G7260" s="294" t="s">
        <v>1154</v>
      </c>
      <c r="H7260" s="298">
        <v>1</v>
      </c>
      <c r="M7260" s="274"/>
    </row>
    <row r="7261" spans="2:13" ht="15" customHeight="1" x14ac:dyDescent="0.25">
      <c r="B7261" s="289">
        <v>7235</v>
      </c>
      <c r="C7261" s="261">
        <v>76</v>
      </c>
      <c r="D7261" s="244" t="s">
        <v>11</v>
      </c>
      <c r="E7261" s="263">
        <v>32</v>
      </c>
      <c r="F7261" s="294" t="s">
        <v>1155</v>
      </c>
      <c r="G7261" s="294" t="s">
        <v>126</v>
      </c>
      <c r="H7261" s="298">
        <v>1</v>
      </c>
      <c r="M7261" s="274"/>
    </row>
    <row r="7262" spans="2:13" ht="15" customHeight="1" x14ac:dyDescent="0.25">
      <c r="B7262" s="289">
        <v>7235</v>
      </c>
      <c r="C7262" s="261">
        <v>123</v>
      </c>
      <c r="D7262" s="244" t="s">
        <v>11</v>
      </c>
      <c r="E7262" s="263">
        <v>9</v>
      </c>
      <c r="F7262" s="294" t="s">
        <v>436</v>
      </c>
      <c r="G7262" s="294" t="s">
        <v>126</v>
      </c>
      <c r="H7262" s="298">
        <v>1</v>
      </c>
      <c r="M7262" s="274"/>
    </row>
    <row r="7263" spans="2:13" ht="15" customHeight="1" x14ac:dyDescent="0.25">
      <c r="B7263" s="289">
        <v>7236</v>
      </c>
      <c r="C7263" s="261">
        <v>82</v>
      </c>
      <c r="D7263" s="244" t="s">
        <v>11</v>
      </c>
      <c r="E7263" s="263">
        <v>41</v>
      </c>
      <c r="F7263" s="294" t="s">
        <v>510</v>
      </c>
      <c r="G7263" s="294" t="s">
        <v>126</v>
      </c>
      <c r="H7263" s="298">
        <v>1</v>
      </c>
      <c r="M7263" s="274"/>
    </row>
    <row r="7264" spans="2:13" ht="15" customHeight="1" x14ac:dyDescent="0.25">
      <c r="B7264" s="289">
        <v>7237</v>
      </c>
      <c r="C7264" s="261">
        <v>116</v>
      </c>
      <c r="D7264" s="244" t="s">
        <v>11</v>
      </c>
      <c r="E7264" s="263">
        <v>41</v>
      </c>
      <c r="F7264" s="294" t="s">
        <v>1156</v>
      </c>
      <c r="G7264" s="294" t="s">
        <v>126</v>
      </c>
      <c r="H7264" s="298">
        <v>1</v>
      </c>
      <c r="M7264" s="274"/>
    </row>
    <row r="7265" spans="2:13" ht="15" customHeight="1" x14ac:dyDescent="0.25">
      <c r="B7265" s="289">
        <v>6483</v>
      </c>
      <c r="C7265" s="261">
        <v>85</v>
      </c>
      <c r="D7265" s="244" t="s">
        <v>11</v>
      </c>
      <c r="E7265" s="263">
        <v>10</v>
      </c>
      <c r="F7265" s="294" t="s">
        <v>1157</v>
      </c>
      <c r="G7265" s="294" t="s">
        <v>126</v>
      </c>
      <c r="H7265" s="298">
        <v>1</v>
      </c>
      <c r="M7265" s="274"/>
    </row>
    <row r="7266" spans="2:13" ht="15" customHeight="1" x14ac:dyDescent="0.25">
      <c r="B7266" s="289">
        <v>6484</v>
      </c>
      <c r="C7266" s="261">
        <v>87</v>
      </c>
      <c r="D7266" s="244" t="s">
        <v>11</v>
      </c>
      <c r="E7266" s="263">
        <v>3</v>
      </c>
      <c r="F7266" s="294" t="s">
        <v>722</v>
      </c>
      <c r="G7266" s="294" t="s">
        <v>126</v>
      </c>
      <c r="H7266" s="298">
        <v>1</v>
      </c>
      <c r="M7266" s="274"/>
    </row>
    <row r="7267" spans="2:13" ht="15" customHeight="1" x14ac:dyDescent="0.25">
      <c r="B7267" s="289">
        <v>6485</v>
      </c>
      <c r="C7267" s="261">
        <v>85</v>
      </c>
      <c r="D7267" s="244" t="s">
        <v>12</v>
      </c>
      <c r="E7267" s="263">
        <v>8</v>
      </c>
      <c r="F7267" s="294" t="s">
        <v>126</v>
      </c>
      <c r="G7267" s="294" t="s">
        <v>1158</v>
      </c>
      <c r="H7267" s="298">
        <v>1</v>
      </c>
      <c r="M7267" s="274"/>
    </row>
    <row r="7268" spans="2:13" ht="15" customHeight="1" x14ac:dyDescent="0.25">
      <c r="B7268" s="289">
        <v>6485</v>
      </c>
      <c r="C7268" s="261">
        <v>89</v>
      </c>
      <c r="D7268" s="244" t="s">
        <v>12</v>
      </c>
      <c r="E7268" s="263">
        <v>2</v>
      </c>
      <c r="F7268" s="294" t="s">
        <v>126</v>
      </c>
      <c r="G7268" s="294" t="s">
        <v>420</v>
      </c>
      <c r="H7268" s="298">
        <v>1</v>
      </c>
      <c r="M7268" s="274"/>
    </row>
    <row r="7269" spans="2:13" ht="15" customHeight="1" x14ac:dyDescent="0.25">
      <c r="B7269" s="289">
        <v>6487</v>
      </c>
      <c r="C7269" s="261">
        <v>87</v>
      </c>
      <c r="D7269" s="244" t="s">
        <v>11</v>
      </c>
      <c r="E7269" s="263">
        <v>3</v>
      </c>
      <c r="F7269" s="294" t="s">
        <v>722</v>
      </c>
      <c r="G7269" s="294" t="s">
        <v>126</v>
      </c>
      <c r="H7269" s="298">
        <v>1</v>
      </c>
      <c r="M7269" s="274"/>
    </row>
    <row r="7270" spans="2:13" ht="15" customHeight="1" x14ac:dyDescent="0.25">
      <c r="B7270" s="289">
        <v>6488</v>
      </c>
      <c r="C7270" s="261">
        <v>89</v>
      </c>
      <c r="D7270" s="244" t="s">
        <v>12</v>
      </c>
      <c r="E7270" s="263">
        <v>20</v>
      </c>
      <c r="F7270" s="294" t="s">
        <v>126</v>
      </c>
      <c r="G7270" s="294" t="s">
        <v>1159</v>
      </c>
      <c r="H7270" s="298">
        <v>1</v>
      </c>
      <c r="M7270" s="274"/>
    </row>
    <row r="7271" spans="2:13" ht="15" customHeight="1" x14ac:dyDescent="0.25">
      <c r="B7271" s="289">
        <v>6488</v>
      </c>
      <c r="C7271" s="261">
        <v>107</v>
      </c>
      <c r="D7271" s="244" t="s">
        <v>12</v>
      </c>
      <c r="E7271" s="263">
        <v>4</v>
      </c>
      <c r="F7271" s="294" t="s">
        <v>126</v>
      </c>
      <c r="G7271" s="294" t="s">
        <v>1160</v>
      </c>
      <c r="H7271" s="298">
        <v>1</v>
      </c>
      <c r="M7271" s="274"/>
    </row>
    <row r="7272" spans="2:13" ht="15" customHeight="1" x14ac:dyDescent="0.25">
      <c r="B7272" s="289">
        <v>6489</v>
      </c>
      <c r="C7272" s="261">
        <v>84</v>
      </c>
      <c r="D7272" s="244" t="s">
        <v>12</v>
      </c>
      <c r="E7272" s="263">
        <v>16</v>
      </c>
      <c r="F7272" s="294" t="s">
        <v>126</v>
      </c>
      <c r="G7272" s="294" t="s">
        <v>1161</v>
      </c>
      <c r="H7272" s="298">
        <v>1</v>
      </c>
      <c r="M7272" s="274"/>
    </row>
    <row r="7273" spans="2:13" ht="15" customHeight="1" x14ac:dyDescent="0.25">
      <c r="B7273" s="289">
        <v>6490</v>
      </c>
      <c r="C7273" s="261">
        <v>88</v>
      </c>
      <c r="D7273" s="244" t="s">
        <v>11</v>
      </c>
      <c r="E7273" s="263">
        <v>8</v>
      </c>
      <c r="F7273" s="294" t="s">
        <v>1162</v>
      </c>
      <c r="G7273" s="294" t="s">
        <v>126</v>
      </c>
      <c r="H7273" s="298">
        <v>1</v>
      </c>
      <c r="M7273" s="274"/>
    </row>
    <row r="7274" spans="2:13" ht="15" customHeight="1" x14ac:dyDescent="0.25">
      <c r="B7274" s="289">
        <v>6491</v>
      </c>
      <c r="C7274" s="261">
        <v>88</v>
      </c>
      <c r="D7274" s="244" t="s">
        <v>12</v>
      </c>
      <c r="E7274" s="263">
        <v>3</v>
      </c>
      <c r="F7274" s="294" t="s">
        <v>126</v>
      </c>
      <c r="G7274" s="294" t="s">
        <v>1163</v>
      </c>
      <c r="H7274" s="298">
        <v>1</v>
      </c>
      <c r="M7274" s="274"/>
    </row>
    <row r="7275" spans="2:13" ht="15" customHeight="1" x14ac:dyDescent="0.25">
      <c r="B7275" s="289">
        <v>6492</v>
      </c>
      <c r="C7275" s="261">
        <v>87</v>
      </c>
      <c r="D7275" s="244" t="s">
        <v>12</v>
      </c>
      <c r="E7275" s="263">
        <v>5</v>
      </c>
      <c r="F7275" s="294" t="s">
        <v>126</v>
      </c>
      <c r="G7275" s="294" t="s">
        <v>1164</v>
      </c>
      <c r="H7275" s="298">
        <v>1</v>
      </c>
      <c r="M7275" s="274"/>
    </row>
    <row r="7276" spans="2:13" ht="15" customHeight="1" x14ac:dyDescent="0.25">
      <c r="B7276" s="289">
        <v>6493</v>
      </c>
      <c r="C7276" s="261">
        <v>89</v>
      </c>
      <c r="D7276" s="244" t="s">
        <v>12</v>
      </c>
      <c r="E7276" s="263">
        <v>5</v>
      </c>
      <c r="F7276" s="294" t="s">
        <v>126</v>
      </c>
      <c r="G7276" s="294" t="s">
        <v>1165</v>
      </c>
      <c r="H7276" s="298">
        <v>1</v>
      </c>
      <c r="M7276" s="274"/>
    </row>
    <row r="7277" spans="2:13" ht="15" customHeight="1" x14ac:dyDescent="0.25">
      <c r="B7277" s="289">
        <v>6494</v>
      </c>
      <c r="C7277" s="261">
        <v>84</v>
      </c>
      <c r="D7277" s="244" t="s">
        <v>12</v>
      </c>
      <c r="E7277" s="263">
        <v>7</v>
      </c>
      <c r="F7277" s="294" t="s">
        <v>126</v>
      </c>
      <c r="G7277" s="294" t="s">
        <v>1166</v>
      </c>
      <c r="H7277" s="298">
        <v>1</v>
      </c>
      <c r="M7277" s="274"/>
    </row>
    <row r="7278" spans="2:13" ht="15" customHeight="1" x14ac:dyDescent="0.25">
      <c r="B7278" s="289">
        <v>6494</v>
      </c>
      <c r="C7278" s="261">
        <v>89</v>
      </c>
      <c r="D7278" s="244" t="s">
        <v>11</v>
      </c>
      <c r="E7278" s="263">
        <v>1</v>
      </c>
      <c r="F7278" s="294" t="s">
        <v>426</v>
      </c>
      <c r="G7278" s="294" t="s">
        <v>126</v>
      </c>
      <c r="H7278" s="298">
        <v>1</v>
      </c>
      <c r="M7278" s="274"/>
    </row>
    <row r="7279" spans="2:13" ht="15" customHeight="1" x14ac:dyDescent="0.25">
      <c r="B7279" s="289">
        <v>6495</v>
      </c>
      <c r="C7279" s="261">
        <v>89</v>
      </c>
      <c r="D7279" s="244" t="s">
        <v>12</v>
      </c>
      <c r="E7279" s="263">
        <v>16</v>
      </c>
      <c r="F7279" s="294" t="s">
        <v>126</v>
      </c>
      <c r="G7279" s="294" t="s">
        <v>1167</v>
      </c>
      <c r="H7279" s="298">
        <v>1</v>
      </c>
      <c r="M7279" s="274"/>
    </row>
    <row r="7280" spans="2:13" ht="15" customHeight="1" x14ac:dyDescent="0.25">
      <c r="B7280" s="289">
        <v>6497</v>
      </c>
      <c r="C7280" s="261">
        <v>86</v>
      </c>
      <c r="D7280" s="244" t="s">
        <v>11</v>
      </c>
      <c r="E7280" s="263">
        <v>8</v>
      </c>
      <c r="F7280" s="294" t="s">
        <v>1168</v>
      </c>
      <c r="G7280" s="294" t="s">
        <v>126</v>
      </c>
      <c r="H7280" s="298">
        <v>1</v>
      </c>
      <c r="M7280" s="274"/>
    </row>
    <row r="7281" spans="2:13" ht="15" customHeight="1" x14ac:dyDescent="0.25">
      <c r="B7281" s="289">
        <v>6498</v>
      </c>
      <c r="C7281" s="261">
        <v>91</v>
      </c>
      <c r="D7281" s="244" t="s">
        <v>12</v>
      </c>
      <c r="E7281" s="263">
        <v>2</v>
      </c>
      <c r="F7281" s="294" t="s">
        <v>126</v>
      </c>
      <c r="G7281" s="294" t="s">
        <v>214</v>
      </c>
      <c r="H7281" s="298">
        <v>1</v>
      </c>
      <c r="M7281" s="274"/>
    </row>
    <row r="7282" spans="2:13" ht="15" customHeight="1" x14ac:dyDescent="0.25">
      <c r="B7282" s="289">
        <v>6500</v>
      </c>
      <c r="C7282" s="261">
        <v>84</v>
      </c>
      <c r="D7282" s="244" t="s">
        <v>12</v>
      </c>
      <c r="E7282" s="263">
        <v>3</v>
      </c>
      <c r="F7282" s="294" t="s">
        <v>126</v>
      </c>
      <c r="G7282" s="294" t="s">
        <v>423</v>
      </c>
      <c r="H7282" s="298">
        <v>1</v>
      </c>
      <c r="M7282" s="274"/>
    </row>
    <row r="7283" spans="2:13" ht="15" customHeight="1" x14ac:dyDescent="0.25">
      <c r="B7283" s="289">
        <v>6500</v>
      </c>
      <c r="C7283" s="261">
        <v>87</v>
      </c>
      <c r="D7283" s="244" t="s">
        <v>12</v>
      </c>
      <c r="E7283" s="263">
        <v>1</v>
      </c>
      <c r="F7283" s="294" t="s">
        <v>126</v>
      </c>
      <c r="G7283" s="294" t="s">
        <v>437</v>
      </c>
      <c r="H7283" s="298">
        <v>1</v>
      </c>
      <c r="M7283" s="274"/>
    </row>
    <row r="7284" spans="2:13" ht="15" customHeight="1" x14ac:dyDescent="0.25">
      <c r="B7284" s="289">
        <v>6501</v>
      </c>
      <c r="C7284" s="261">
        <v>84</v>
      </c>
      <c r="D7284" s="244" t="s">
        <v>12</v>
      </c>
      <c r="E7284" s="263">
        <v>6</v>
      </c>
      <c r="F7284" s="294" t="s">
        <v>126</v>
      </c>
      <c r="G7284" s="294" t="s">
        <v>1169</v>
      </c>
      <c r="H7284" s="298">
        <v>1</v>
      </c>
      <c r="M7284" s="274"/>
    </row>
    <row r="7285" spans="2:13" ht="15" customHeight="1" x14ac:dyDescent="0.25">
      <c r="B7285" s="289">
        <v>6501</v>
      </c>
      <c r="C7285" s="261">
        <v>93</v>
      </c>
      <c r="D7285" s="244" t="s">
        <v>12</v>
      </c>
      <c r="E7285" s="263">
        <v>3</v>
      </c>
      <c r="F7285" s="294" t="s">
        <v>126</v>
      </c>
      <c r="G7285" s="294" t="s">
        <v>296</v>
      </c>
      <c r="H7285" s="298">
        <v>1</v>
      </c>
      <c r="M7285" s="274"/>
    </row>
    <row r="7286" spans="2:13" ht="15" customHeight="1" x14ac:dyDescent="0.25">
      <c r="B7286" s="289">
        <v>6502</v>
      </c>
      <c r="C7286" s="261">
        <v>84</v>
      </c>
      <c r="D7286" s="244" t="s">
        <v>12</v>
      </c>
      <c r="E7286" s="263">
        <v>4</v>
      </c>
      <c r="F7286" s="294" t="s">
        <v>126</v>
      </c>
      <c r="G7286" s="294" t="s">
        <v>1170</v>
      </c>
      <c r="H7286" s="298">
        <v>1</v>
      </c>
      <c r="M7286" s="274"/>
    </row>
    <row r="7287" spans="2:13" ht="15" customHeight="1" x14ac:dyDescent="0.25">
      <c r="B7287" s="289">
        <v>6502</v>
      </c>
      <c r="C7287" s="261">
        <v>89</v>
      </c>
      <c r="D7287" s="244" t="s">
        <v>12</v>
      </c>
      <c r="E7287" s="263">
        <v>4</v>
      </c>
      <c r="F7287" s="294" t="s">
        <v>126</v>
      </c>
      <c r="G7287" s="294" t="s">
        <v>577</v>
      </c>
      <c r="H7287" s="298">
        <v>1</v>
      </c>
      <c r="M7287" s="274"/>
    </row>
    <row r="7288" spans="2:13" ht="15" customHeight="1" x14ac:dyDescent="0.25">
      <c r="B7288" s="289">
        <v>6503</v>
      </c>
      <c r="C7288" s="261">
        <v>92</v>
      </c>
      <c r="D7288" s="244" t="s">
        <v>12</v>
      </c>
      <c r="E7288" s="263">
        <v>8</v>
      </c>
      <c r="F7288" s="294" t="s">
        <v>126</v>
      </c>
      <c r="G7288" s="294" t="s">
        <v>1171</v>
      </c>
      <c r="H7288" s="298">
        <v>1</v>
      </c>
      <c r="M7288" s="274"/>
    </row>
    <row r="7289" spans="2:13" ht="15" customHeight="1" x14ac:dyDescent="0.25">
      <c r="B7289" s="289">
        <v>6504</v>
      </c>
      <c r="C7289" s="261">
        <v>87</v>
      </c>
      <c r="D7289" s="244" t="s">
        <v>11</v>
      </c>
      <c r="E7289" s="263">
        <v>40</v>
      </c>
      <c r="F7289" s="294" t="s">
        <v>1172</v>
      </c>
      <c r="G7289" s="294" t="s">
        <v>126</v>
      </c>
      <c r="H7289" s="298">
        <v>1</v>
      </c>
      <c r="M7289" s="274"/>
    </row>
    <row r="7290" spans="2:13" ht="15" customHeight="1" x14ac:dyDescent="0.25">
      <c r="B7290" s="289">
        <v>6505</v>
      </c>
      <c r="C7290" s="261">
        <v>89</v>
      </c>
      <c r="D7290" s="244" t="s">
        <v>12</v>
      </c>
      <c r="E7290" s="263">
        <v>39</v>
      </c>
      <c r="F7290" s="294" t="s">
        <v>126</v>
      </c>
      <c r="G7290" s="294" t="s">
        <v>1173</v>
      </c>
      <c r="H7290" s="298">
        <v>1</v>
      </c>
      <c r="M7290" s="274"/>
    </row>
    <row r="7291" spans="2:13" ht="15" customHeight="1" x14ac:dyDescent="0.25">
      <c r="B7291" s="289">
        <v>6506</v>
      </c>
      <c r="C7291" s="261">
        <v>89</v>
      </c>
      <c r="D7291" s="244" t="s">
        <v>11</v>
      </c>
      <c r="E7291" s="263">
        <v>5</v>
      </c>
      <c r="F7291" s="294" t="s">
        <v>1174</v>
      </c>
      <c r="G7291" s="294" t="s">
        <v>126</v>
      </c>
      <c r="H7291" s="298">
        <v>1</v>
      </c>
      <c r="M7291" s="274"/>
    </row>
    <row r="7292" spans="2:13" ht="15" customHeight="1" x14ac:dyDescent="0.25">
      <c r="B7292" s="289">
        <v>6507</v>
      </c>
      <c r="C7292" s="261">
        <v>89</v>
      </c>
      <c r="D7292" s="244" t="s">
        <v>12</v>
      </c>
      <c r="E7292" s="263">
        <v>4</v>
      </c>
      <c r="F7292" s="294" t="s">
        <v>126</v>
      </c>
      <c r="G7292" s="294" t="s">
        <v>1175</v>
      </c>
      <c r="H7292" s="298">
        <v>1</v>
      </c>
      <c r="M7292" s="274"/>
    </row>
    <row r="7293" spans="2:13" ht="15" customHeight="1" x14ac:dyDescent="0.25">
      <c r="B7293" s="289">
        <v>6508</v>
      </c>
      <c r="C7293" s="261">
        <v>86</v>
      </c>
      <c r="D7293" s="244" t="s">
        <v>11</v>
      </c>
      <c r="E7293" s="263">
        <v>4</v>
      </c>
      <c r="F7293" s="294" t="s">
        <v>1176</v>
      </c>
      <c r="G7293" s="294" t="s">
        <v>126</v>
      </c>
      <c r="H7293" s="298">
        <v>1</v>
      </c>
      <c r="M7293" s="274"/>
    </row>
    <row r="7294" spans="2:13" ht="15" customHeight="1" x14ac:dyDescent="0.25">
      <c r="B7294" s="289">
        <v>6509</v>
      </c>
      <c r="C7294" s="261">
        <v>89</v>
      </c>
      <c r="D7294" s="244" t="s">
        <v>11</v>
      </c>
      <c r="E7294" s="263">
        <v>14</v>
      </c>
      <c r="F7294" s="294" t="s">
        <v>1177</v>
      </c>
      <c r="G7294" s="294" t="s">
        <v>126</v>
      </c>
      <c r="H7294" s="298">
        <v>1</v>
      </c>
      <c r="M7294" s="274"/>
    </row>
    <row r="7295" spans="2:13" ht="15" customHeight="1" x14ac:dyDescent="0.25">
      <c r="B7295" s="289">
        <v>6510</v>
      </c>
      <c r="C7295" s="261">
        <v>89</v>
      </c>
      <c r="D7295" s="244" t="s">
        <v>12</v>
      </c>
      <c r="E7295" s="263">
        <v>31</v>
      </c>
      <c r="F7295" s="294" t="s">
        <v>126</v>
      </c>
      <c r="G7295" s="294" t="s">
        <v>1178</v>
      </c>
      <c r="H7295" s="298">
        <v>1</v>
      </c>
      <c r="M7295" s="274"/>
    </row>
    <row r="7296" spans="2:13" ht="15" customHeight="1" x14ac:dyDescent="0.25">
      <c r="B7296" s="289">
        <v>6511</v>
      </c>
      <c r="C7296" s="261">
        <v>90</v>
      </c>
      <c r="D7296" s="244" t="s">
        <v>11</v>
      </c>
      <c r="E7296" s="263">
        <v>3</v>
      </c>
      <c r="F7296" s="294" t="s">
        <v>933</v>
      </c>
      <c r="G7296" s="294" t="s">
        <v>126</v>
      </c>
      <c r="H7296" s="298">
        <v>1</v>
      </c>
      <c r="M7296" s="274"/>
    </row>
    <row r="7297" spans="2:13" ht="15" customHeight="1" x14ac:dyDescent="0.25">
      <c r="B7297" s="289">
        <v>6512</v>
      </c>
      <c r="C7297" s="261">
        <v>89</v>
      </c>
      <c r="D7297" s="244" t="s">
        <v>12</v>
      </c>
      <c r="E7297" s="263">
        <v>9</v>
      </c>
      <c r="F7297" s="294" t="s">
        <v>126</v>
      </c>
      <c r="G7297" s="294" t="s">
        <v>1179</v>
      </c>
      <c r="H7297" s="298">
        <v>1</v>
      </c>
      <c r="M7297" s="274"/>
    </row>
    <row r="7298" spans="2:13" ht="15" customHeight="1" x14ac:dyDescent="0.25">
      <c r="B7298" s="289">
        <v>6513</v>
      </c>
      <c r="C7298" s="261">
        <v>89</v>
      </c>
      <c r="D7298" s="244" t="s">
        <v>12</v>
      </c>
      <c r="E7298" s="263">
        <v>11</v>
      </c>
      <c r="F7298" s="294" t="s">
        <v>126</v>
      </c>
      <c r="G7298" s="294" t="s">
        <v>1180</v>
      </c>
      <c r="H7298" s="298">
        <v>1</v>
      </c>
      <c r="M7298" s="274"/>
    </row>
    <row r="7299" spans="2:13" ht="15" customHeight="1" x14ac:dyDescent="0.25">
      <c r="B7299" s="289">
        <v>6514</v>
      </c>
      <c r="C7299" s="261">
        <v>87</v>
      </c>
      <c r="D7299" s="244" t="s">
        <v>12</v>
      </c>
      <c r="E7299" s="263">
        <v>1</v>
      </c>
      <c r="F7299" s="294" t="s">
        <v>126</v>
      </c>
      <c r="G7299" s="294" t="s">
        <v>437</v>
      </c>
      <c r="H7299" s="298">
        <v>1</v>
      </c>
      <c r="M7299" s="274"/>
    </row>
    <row r="7300" spans="2:13" ht="15" customHeight="1" x14ac:dyDescent="0.25">
      <c r="B7300" s="289">
        <v>6515</v>
      </c>
      <c r="C7300" s="261">
        <v>89</v>
      </c>
      <c r="D7300" s="244" t="s">
        <v>12</v>
      </c>
      <c r="E7300" s="263">
        <v>2</v>
      </c>
      <c r="F7300" s="294" t="s">
        <v>126</v>
      </c>
      <c r="G7300" s="294" t="s">
        <v>789</v>
      </c>
      <c r="H7300" s="298">
        <v>1</v>
      </c>
      <c r="M7300" s="274"/>
    </row>
    <row r="7301" spans="2:13" ht="15" customHeight="1" x14ac:dyDescent="0.25">
      <c r="B7301" s="289">
        <v>6516</v>
      </c>
      <c r="C7301" s="261">
        <v>89</v>
      </c>
      <c r="D7301" s="244" t="s">
        <v>12</v>
      </c>
      <c r="E7301" s="263">
        <v>5</v>
      </c>
      <c r="F7301" s="294" t="s">
        <v>126</v>
      </c>
      <c r="G7301" s="294" t="s">
        <v>1181</v>
      </c>
      <c r="H7301" s="298">
        <v>1</v>
      </c>
      <c r="M7301" s="274"/>
    </row>
    <row r="7302" spans="2:13" ht="15" customHeight="1" x14ac:dyDescent="0.25">
      <c r="B7302" s="289">
        <v>6517</v>
      </c>
      <c r="C7302" s="261">
        <v>100</v>
      </c>
      <c r="D7302" s="244" t="s">
        <v>12</v>
      </c>
      <c r="E7302" s="263">
        <v>3</v>
      </c>
      <c r="F7302" s="294" t="s">
        <v>126</v>
      </c>
      <c r="G7302" s="294" t="s">
        <v>1182</v>
      </c>
      <c r="H7302" s="298">
        <v>1</v>
      </c>
      <c r="M7302" s="274"/>
    </row>
    <row r="7303" spans="2:13" ht="15" customHeight="1" x14ac:dyDescent="0.25">
      <c r="B7303" s="289">
        <v>6520</v>
      </c>
      <c r="C7303" s="261">
        <v>89</v>
      </c>
      <c r="D7303" s="244" t="s">
        <v>12</v>
      </c>
      <c r="E7303" s="263">
        <v>5</v>
      </c>
      <c r="F7303" s="294" t="s">
        <v>126</v>
      </c>
      <c r="G7303" s="294" t="s">
        <v>1183</v>
      </c>
      <c r="H7303" s="298">
        <v>1</v>
      </c>
      <c r="M7303" s="274"/>
    </row>
    <row r="7304" spans="2:13" ht="15" customHeight="1" x14ac:dyDescent="0.25">
      <c r="B7304" s="289">
        <v>6521</v>
      </c>
      <c r="C7304" s="261">
        <v>86</v>
      </c>
      <c r="D7304" s="244" t="s">
        <v>12</v>
      </c>
      <c r="E7304" s="263">
        <v>1</v>
      </c>
      <c r="F7304" s="294" t="s">
        <v>126</v>
      </c>
      <c r="G7304" s="294" t="s">
        <v>235</v>
      </c>
      <c r="H7304" s="298">
        <v>1</v>
      </c>
      <c r="M7304" s="274"/>
    </row>
    <row r="7305" spans="2:13" ht="15" customHeight="1" x14ac:dyDescent="0.25">
      <c r="B7305" s="289">
        <v>6522</v>
      </c>
      <c r="C7305" s="261">
        <v>86</v>
      </c>
      <c r="D7305" s="244" t="s">
        <v>12</v>
      </c>
      <c r="E7305" s="263">
        <v>5</v>
      </c>
      <c r="F7305" s="294" t="s">
        <v>126</v>
      </c>
      <c r="G7305" s="294" t="s">
        <v>1184</v>
      </c>
      <c r="H7305" s="298">
        <v>1</v>
      </c>
      <c r="M7305" s="274"/>
    </row>
    <row r="7306" spans="2:13" ht="15" customHeight="1" x14ac:dyDescent="0.25">
      <c r="B7306" s="289">
        <v>6523</v>
      </c>
      <c r="C7306" s="261">
        <v>84</v>
      </c>
      <c r="D7306" s="244" t="s">
        <v>12</v>
      </c>
      <c r="E7306" s="263">
        <v>11</v>
      </c>
      <c r="F7306" s="294" t="s">
        <v>126</v>
      </c>
      <c r="G7306" s="294" t="s">
        <v>1185</v>
      </c>
      <c r="H7306" s="298">
        <v>1</v>
      </c>
      <c r="M7306" s="274"/>
    </row>
    <row r="7307" spans="2:13" ht="15" customHeight="1" x14ac:dyDescent="0.25">
      <c r="B7307" s="289">
        <v>6523</v>
      </c>
      <c r="C7307" s="261">
        <v>95</v>
      </c>
      <c r="D7307" s="244" t="s">
        <v>11</v>
      </c>
      <c r="E7307" s="263">
        <v>2</v>
      </c>
      <c r="F7307" s="294" t="s">
        <v>789</v>
      </c>
      <c r="G7307" s="294" t="s">
        <v>126</v>
      </c>
      <c r="H7307" s="298">
        <v>1</v>
      </c>
      <c r="M7307" s="274"/>
    </row>
    <row r="7308" spans="2:13" ht="15" customHeight="1" x14ac:dyDescent="0.25">
      <c r="B7308" s="289">
        <v>6524</v>
      </c>
      <c r="C7308" s="261">
        <v>87</v>
      </c>
      <c r="D7308" s="244" t="s">
        <v>12</v>
      </c>
      <c r="E7308" s="263">
        <v>3</v>
      </c>
      <c r="F7308" s="294" t="s">
        <v>126</v>
      </c>
      <c r="G7308" s="294" t="s">
        <v>1186</v>
      </c>
      <c r="H7308" s="298">
        <v>1</v>
      </c>
      <c r="M7308" s="274"/>
    </row>
    <row r="7309" spans="2:13" ht="15" customHeight="1" x14ac:dyDescent="0.25">
      <c r="B7309" s="289">
        <v>6524</v>
      </c>
      <c r="C7309" s="261">
        <v>99</v>
      </c>
      <c r="D7309" s="244" t="s">
        <v>12</v>
      </c>
      <c r="E7309" s="263">
        <v>2</v>
      </c>
      <c r="F7309" s="294" t="s">
        <v>126</v>
      </c>
      <c r="G7309" s="294" t="s">
        <v>587</v>
      </c>
      <c r="H7309" s="298">
        <v>1</v>
      </c>
      <c r="M7309" s="274"/>
    </row>
    <row r="7310" spans="2:13" ht="15" customHeight="1" x14ac:dyDescent="0.25">
      <c r="B7310" s="289">
        <v>6525</v>
      </c>
      <c r="C7310" s="261">
        <v>84</v>
      </c>
      <c r="D7310" s="244" t="s">
        <v>12</v>
      </c>
      <c r="E7310" s="263">
        <v>6</v>
      </c>
      <c r="F7310" s="294" t="s">
        <v>126</v>
      </c>
      <c r="G7310" s="294" t="s">
        <v>1187</v>
      </c>
      <c r="H7310" s="298">
        <v>1</v>
      </c>
      <c r="M7310" s="274"/>
    </row>
    <row r="7311" spans="2:13" ht="15" customHeight="1" x14ac:dyDescent="0.25">
      <c r="B7311" s="289">
        <v>6525</v>
      </c>
      <c r="C7311" s="261">
        <v>89</v>
      </c>
      <c r="D7311" s="244" t="s">
        <v>12</v>
      </c>
      <c r="E7311" s="263">
        <v>3</v>
      </c>
      <c r="F7311" s="294" t="s">
        <v>126</v>
      </c>
      <c r="G7311" s="294" t="s">
        <v>1188</v>
      </c>
      <c r="H7311" s="298">
        <v>1</v>
      </c>
      <c r="M7311" s="274"/>
    </row>
    <row r="7312" spans="2:13" ht="15" customHeight="1" x14ac:dyDescent="0.25">
      <c r="B7312" s="289">
        <v>6526</v>
      </c>
      <c r="C7312" s="261">
        <v>84</v>
      </c>
      <c r="D7312" s="244" t="s">
        <v>12</v>
      </c>
      <c r="E7312" s="263">
        <v>6</v>
      </c>
      <c r="F7312" s="294" t="s">
        <v>126</v>
      </c>
      <c r="G7312" s="294" t="s">
        <v>1187</v>
      </c>
      <c r="H7312" s="298">
        <v>1</v>
      </c>
      <c r="M7312" s="274"/>
    </row>
    <row r="7313" spans="2:13" ht="15" customHeight="1" x14ac:dyDescent="0.25">
      <c r="B7313" s="289">
        <v>6526</v>
      </c>
      <c r="C7313" s="261">
        <v>89</v>
      </c>
      <c r="D7313" s="244" t="s">
        <v>12</v>
      </c>
      <c r="E7313" s="263">
        <v>18</v>
      </c>
      <c r="F7313" s="294" t="s">
        <v>126</v>
      </c>
      <c r="G7313" s="294" t="s">
        <v>1189</v>
      </c>
      <c r="H7313" s="298">
        <v>1</v>
      </c>
      <c r="M7313" s="274"/>
    </row>
    <row r="7314" spans="2:13" ht="15" customHeight="1" x14ac:dyDescent="0.25">
      <c r="B7314" s="289">
        <v>6527</v>
      </c>
      <c r="C7314" s="261">
        <v>84</v>
      </c>
      <c r="D7314" s="244" t="s">
        <v>12</v>
      </c>
      <c r="E7314" s="263">
        <v>6</v>
      </c>
      <c r="F7314" s="294" t="s">
        <v>126</v>
      </c>
      <c r="G7314" s="294" t="s">
        <v>1187</v>
      </c>
      <c r="H7314" s="298">
        <v>1</v>
      </c>
      <c r="M7314" s="274"/>
    </row>
    <row r="7315" spans="2:13" ht="15" customHeight="1" x14ac:dyDescent="0.25">
      <c r="B7315" s="289">
        <v>6527</v>
      </c>
      <c r="C7315" s="261">
        <v>89</v>
      </c>
      <c r="D7315" s="244" t="s">
        <v>12</v>
      </c>
      <c r="E7315" s="263">
        <v>18</v>
      </c>
      <c r="F7315" s="294" t="s">
        <v>126</v>
      </c>
      <c r="G7315" s="294" t="s">
        <v>1190</v>
      </c>
      <c r="H7315" s="298">
        <v>1</v>
      </c>
      <c r="M7315" s="274"/>
    </row>
    <row r="7316" spans="2:13" ht="15" customHeight="1" x14ac:dyDescent="0.25">
      <c r="B7316" s="289">
        <v>6528</v>
      </c>
      <c r="C7316" s="261">
        <v>87</v>
      </c>
      <c r="D7316" s="244" t="s">
        <v>12</v>
      </c>
      <c r="E7316" s="263">
        <v>1</v>
      </c>
      <c r="F7316" s="294" t="s">
        <v>126</v>
      </c>
      <c r="G7316" s="294" t="s">
        <v>437</v>
      </c>
      <c r="H7316" s="298">
        <v>1</v>
      </c>
      <c r="M7316" s="274"/>
    </row>
    <row r="7317" spans="2:13" ht="15" customHeight="1" x14ac:dyDescent="0.25">
      <c r="B7317" s="289">
        <v>6529</v>
      </c>
      <c r="C7317" s="261">
        <v>88</v>
      </c>
      <c r="D7317" s="244" t="s">
        <v>11</v>
      </c>
      <c r="E7317" s="263">
        <v>3</v>
      </c>
      <c r="F7317" s="294" t="s">
        <v>269</v>
      </c>
      <c r="G7317" s="294" t="s">
        <v>126</v>
      </c>
      <c r="H7317" s="298">
        <v>1</v>
      </c>
      <c r="M7317" s="274"/>
    </row>
    <row r="7318" spans="2:13" ht="15" customHeight="1" x14ac:dyDescent="0.25">
      <c r="B7318" s="289">
        <v>6530</v>
      </c>
      <c r="C7318" s="261">
        <v>96</v>
      </c>
      <c r="D7318" s="244" t="s">
        <v>12</v>
      </c>
      <c r="E7318" s="263">
        <v>2</v>
      </c>
      <c r="F7318" s="294" t="s">
        <v>126</v>
      </c>
      <c r="G7318" s="294" t="s">
        <v>233</v>
      </c>
      <c r="H7318" s="298">
        <v>1</v>
      </c>
      <c r="M7318" s="274"/>
    </row>
    <row r="7319" spans="2:13" ht="15" customHeight="1" x14ac:dyDescent="0.25">
      <c r="B7319" s="289">
        <v>6531</v>
      </c>
      <c r="C7319" s="261">
        <v>89</v>
      </c>
      <c r="D7319" s="244" t="s">
        <v>11</v>
      </c>
      <c r="E7319" s="263">
        <v>5</v>
      </c>
      <c r="F7319" s="294" t="s">
        <v>1174</v>
      </c>
      <c r="G7319" s="294" t="s">
        <v>126</v>
      </c>
      <c r="H7319" s="298">
        <v>1</v>
      </c>
      <c r="M7319" s="274"/>
    </row>
    <row r="7320" spans="2:13" ht="15" customHeight="1" x14ac:dyDescent="0.25">
      <c r="B7320" s="289">
        <v>6532</v>
      </c>
      <c r="C7320" s="261">
        <v>89</v>
      </c>
      <c r="D7320" s="244" t="s">
        <v>11</v>
      </c>
      <c r="E7320" s="263">
        <v>2</v>
      </c>
      <c r="F7320" s="294" t="s">
        <v>454</v>
      </c>
      <c r="G7320" s="294" t="s">
        <v>126</v>
      </c>
      <c r="H7320" s="298">
        <v>1</v>
      </c>
      <c r="M7320" s="274"/>
    </row>
    <row r="7321" spans="2:13" ht="15" customHeight="1" x14ac:dyDescent="0.25">
      <c r="B7321" s="289">
        <v>6534</v>
      </c>
      <c r="C7321" s="261">
        <v>89</v>
      </c>
      <c r="D7321" s="244" t="s">
        <v>12</v>
      </c>
      <c r="E7321" s="263">
        <v>25</v>
      </c>
      <c r="F7321" s="294" t="s">
        <v>126</v>
      </c>
      <c r="G7321" s="294" t="s">
        <v>1191</v>
      </c>
      <c r="H7321" s="298">
        <v>1</v>
      </c>
      <c r="M7321" s="274"/>
    </row>
    <row r="7322" spans="2:13" ht="15" customHeight="1" x14ac:dyDescent="0.25">
      <c r="B7322" s="289">
        <v>6536</v>
      </c>
      <c r="C7322" s="261">
        <v>90</v>
      </c>
      <c r="D7322" s="244" t="s">
        <v>11</v>
      </c>
      <c r="E7322" s="263">
        <v>4</v>
      </c>
      <c r="F7322" s="294" t="s">
        <v>1192</v>
      </c>
      <c r="G7322" s="294" t="s">
        <v>126</v>
      </c>
      <c r="H7322" s="298">
        <v>1</v>
      </c>
      <c r="M7322" s="274"/>
    </row>
    <row r="7323" spans="2:13" ht="15" customHeight="1" x14ac:dyDescent="0.25">
      <c r="B7323" s="289">
        <v>6537</v>
      </c>
      <c r="C7323" s="261">
        <v>90</v>
      </c>
      <c r="D7323" s="244" t="s">
        <v>12</v>
      </c>
      <c r="E7323" s="263">
        <v>1</v>
      </c>
      <c r="F7323" s="294" t="s">
        <v>126</v>
      </c>
      <c r="G7323" s="294" t="s">
        <v>235</v>
      </c>
      <c r="H7323" s="298">
        <v>1</v>
      </c>
      <c r="M7323" s="274"/>
    </row>
    <row r="7324" spans="2:13" ht="15" customHeight="1" x14ac:dyDescent="0.25">
      <c r="B7324" s="289">
        <v>6538</v>
      </c>
      <c r="C7324" s="261">
        <v>89</v>
      </c>
      <c r="D7324" s="244" t="s">
        <v>12</v>
      </c>
      <c r="E7324" s="263">
        <v>33</v>
      </c>
      <c r="F7324" s="294" t="s">
        <v>126</v>
      </c>
      <c r="G7324" s="294" t="s">
        <v>1193</v>
      </c>
      <c r="H7324" s="298">
        <v>1</v>
      </c>
      <c r="M7324" s="274"/>
    </row>
    <row r="7325" spans="2:13" ht="15" customHeight="1" x14ac:dyDescent="0.25">
      <c r="B7325" s="289">
        <v>6540</v>
      </c>
      <c r="C7325" s="261">
        <v>89</v>
      </c>
      <c r="D7325" s="244" t="s">
        <v>12</v>
      </c>
      <c r="E7325" s="263">
        <v>4</v>
      </c>
      <c r="F7325" s="294" t="s">
        <v>126</v>
      </c>
      <c r="G7325" s="294" t="s">
        <v>1175</v>
      </c>
      <c r="H7325" s="298">
        <v>1</v>
      </c>
      <c r="M7325" s="274"/>
    </row>
    <row r="7326" spans="2:13" ht="15" customHeight="1" x14ac:dyDescent="0.25">
      <c r="B7326" s="289">
        <v>6541</v>
      </c>
      <c r="C7326" s="261">
        <v>89</v>
      </c>
      <c r="D7326" s="244" t="s">
        <v>12</v>
      </c>
      <c r="E7326" s="263">
        <v>3</v>
      </c>
      <c r="F7326" s="294" t="s">
        <v>126</v>
      </c>
      <c r="G7326" s="294" t="s">
        <v>1188</v>
      </c>
      <c r="H7326" s="298">
        <v>1</v>
      </c>
      <c r="M7326" s="274"/>
    </row>
    <row r="7327" spans="2:13" ht="15" customHeight="1" x14ac:dyDescent="0.25">
      <c r="B7327" s="289">
        <v>6542</v>
      </c>
      <c r="C7327" s="261">
        <v>89</v>
      </c>
      <c r="D7327" s="244" t="s">
        <v>12</v>
      </c>
      <c r="E7327" s="263">
        <v>1</v>
      </c>
      <c r="F7327" s="294" t="s">
        <v>126</v>
      </c>
      <c r="G7327" s="294" t="s">
        <v>139</v>
      </c>
      <c r="H7327" s="298">
        <v>1</v>
      </c>
      <c r="M7327" s="274"/>
    </row>
    <row r="7328" spans="2:13" ht="15" customHeight="1" x14ac:dyDescent="0.25">
      <c r="B7328" s="289">
        <v>6544</v>
      </c>
      <c r="C7328" s="261">
        <v>88</v>
      </c>
      <c r="D7328" s="244" t="s">
        <v>11</v>
      </c>
      <c r="E7328" s="263">
        <v>3</v>
      </c>
      <c r="F7328" s="294" t="s">
        <v>269</v>
      </c>
      <c r="G7328" s="294" t="s">
        <v>126</v>
      </c>
      <c r="H7328" s="298">
        <v>1</v>
      </c>
      <c r="M7328" s="274"/>
    </row>
    <row r="7329" spans="2:13" ht="15" customHeight="1" x14ac:dyDescent="0.25">
      <c r="B7329" s="289">
        <v>6545</v>
      </c>
      <c r="C7329" s="261">
        <v>94</v>
      </c>
      <c r="D7329" s="244" t="s">
        <v>11</v>
      </c>
      <c r="E7329" s="263">
        <v>5</v>
      </c>
      <c r="F7329" s="294" t="s">
        <v>1194</v>
      </c>
      <c r="G7329" s="294" t="s">
        <v>126</v>
      </c>
      <c r="H7329" s="298">
        <v>1</v>
      </c>
      <c r="M7329" s="274"/>
    </row>
    <row r="7330" spans="2:13" ht="15" customHeight="1" x14ac:dyDescent="0.25">
      <c r="B7330" s="289">
        <v>6546</v>
      </c>
      <c r="C7330" s="261">
        <v>89</v>
      </c>
      <c r="D7330" s="244" t="s">
        <v>12</v>
      </c>
      <c r="E7330" s="263">
        <v>8</v>
      </c>
      <c r="F7330" s="294" t="s">
        <v>126</v>
      </c>
      <c r="G7330" s="294" t="s">
        <v>1195</v>
      </c>
      <c r="H7330" s="298">
        <v>1</v>
      </c>
      <c r="M7330" s="274"/>
    </row>
    <row r="7331" spans="2:13" ht="15" customHeight="1" x14ac:dyDescent="0.25">
      <c r="B7331" s="289">
        <v>6547</v>
      </c>
      <c r="C7331" s="261">
        <v>91</v>
      </c>
      <c r="D7331" s="244" t="s">
        <v>11</v>
      </c>
      <c r="E7331" s="263">
        <v>14</v>
      </c>
      <c r="F7331" s="294" t="s">
        <v>1196</v>
      </c>
      <c r="G7331" s="294" t="s">
        <v>126</v>
      </c>
      <c r="H7331" s="298">
        <v>1</v>
      </c>
      <c r="M7331" s="274"/>
    </row>
    <row r="7332" spans="2:13" ht="15" customHeight="1" x14ac:dyDescent="0.25">
      <c r="B7332" s="289">
        <v>6548</v>
      </c>
      <c r="C7332" s="261">
        <v>86</v>
      </c>
      <c r="D7332" s="244" t="s">
        <v>11</v>
      </c>
      <c r="E7332" s="263">
        <v>5</v>
      </c>
      <c r="F7332" s="294" t="s">
        <v>1197</v>
      </c>
      <c r="G7332" s="294" t="s">
        <v>126</v>
      </c>
      <c r="H7332" s="298">
        <v>1</v>
      </c>
      <c r="M7332" s="274"/>
    </row>
    <row r="7333" spans="2:13" ht="15" customHeight="1" x14ac:dyDescent="0.25">
      <c r="B7333" s="289">
        <v>6549</v>
      </c>
      <c r="C7333" s="261">
        <v>83</v>
      </c>
      <c r="D7333" s="244" t="s">
        <v>12</v>
      </c>
      <c r="E7333" s="263">
        <v>1</v>
      </c>
      <c r="F7333" s="294" t="s">
        <v>126</v>
      </c>
      <c r="G7333" s="294" t="s">
        <v>426</v>
      </c>
      <c r="H7333" s="298">
        <v>1</v>
      </c>
      <c r="M7333" s="274"/>
    </row>
    <row r="7334" spans="2:13" ht="15" customHeight="1" x14ac:dyDescent="0.25">
      <c r="B7334" s="289">
        <v>6549</v>
      </c>
      <c r="C7334" s="261">
        <v>94</v>
      </c>
      <c r="D7334" s="244" t="s">
        <v>12</v>
      </c>
      <c r="E7334" s="263">
        <v>18</v>
      </c>
      <c r="F7334" s="294" t="s">
        <v>126</v>
      </c>
      <c r="G7334" s="294" t="s">
        <v>1198</v>
      </c>
      <c r="H7334" s="298">
        <v>1</v>
      </c>
      <c r="M7334" s="274"/>
    </row>
    <row r="7335" spans="2:13" ht="15" customHeight="1" x14ac:dyDescent="0.25">
      <c r="B7335" s="289">
        <v>6550</v>
      </c>
      <c r="C7335" s="261">
        <v>83</v>
      </c>
      <c r="D7335" s="244" t="s">
        <v>12</v>
      </c>
      <c r="E7335" s="263">
        <v>1</v>
      </c>
      <c r="F7335" s="294" t="s">
        <v>126</v>
      </c>
      <c r="G7335" s="294" t="s">
        <v>426</v>
      </c>
      <c r="H7335" s="298">
        <v>1</v>
      </c>
      <c r="M7335" s="274"/>
    </row>
    <row r="7336" spans="2:13" ht="15" customHeight="1" x14ac:dyDescent="0.25">
      <c r="B7336" s="289">
        <v>6550</v>
      </c>
      <c r="C7336" s="261">
        <v>89</v>
      </c>
      <c r="D7336" s="244" t="s">
        <v>11</v>
      </c>
      <c r="E7336" s="263">
        <v>5</v>
      </c>
      <c r="F7336" s="294" t="s">
        <v>1174</v>
      </c>
      <c r="G7336" s="294" t="s">
        <v>126</v>
      </c>
      <c r="H7336" s="298">
        <v>1</v>
      </c>
      <c r="M7336" s="274"/>
    </row>
    <row r="7337" spans="2:13" ht="15" customHeight="1" x14ac:dyDescent="0.25">
      <c r="B7337" s="289">
        <v>6551</v>
      </c>
      <c r="C7337" s="261">
        <v>89</v>
      </c>
      <c r="D7337" s="244" t="s">
        <v>12</v>
      </c>
      <c r="E7337" s="263">
        <v>36</v>
      </c>
      <c r="F7337" s="294" t="s">
        <v>126</v>
      </c>
      <c r="G7337" s="294" t="s">
        <v>1199</v>
      </c>
      <c r="H7337" s="298">
        <v>1</v>
      </c>
      <c r="M7337" s="274"/>
    </row>
    <row r="7338" spans="2:13" ht="15" customHeight="1" x14ac:dyDescent="0.25">
      <c r="B7338" s="289">
        <v>6553</v>
      </c>
      <c r="C7338" s="261">
        <v>89</v>
      </c>
      <c r="D7338" s="244" t="s">
        <v>12</v>
      </c>
      <c r="E7338" s="263">
        <v>1</v>
      </c>
      <c r="F7338" s="294" t="s">
        <v>126</v>
      </c>
      <c r="G7338" s="294" t="s">
        <v>426</v>
      </c>
      <c r="H7338" s="298">
        <v>1</v>
      </c>
      <c r="M7338" s="274"/>
    </row>
    <row r="7339" spans="2:13" ht="15" customHeight="1" x14ac:dyDescent="0.25">
      <c r="B7339" s="289">
        <v>6554</v>
      </c>
      <c r="C7339" s="261">
        <v>84</v>
      </c>
      <c r="D7339" s="244" t="s">
        <v>11</v>
      </c>
      <c r="E7339" s="263">
        <v>15</v>
      </c>
      <c r="F7339" s="294" t="s">
        <v>1200</v>
      </c>
      <c r="G7339" s="294" t="s">
        <v>126</v>
      </c>
      <c r="H7339" s="298">
        <v>1</v>
      </c>
      <c r="M7339" s="274"/>
    </row>
    <row r="7340" spans="2:13" ht="15" customHeight="1" x14ac:dyDescent="0.25">
      <c r="B7340" s="289">
        <v>6555</v>
      </c>
      <c r="C7340" s="261">
        <v>84</v>
      </c>
      <c r="D7340" s="244" t="s">
        <v>11</v>
      </c>
      <c r="E7340" s="263">
        <v>1</v>
      </c>
      <c r="F7340" s="294" t="s">
        <v>235</v>
      </c>
      <c r="G7340" s="294" t="s">
        <v>126</v>
      </c>
      <c r="H7340" s="298">
        <v>1</v>
      </c>
      <c r="M7340" s="274"/>
    </row>
    <row r="7341" spans="2:13" ht="15" customHeight="1" x14ac:dyDescent="0.25">
      <c r="B7341" s="289">
        <v>6555</v>
      </c>
      <c r="C7341" s="261">
        <v>93</v>
      </c>
      <c r="D7341" s="244" t="s">
        <v>11</v>
      </c>
      <c r="E7341" s="263">
        <v>1</v>
      </c>
      <c r="F7341" s="294" t="s">
        <v>139</v>
      </c>
      <c r="G7341" s="294" t="s">
        <v>126</v>
      </c>
      <c r="H7341" s="298">
        <v>1</v>
      </c>
      <c r="M7341" s="274"/>
    </row>
    <row r="7342" spans="2:13" ht="15" customHeight="1" x14ac:dyDescent="0.25">
      <c r="B7342" s="289">
        <v>6556</v>
      </c>
      <c r="C7342" s="261">
        <v>84</v>
      </c>
      <c r="D7342" s="244" t="s">
        <v>11</v>
      </c>
      <c r="E7342" s="263">
        <v>1</v>
      </c>
      <c r="F7342" s="294" t="s">
        <v>235</v>
      </c>
      <c r="G7342" s="294" t="s">
        <v>126</v>
      </c>
      <c r="H7342" s="298">
        <v>1</v>
      </c>
      <c r="M7342" s="274"/>
    </row>
    <row r="7343" spans="2:13" ht="15" customHeight="1" x14ac:dyDescent="0.25">
      <c r="B7343" s="289">
        <v>6556</v>
      </c>
      <c r="C7343" s="261">
        <v>91</v>
      </c>
      <c r="D7343" s="244" t="s">
        <v>12</v>
      </c>
      <c r="E7343" s="263">
        <v>6</v>
      </c>
      <c r="F7343" s="294" t="s">
        <v>126</v>
      </c>
      <c r="G7343" s="294" t="s">
        <v>1201</v>
      </c>
      <c r="H7343" s="298">
        <v>1</v>
      </c>
      <c r="M7343" s="274"/>
    </row>
    <row r="7344" spans="2:13" ht="15" customHeight="1" x14ac:dyDescent="0.25">
      <c r="B7344" s="289">
        <v>6557</v>
      </c>
      <c r="C7344" s="261">
        <v>98</v>
      </c>
      <c r="D7344" s="244" t="s">
        <v>11</v>
      </c>
      <c r="E7344" s="263">
        <v>6</v>
      </c>
      <c r="F7344" s="294" t="s">
        <v>1202</v>
      </c>
      <c r="G7344" s="294" t="s">
        <v>126</v>
      </c>
      <c r="H7344" s="298">
        <v>1</v>
      </c>
      <c r="M7344" s="274"/>
    </row>
    <row r="7345" spans="2:13" ht="15" customHeight="1" x14ac:dyDescent="0.25">
      <c r="B7345" s="289">
        <v>6558</v>
      </c>
      <c r="C7345" s="261">
        <v>86</v>
      </c>
      <c r="D7345" s="244" t="s">
        <v>11</v>
      </c>
      <c r="E7345" s="263">
        <v>4</v>
      </c>
      <c r="F7345" s="294" t="s">
        <v>1176</v>
      </c>
      <c r="G7345" s="294" t="s">
        <v>126</v>
      </c>
      <c r="H7345" s="298">
        <v>1</v>
      </c>
      <c r="M7345" s="274"/>
    </row>
    <row r="7346" spans="2:13" ht="15" customHeight="1" x14ac:dyDescent="0.25">
      <c r="B7346" s="289">
        <v>6559</v>
      </c>
      <c r="C7346" s="261">
        <v>89</v>
      </c>
      <c r="D7346" s="244" t="s">
        <v>12</v>
      </c>
      <c r="E7346" s="263">
        <v>51</v>
      </c>
      <c r="F7346" s="294" t="s">
        <v>126</v>
      </c>
      <c r="G7346" s="294" t="s">
        <v>1203</v>
      </c>
      <c r="H7346" s="298">
        <v>1</v>
      </c>
      <c r="M7346" s="274"/>
    </row>
    <row r="7347" spans="2:13" ht="15" customHeight="1" x14ac:dyDescent="0.25">
      <c r="B7347" s="289">
        <v>6560</v>
      </c>
      <c r="C7347" s="261">
        <v>89</v>
      </c>
      <c r="D7347" s="244" t="s">
        <v>12</v>
      </c>
      <c r="E7347" s="263">
        <v>23</v>
      </c>
      <c r="F7347" s="294" t="s">
        <v>126</v>
      </c>
      <c r="G7347" s="294" t="s">
        <v>1204</v>
      </c>
      <c r="H7347" s="298">
        <v>1</v>
      </c>
      <c r="M7347" s="274"/>
    </row>
    <row r="7348" spans="2:13" ht="15" customHeight="1" x14ac:dyDescent="0.25">
      <c r="B7348" s="289">
        <v>6561</v>
      </c>
      <c r="C7348" s="261">
        <v>94</v>
      </c>
      <c r="D7348" s="244" t="s">
        <v>12</v>
      </c>
      <c r="E7348" s="263">
        <v>4</v>
      </c>
      <c r="F7348" s="294" t="s">
        <v>126</v>
      </c>
      <c r="G7348" s="294" t="s">
        <v>1175</v>
      </c>
      <c r="H7348" s="298">
        <v>1</v>
      </c>
      <c r="M7348" s="274"/>
    </row>
    <row r="7349" spans="2:13" ht="15" customHeight="1" x14ac:dyDescent="0.25">
      <c r="B7349" s="289">
        <v>6562</v>
      </c>
      <c r="C7349" s="261">
        <v>89</v>
      </c>
      <c r="D7349" s="244" t="s">
        <v>12</v>
      </c>
      <c r="E7349" s="263">
        <v>1</v>
      </c>
      <c r="F7349" s="294" t="s">
        <v>126</v>
      </c>
      <c r="G7349" s="294" t="s">
        <v>426</v>
      </c>
      <c r="H7349" s="298">
        <v>1</v>
      </c>
      <c r="M7349" s="274"/>
    </row>
    <row r="7350" spans="2:13" ht="15" customHeight="1" x14ac:dyDescent="0.25">
      <c r="B7350" s="289">
        <v>6563</v>
      </c>
      <c r="C7350" s="261">
        <v>85</v>
      </c>
      <c r="D7350" s="244" t="s">
        <v>11</v>
      </c>
      <c r="E7350" s="263">
        <v>25</v>
      </c>
      <c r="F7350" s="294" t="s">
        <v>1205</v>
      </c>
      <c r="G7350" s="294" t="s">
        <v>126</v>
      </c>
      <c r="H7350" s="298">
        <v>1</v>
      </c>
      <c r="M7350" s="274"/>
    </row>
    <row r="7351" spans="2:13" ht="15" customHeight="1" x14ac:dyDescent="0.25">
      <c r="B7351" s="289">
        <v>6564</v>
      </c>
      <c r="C7351" s="261">
        <v>85</v>
      </c>
      <c r="D7351" s="244" t="s">
        <v>11</v>
      </c>
      <c r="E7351" s="263">
        <v>20</v>
      </c>
      <c r="F7351" s="294" t="s">
        <v>1206</v>
      </c>
      <c r="G7351" s="294" t="s">
        <v>126</v>
      </c>
      <c r="H7351" s="298">
        <v>1</v>
      </c>
      <c r="M7351" s="274"/>
    </row>
    <row r="7352" spans="2:13" ht="15" customHeight="1" x14ac:dyDescent="0.25">
      <c r="B7352" s="289">
        <v>6566</v>
      </c>
      <c r="C7352" s="261">
        <v>85</v>
      </c>
      <c r="D7352" s="244" t="s">
        <v>12</v>
      </c>
      <c r="E7352" s="263">
        <v>4</v>
      </c>
      <c r="F7352" s="294" t="s">
        <v>126</v>
      </c>
      <c r="G7352" s="294" t="s">
        <v>1207</v>
      </c>
      <c r="H7352" s="298">
        <v>1</v>
      </c>
      <c r="M7352" s="274"/>
    </row>
    <row r="7353" spans="2:13" ht="15" customHeight="1" x14ac:dyDescent="0.25">
      <c r="B7353" s="289">
        <v>6566</v>
      </c>
      <c r="C7353" s="261">
        <v>89</v>
      </c>
      <c r="D7353" s="244" t="s">
        <v>12</v>
      </c>
      <c r="E7353" s="263">
        <v>12</v>
      </c>
      <c r="F7353" s="294" t="s">
        <v>126</v>
      </c>
      <c r="G7353" s="294" t="s">
        <v>1208</v>
      </c>
      <c r="H7353" s="298">
        <v>1</v>
      </c>
      <c r="M7353" s="274"/>
    </row>
    <row r="7354" spans="2:13" ht="15" customHeight="1" x14ac:dyDescent="0.25">
      <c r="B7354" s="289">
        <v>6567</v>
      </c>
      <c r="C7354" s="261">
        <v>85</v>
      </c>
      <c r="D7354" s="244" t="s">
        <v>12</v>
      </c>
      <c r="E7354" s="263">
        <v>4</v>
      </c>
      <c r="F7354" s="294" t="s">
        <v>126</v>
      </c>
      <c r="G7354" s="294" t="s">
        <v>1207</v>
      </c>
      <c r="H7354" s="298">
        <v>1</v>
      </c>
      <c r="M7354" s="274"/>
    </row>
    <row r="7355" spans="2:13" ht="15" customHeight="1" x14ac:dyDescent="0.25">
      <c r="B7355" s="289">
        <v>6567</v>
      </c>
      <c r="C7355" s="261">
        <v>89</v>
      </c>
      <c r="D7355" s="244" t="s">
        <v>12</v>
      </c>
      <c r="E7355" s="263">
        <v>38</v>
      </c>
      <c r="F7355" s="294" t="s">
        <v>126</v>
      </c>
      <c r="G7355" s="294" t="s">
        <v>1209</v>
      </c>
      <c r="H7355" s="298">
        <v>1</v>
      </c>
      <c r="M7355" s="274"/>
    </row>
    <row r="7356" spans="2:13" ht="15" customHeight="1" x14ac:dyDescent="0.25">
      <c r="B7356" s="289">
        <v>6568</v>
      </c>
      <c r="C7356" s="261">
        <v>86</v>
      </c>
      <c r="D7356" s="244" t="s">
        <v>12</v>
      </c>
      <c r="E7356" s="263">
        <v>1</v>
      </c>
      <c r="F7356" s="294" t="s">
        <v>126</v>
      </c>
      <c r="G7356" s="294" t="s">
        <v>235</v>
      </c>
      <c r="H7356" s="298">
        <v>1</v>
      </c>
      <c r="M7356" s="274"/>
    </row>
    <row r="7357" spans="2:13" ht="15" customHeight="1" x14ac:dyDescent="0.25">
      <c r="B7357" s="289">
        <v>6569</v>
      </c>
      <c r="C7357" s="261">
        <v>85</v>
      </c>
      <c r="D7357" s="244" t="s">
        <v>12</v>
      </c>
      <c r="E7357" s="263">
        <v>9</v>
      </c>
      <c r="F7357" s="294" t="s">
        <v>126</v>
      </c>
      <c r="G7357" s="294" t="s">
        <v>1210</v>
      </c>
      <c r="H7357" s="298">
        <v>1</v>
      </c>
      <c r="M7357" s="274"/>
    </row>
    <row r="7358" spans="2:13" ht="15" customHeight="1" x14ac:dyDescent="0.25">
      <c r="B7358" s="289">
        <v>6570</v>
      </c>
      <c r="C7358" s="261">
        <v>86</v>
      </c>
      <c r="D7358" s="244" t="s">
        <v>12</v>
      </c>
      <c r="E7358" s="263">
        <v>1</v>
      </c>
      <c r="F7358" s="294" t="s">
        <v>126</v>
      </c>
      <c r="G7358" s="294" t="s">
        <v>235</v>
      </c>
      <c r="H7358" s="298">
        <v>1</v>
      </c>
      <c r="M7358" s="274"/>
    </row>
    <row r="7359" spans="2:13" ht="15" customHeight="1" x14ac:dyDescent="0.25">
      <c r="B7359" s="289">
        <v>6571</v>
      </c>
      <c r="C7359" s="261">
        <v>83</v>
      </c>
      <c r="D7359" s="244" t="s">
        <v>12</v>
      </c>
      <c r="E7359" s="263">
        <v>11</v>
      </c>
      <c r="F7359" s="294" t="s">
        <v>126</v>
      </c>
      <c r="G7359" s="294" t="s">
        <v>1211</v>
      </c>
      <c r="H7359" s="298">
        <v>1</v>
      </c>
      <c r="M7359" s="274"/>
    </row>
    <row r="7360" spans="2:13" ht="15" customHeight="1" x14ac:dyDescent="0.25">
      <c r="B7360" s="289">
        <v>6571</v>
      </c>
      <c r="C7360" s="261">
        <v>87</v>
      </c>
      <c r="D7360" s="244" t="s">
        <v>12</v>
      </c>
      <c r="E7360" s="263">
        <v>1</v>
      </c>
      <c r="F7360" s="294" t="s">
        <v>126</v>
      </c>
      <c r="G7360" s="294" t="s">
        <v>437</v>
      </c>
      <c r="H7360" s="298">
        <v>1</v>
      </c>
      <c r="M7360" s="274"/>
    </row>
    <row r="7361" spans="2:13" ht="15" customHeight="1" x14ac:dyDescent="0.25">
      <c r="B7361" s="289">
        <v>6572</v>
      </c>
      <c r="C7361" s="261">
        <v>83</v>
      </c>
      <c r="D7361" s="244" t="s">
        <v>12</v>
      </c>
      <c r="E7361" s="263">
        <v>10</v>
      </c>
      <c r="F7361" s="294" t="s">
        <v>126</v>
      </c>
      <c r="G7361" s="294" t="s">
        <v>1212</v>
      </c>
      <c r="H7361" s="298">
        <v>1</v>
      </c>
      <c r="M7361" s="274"/>
    </row>
    <row r="7362" spans="2:13" ht="15" customHeight="1" x14ac:dyDescent="0.25">
      <c r="B7362" s="289">
        <v>6572</v>
      </c>
      <c r="C7362" s="261">
        <v>89</v>
      </c>
      <c r="D7362" s="244" t="s">
        <v>12</v>
      </c>
      <c r="E7362" s="263">
        <v>4</v>
      </c>
      <c r="F7362" s="294" t="s">
        <v>126</v>
      </c>
      <c r="G7362" s="294" t="s">
        <v>1175</v>
      </c>
      <c r="H7362" s="298">
        <v>1</v>
      </c>
      <c r="M7362" s="274"/>
    </row>
    <row r="7363" spans="2:13" ht="15" customHeight="1" x14ac:dyDescent="0.25">
      <c r="B7363" s="289">
        <v>6573</v>
      </c>
      <c r="C7363" s="261">
        <v>85</v>
      </c>
      <c r="D7363" s="244" t="s">
        <v>12</v>
      </c>
      <c r="E7363" s="263">
        <v>10</v>
      </c>
      <c r="F7363" s="294" t="s">
        <v>126</v>
      </c>
      <c r="G7363" s="294" t="s">
        <v>1213</v>
      </c>
      <c r="H7363" s="298">
        <v>1</v>
      </c>
      <c r="M7363" s="274"/>
    </row>
    <row r="7364" spans="2:13" ht="15" customHeight="1" x14ac:dyDescent="0.25">
      <c r="B7364" s="289">
        <v>6574</v>
      </c>
      <c r="C7364" s="261">
        <v>85</v>
      </c>
      <c r="D7364" s="244" t="s">
        <v>12</v>
      </c>
      <c r="E7364" s="263">
        <v>2</v>
      </c>
      <c r="F7364" s="294" t="s">
        <v>126</v>
      </c>
      <c r="G7364" s="294" t="s">
        <v>789</v>
      </c>
      <c r="H7364" s="298">
        <v>1</v>
      </c>
      <c r="M7364" s="274"/>
    </row>
    <row r="7365" spans="2:13" ht="15" customHeight="1" x14ac:dyDescent="0.25">
      <c r="B7365" s="289">
        <v>6574</v>
      </c>
      <c r="C7365" s="261">
        <v>89</v>
      </c>
      <c r="D7365" s="244" t="s">
        <v>12</v>
      </c>
      <c r="E7365" s="263">
        <v>20</v>
      </c>
      <c r="F7365" s="294" t="s">
        <v>126</v>
      </c>
      <c r="G7365" s="294" t="s">
        <v>1214</v>
      </c>
      <c r="H7365" s="298">
        <v>1</v>
      </c>
      <c r="M7365" s="274"/>
    </row>
    <row r="7366" spans="2:13" ht="15" customHeight="1" x14ac:dyDescent="0.25">
      <c r="B7366" s="289">
        <v>6575</v>
      </c>
      <c r="C7366" s="261">
        <v>88</v>
      </c>
      <c r="D7366" s="244" t="s">
        <v>11</v>
      </c>
      <c r="E7366" s="263">
        <v>2</v>
      </c>
      <c r="F7366" s="294" t="s">
        <v>227</v>
      </c>
      <c r="G7366" s="294" t="s">
        <v>126</v>
      </c>
      <c r="H7366" s="298">
        <v>1</v>
      </c>
      <c r="M7366" s="274"/>
    </row>
    <row r="7367" spans="2:13" ht="15" customHeight="1" x14ac:dyDescent="0.25">
      <c r="B7367" s="289">
        <v>6577</v>
      </c>
      <c r="C7367" s="261">
        <v>86</v>
      </c>
      <c r="D7367" s="244" t="s">
        <v>11</v>
      </c>
      <c r="E7367" s="263">
        <v>14</v>
      </c>
      <c r="F7367" s="294" t="s">
        <v>1215</v>
      </c>
      <c r="G7367" s="294" t="s">
        <v>126</v>
      </c>
      <c r="H7367" s="298">
        <v>1</v>
      </c>
      <c r="M7367" s="274"/>
    </row>
    <row r="7368" spans="2:13" ht="15" customHeight="1" x14ac:dyDescent="0.25">
      <c r="B7368" s="289">
        <v>6578</v>
      </c>
      <c r="C7368" s="261">
        <v>86</v>
      </c>
      <c r="D7368" s="244" t="s">
        <v>11</v>
      </c>
      <c r="E7368" s="263">
        <v>8</v>
      </c>
      <c r="F7368" s="294" t="s">
        <v>1168</v>
      </c>
      <c r="G7368" s="294" t="s">
        <v>126</v>
      </c>
      <c r="H7368" s="298">
        <v>1</v>
      </c>
      <c r="M7368" s="274"/>
    </row>
    <row r="7369" spans="2:13" ht="15" customHeight="1" x14ac:dyDescent="0.25">
      <c r="B7369" s="289">
        <v>6579</v>
      </c>
      <c r="C7369" s="261">
        <v>86</v>
      </c>
      <c r="D7369" s="244" t="s">
        <v>11</v>
      </c>
      <c r="E7369" s="263">
        <v>5</v>
      </c>
      <c r="F7369" s="294" t="s">
        <v>1197</v>
      </c>
      <c r="G7369" s="294" t="s">
        <v>126</v>
      </c>
      <c r="H7369" s="298">
        <v>1</v>
      </c>
      <c r="M7369" s="274"/>
    </row>
    <row r="7370" spans="2:13" ht="15" customHeight="1" x14ac:dyDescent="0.25">
      <c r="B7370" s="289">
        <v>6580</v>
      </c>
      <c r="C7370" s="261">
        <v>86</v>
      </c>
      <c r="D7370" s="244" t="s">
        <v>11</v>
      </c>
      <c r="E7370" s="263">
        <v>1</v>
      </c>
      <c r="F7370" s="294" t="s">
        <v>139</v>
      </c>
      <c r="G7370" s="294" t="s">
        <v>126</v>
      </c>
      <c r="H7370" s="298">
        <v>1</v>
      </c>
      <c r="M7370" s="274"/>
    </row>
    <row r="7371" spans="2:13" ht="15" customHeight="1" x14ac:dyDescent="0.25">
      <c r="B7371" s="289">
        <v>6580</v>
      </c>
      <c r="C7371" s="261">
        <v>94</v>
      </c>
      <c r="D7371" s="244" t="s">
        <v>12</v>
      </c>
      <c r="E7371" s="263">
        <v>1</v>
      </c>
      <c r="F7371" s="294" t="s">
        <v>126</v>
      </c>
      <c r="G7371" s="294" t="s">
        <v>437</v>
      </c>
      <c r="H7371" s="298">
        <v>1</v>
      </c>
      <c r="M7371" s="274"/>
    </row>
    <row r="7372" spans="2:13" ht="15" customHeight="1" x14ac:dyDescent="0.25">
      <c r="B7372" s="289">
        <v>6582</v>
      </c>
      <c r="C7372" s="261">
        <v>87</v>
      </c>
      <c r="D7372" s="244" t="s">
        <v>11</v>
      </c>
      <c r="E7372" s="263">
        <v>8</v>
      </c>
      <c r="F7372" s="294" t="s">
        <v>1216</v>
      </c>
      <c r="G7372" s="294" t="s">
        <v>126</v>
      </c>
      <c r="H7372" s="298">
        <v>1</v>
      </c>
      <c r="M7372" s="274"/>
    </row>
    <row r="7373" spans="2:13" ht="15" customHeight="1" x14ac:dyDescent="0.25">
      <c r="B7373" s="289">
        <v>6584</v>
      </c>
      <c r="C7373" s="261">
        <v>88</v>
      </c>
      <c r="D7373" s="244" t="s">
        <v>11</v>
      </c>
      <c r="E7373" s="263">
        <v>20</v>
      </c>
      <c r="F7373" s="294" t="s">
        <v>1217</v>
      </c>
      <c r="G7373" s="294" t="s">
        <v>126</v>
      </c>
      <c r="H7373" s="298">
        <v>1</v>
      </c>
      <c r="M7373" s="274"/>
    </row>
    <row r="7374" spans="2:13" ht="15" customHeight="1" x14ac:dyDescent="0.25">
      <c r="B7374" s="289">
        <v>6585</v>
      </c>
      <c r="C7374" s="261">
        <v>88</v>
      </c>
      <c r="D7374" s="244" t="s">
        <v>11</v>
      </c>
      <c r="E7374" s="263">
        <v>1</v>
      </c>
      <c r="F7374" s="294" t="s">
        <v>139</v>
      </c>
      <c r="G7374" s="294" t="s">
        <v>126</v>
      </c>
      <c r="H7374" s="298">
        <v>1</v>
      </c>
      <c r="M7374" s="274"/>
    </row>
    <row r="7375" spans="2:13" ht="15" customHeight="1" x14ac:dyDescent="0.25">
      <c r="B7375" s="289">
        <v>6586</v>
      </c>
      <c r="C7375" s="261">
        <v>89</v>
      </c>
      <c r="D7375" s="244" t="s">
        <v>11</v>
      </c>
      <c r="E7375" s="263">
        <v>9</v>
      </c>
      <c r="F7375" s="294" t="s">
        <v>1218</v>
      </c>
      <c r="G7375" s="294" t="s">
        <v>126</v>
      </c>
      <c r="H7375" s="298">
        <v>1</v>
      </c>
      <c r="M7375" s="274"/>
    </row>
    <row r="7376" spans="2:13" ht="15" customHeight="1" x14ac:dyDescent="0.25">
      <c r="B7376" s="289">
        <v>6587</v>
      </c>
      <c r="C7376" s="261">
        <v>89</v>
      </c>
      <c r="D7376" s="244" t="s">
        <v>11</v>
      </c>
      <c r="E7376" s="263">
        <v>4</v>
      </c>
      <c r="F7376" s="294" t="s">
        <v>315</v>
      </c>
      <c r="G7376" s="294" t="s">
        <v>126</v>
      </c>
      <c r="H7376" s="298">
        <v>1</v>
      </c>
      <c r="M7376" s="274"/>
    </row>
    <row r="7377" spans="2:13" ht="15" customHeight="1" x14ac:dyDescent="0.25">
      <c r="B7377" s="289">
        <v>6589</v>
      </c>
      <c r="C7377" s="261">
        <v>90</v>
      </c>
      <c r="D7377" s="244" t="s">
        <v>11</v>
      </c>
      <c r="E7377" s="263">
        <v>5</v>
      </c>
      <c r="F7377" s="294" t="s">
        <v>1219</v>
      </c>
      <c r="G7377" s="294" t="s">
        <v>126</v>
      </c>
      <c r="H7377" s="298">
        <v>1</v>
      </c>
      <c r="M7377" s="274"/>
    </row>
    <row r="7378" spans="2:13" ht="15" customHeight="1" x14ac:dyDescent="0.25">
      <c r="B7378" s="289">
        <v>6591</v>
      </c>
      <c r="C7378" s="261">
        <v>89</v>
      </c>
      <c r="D7378" s="244" t="s">
        <v>12</v>
      </c>
      <c r="E7378" s="263">
        <v>32</v>
      </c>
      <c r="F7378" s="294" t="s">
        <v>126</v>
      </c>
      <c r="G7378" s="294" t="s">
        <v>1220</v>
      </c>
      <c r="H7378" s="298">
        <v>1</v>
      </c>
      <c r="M7378" s="274"/>
    </row>
    <row r="7379" spans="2:13" ht="15" customHeight="1" x14ac:dyDescent="0.25">
      <c r="B7379" s="289">
        <v>6592</v>
      </c>
      <c r="C7379" s="261">
        <v>89</v>
      </c>
      <c r="D7379" s="244" t="s">
        <v>12</v>
      </c>
      <c r="E7379" s="263">
        <v>32</v>
      </c>
      <c r="F7379" s="294" t="s">
        <v>126</v>
      </c>
      <c r="G7379" s="294" t="s">
        <v>1221</v>
      </c>
      <c r="H7379" s="298">
        <v>1</v>
      </c>
      <c r="M7379" s="274"/>
    </row>
    <row r="7380" spans="2:13" ht="15" customHeight="1" x14ac:dyDescent="0.25">
      <c r="B7380" s="289">
        <v>6593</v>
      </c>
      <c r="C7380" s="261">
        <v>88</v>
      </c>
      <c r="D7380" s="244" t="s">
        <v>11</v>
      </c>
      <c r="E7380" s="263">
        <v>2</v>
      </c>
      <c r="F7380" s="294" t="s">
        <v>227</v>
      </c>
      <c r="G7380" s="294" t="s">
        <v>126</v>
      </c>
      <c r="H7380" s="298">
        <v>1</v>
      </c>
      <c r="M7380" s="274"/>
    </row>
    <row r="7381" spans="2:13" ht="15" customHeight="1" x14ac:dyDescent="0.25">
      <c r="B7381" s="289">
        <v>6594</v>
      </c>
      <c r="C7381" s="261">
        <v>89</v>
      </c>
      <c r="D7381" s="244" t="s">
        <v>12</v>
      </c>
      <c r="E7381" s="263">
        <v>25</v>
      </c>
      <c r="F7381" s="294" t="s">
        <v>126</v>
      </c>
      <c r="G7381" s="294" t="s">
        <v>1222</v>
      </c>
      <c r="H7381" s="298">
        <v>1</v>
      </c>
      <c r="M7381" s="274"/>
    </row>
    <row r="7382" spans="2:13" ht="15" customHeight="1" x14ac:dyDescent="0.25">
      <c r="B7382" s="289">
        <v>6595</v>
      </c>
      <c r="C7382" s="261">
        <v>89</v>
      </c>
      <c r="D7382" s="244" t="s">
        <v>12</v>
      </c>
      <c r="E7382" s="263">
        <v>10</v>
      </c>
      <c r="F7382" s="294" t="s">
        <v>126</v>
      </c>
      <c r="G7382" s="294" t="s">
        <v>1223</v>
      </c>
      <c r="H7382" s="298">
        <v>1</v>
      </c>
      <c r="M7382" s="274"/>
    </row>
    <row r="7383" spans="2:13" ht="15" customHeight="1" x14ac:dyDescent="0.25">
      <c r="B7383" s="289">
        <v>6596</v>
      </c>
      <c r="C7383" s="261">
        <v>83</v>
      </c>
      <c r="D7383" s="244" t="s">
        <v>12</v>
      </c>
      <c r="E7383" s="263">
        <v>3</v>
      </c>
      <c r="F7383" s="294" t="s">
        <v>126</v>
      </c>
      <c r="G7383" s="294" t="s">
        <v>1186</v>
      </c>
      <c r="H7383" s="298">
        <v>1</v>
      </c>
      <c r="M7383" s="274"/>
    </row>
    <row r="7384" spans="2:13" ht="15" customHeight="1" x14ac:dyDescent="0.25">
      <c r="B7384" s="289">
        <v>6596</v>
      </c>
      <c r="C7384" s="261">
        <v>89</v>
      </c>
      <c r="D7384" s="244" t="s">
        <v>12</v>
      </c>
      <c r="E7384" s="263">
        <v>26</v>
      </c>
      <c r="F7384" s="294" t="s">
        <v>126</v>
      </c>
      <c r="G7384" s="294" t="s">
        <v>1224</v>
      </c>
      <c r="H7384" s="298">
        <v>1</v>
      </c>
      <c r="M7384" s="274"/>
    </row>
    <row r="7385" spans="2:13" ht="15" customHeight="1" x14ac:dyDescent="0.25">
      <c r="B7385" s="289">
        <v>6597</v>
      </c>
      <c r="C7385" s="261">
        <v>83</v>
      </c>
      <c r="D7385" s="244" t="s">
        <v>12</v>
      </c>
      <c r="E7385" s="263">
        <v>3</v>
      </c>
      <c r="F7385" s="294" t="s">
        <v>126</v>
      </c>
      <c r="G7385" s="294" t="s">
        <v>1225</v>
      </c>
      <c r="H7385" s="298">
        <v>1</v>
      </c>
      <c r="M7385" s="274"/>
    </row>
    <row r="7386" spans="2:13" ht="15" customHeight="1" x14ac:dyDescent="0.25">
      <c r="B7386" s="289">
        <v>6597</v>
      </c>
      <c r="C7386" s="261">
        <v>94</v>
      </c>
      <c r="D7386" s="244" t="s">
        <v>11</v>
      </c>
      <c r="E7386" s="263">
        <v>4</v>
      </c>
      <c r="F7386" s="294" t="s">
        <v>1226</v>
      </c>
      <c r="G7386" s="294" t="s">
        <v>126</v>
      </c>
      <c r="H7386" s="298">
        <v>1</v>
      </c>
      <c r="M7386" s="274"/>
    </row>
    <row r="7387" spans="2:13" ht="15" customHeight="1" x14ac:dyDescent="0.25">
      <c r="B7387" s="289">
        <v>6598</v>
      </c>
      <c r="C7387" s="261">
        <v>84</v>
      </c>
      <c r="D7387" s="244" t="s">
        <v>12</v>
      </c>
      <c r="E7387" s="263">
        <v>1</v>
      </c>
      <c r="F7387" s="294" t="s">
        <v>126</v>
      </c>
      <c r="G7387" s="294" t="s">
        <v>139</v>
      </c>
      <c r="H7387" s="298">
        <v>1</v>
      </c>
      <c r="M7387" s="274"/>
    </row>
    <row r="7388" spans="2:13" ht="15" customHeight="1" x14ac:dyDescent="0.25">
      <c r="B7388" s="289">
        <v>6598</v>
      </c>
      <c r="C7388" s="261">
        <v>99</v>
      </c>
      <c r="D7388" s="244" t="s">
        <v>11</v>
      </c>
      <c r="E7388" s="263">
        <v>2</v>
      </c>
      <c r="F7388" s="294" t="s">
        <v>227</v>
      </c>
      <c r="G7388" s="294" t="s">
        <v>126</v>
      </c>
      <c r="H7388" s="298">
        <v>1</v>
      </c>
      <c r="M7388" s="274"/>
    </row>
    <row r="7389" spans="2:13" ht="15" customHeight="1" x14ac:dyDescent="0.25">
      <c r="B7389" s="289">
        <v>6600</v>
      </c>
      <c r="C7389" s="261">
        <v>83</v>
      </c>
      <c r="D7389" s="244" t="s">
        <v>12</v>
      </c>
      <c r="E7389" s="263">
        <v>14</v>
      </c>
      <c r="F7389" s="294" t="s">
        <v>126</v>
      </c>
      <c r="G7389" s="294" t="s">
        <v>1227</v>
      </c>
      <c r="H7389" s="298">
        <v>1</v>
      </c>
      <c r="M7389" s="274"/>
    </row>
    <row r="7390" spans="2:13" ht="15" customHeight="1" x14ac:dyDescent="0.25">
      <c r="B7390" s="289">
        <v>6602</v>
      </c>
      <c r="C7390" s="261">
        <v>84</v>
      </c>
      <c r="D7390" s="244" t="s">
        <v>12</v>
      </c>
      <c r="E7390" s="263">
        <v>1</v>
      </c>
      <c r="F7390" s="294" t="s">
        <v>126</v>
      </c>
      <c r="G7390" s="294" t="s">
        <v>139</v>
      </c>
      <c r="H7390" s="298">
        <v>1</v>
      </c>
      <c r="M7390" s="274"/>
    </row>
    <row r="7391" spans="2:13" ht="15" customHeight="1" x14ac:dyDescent="0.25">
      <c r="B7391" s="289">
        <v>6602</v>
      </c>
      <c r="C7391" s="261">
        <v>98</v>
      </c>
      <c r="D7391" s="244" t="s">
        <v>11</v>
      </c>
      <c r="E7391" s="263">
        <v>5</v>
      </c>
      <c r="F7391" s="294" t="s">
        <v>1228</v>
      </c>
      <c r="G7391" s="294" t="s">
        <v>126</v>
      </c>
      <c r="H7391" s="298">
        <v>1</v>
      </c>
      <c r="M7391" s="274"/>
    </row>
    <row r="7392" spans="2:13" ht="15" customHeight="1" x14ac:dyDescent="0.25">
      <c r="B7392" s="289">
        <v>6603</v>
      </c>
      <c r="C7392" s="261">
        <v>84</v>
      </c>
      <c r="D7392" s="244" t="s">
        <v>12</v>
      </c>
      <c r="E7392" s="263">
        <v>1</v>
      </c>
      <c r="F7392" s="294" t="s">
        <v>126</v>
      </c>
      <c r="G7392" s="294" t="s">
        <v>139</v>
      </c>
      <c r="H7392" s="298">
        <v>1</v>
      </c>
      <c r="M7392" s="274"/>
    </row>
    <row r="7393" spans="2:13" ht="15" customHeight="1" x14ac:dyDescent="0.25">
      <c r="B7393" s="289">
        <v>6605</v>
      </c>
      <c r="C7393" s="261">
        <v>83</v>
      </c>
      <c r="D7393" s="244" t="s">
        <v>12</v>
      </c>
      <c r="E7393" s="263">
        <v>11</v>
      </c>
      <c r="F7393" s="294" t="s">
        <v>126</v>
      </c>
      <c r="G7393" s="294" t="s">
        <v>1185</v>
      </c>
      <c r="H7393" s="298">
        <v>1</v>
      </c>
      <c r="M7393" s="274"/>
    </row>
    <row r="7394" spans="2:13" ht="15" customHeight="1" x14ac:dyDescent="0.25">
      <c r="B7394" s="289">
        <v>6605</v>
      </c>
      <c r="C7394" s="261">
        <v>89</v>
      </c>
      <c r="D7394" s="244" t="s">
        <v>12</v>
      </c>
      <c r="E7394" s="263">
        <v>19</v>
      </c>
      <c r="F7394" s="294" t="s">
        <v>126</v>
      </c>
      <c r="G7394" s="294" t="s">
        <v>1229</v>
      </c>
      <c r="H7394" s="298">
        <v>1</v>
      </c>
      <c r="M7394" s="274"/>
    </row>
    <row r="7395" spans="2:13" ht="15" customHeight="1" x14ac:dyDescent="0.25">
      <c r="B7395" s="289">
        <v>6606</v>
      </c>
      <c r="C7395" s="261">
        <v>83</v>
      </c>
      <c r="D7395" s="244" t="s">
        <v>12</v>
      </c>
      <c r="E7395" s="263">
        <v>10</v>
      </c>
      <c r="F7395" s="294" t="s">
        <v>126</v>
      </c>
      <c r="G7395" s="294" t="s">
        <v>1230</v>
      </c>
      <c r="H7395" s="298">
        <v>1</v>
      </c>
      <c r="M7395" s="274"/>
    </row>
    <row r="7396" spans="2:13" ht="15" customHeight="1" x14ac:dyDescent="0.25">
      <c r="B7396" s="289">
        <v>6606</v>
      </c>
      <c r="C7396" s="261">
        <v>89</v>
      </c>
      <c r="D7396" s="244" t="s">
        <v>11</v>
      </c>
      <c r="E7396" s="263">
        <v>1</v>
      </c>
      <c r="F7396" s="294" t="s">
        <v>426</v>
      </c>
      <c r="G7396" s="294" t="s">
        <v>126</v>
      </c>
      <c r="H7396" s="298">
        <v>1</v>
      </c>
      <c r="M7396" s="274"/>
    </row>
    <row r="7397" spans="2:13" ht="15" customHeight="1" x14ac:dyDescent="0.25">
      <c r="B7397" s="289">
        <v>6607</v>
      </c>
      <c r="C7397" s="261">
        <v>84</v>
      </c>
      <c r="D7397" s="244" t="s">
        <v>12</v>
      </c>
      <c r="E7397" s="263">
        <v>1</v>
      </c>
      <c r="F7397" s="294" t="s">
        <v>126</v>
      </c>
      <c r="G7397" s="294" t="s">
        <v>139</v>
      </c>
      <c r="H7397" s="298">
        <v>1</v>
      </c>
      <c r="M7397" s="274"/>
    </row>
    <row r="7398" spans="2:13" ht="15" customHeight="1" x14ac:dyDescent="0.25">
      <c r="B7398" s="289">
        <v>6608</v>
      </c>
      <c r="C7398" s="261">
        <v>83</v>
      </c>
      <c r="D7398" s="244" t="s">
        <v>12</v>
      </c>
      <c r="E7398" s="263">
        <v>2</v>
      </c>
      <c r="F7398" s="294" t="s">
        <v>126</v>
      </c>
      <c r="G7398" s="294" t="s">
        <v>233</v>
      </c>
      <c r="H7398" s="298">
        <v>1</v>
      </c>
      <c r="M7398" s="274"/>
    </row>
    <row r="7399" spans="2:13" ht="15" customHeight="1" x14ac:dyDescent="0.25">
      <c r="B7399" s="289">
        <v>6608</v>
      </c>
      <c r="C7399" s="261">
        <v>101</v>
      </c>
      <c r="D7399" s="244" t="s">
        <v>12</v>
      </c>
      <c r="E7399" s="263">
        <v>1</v>
      </c>
      <c r="F7399" s="294" t="s">
        <v>126</v>
      </c>
      <c r="G7399" s="294" t="s">
        <v>437</v>
      </c>
      <c r="H7399" s="298">
        <v>1</v>
      </c>
      <c r="M7399" s="274"/>
    </row>
    <row r="7400" spans="2:13" ht="15" customHeight="1" x14ac:dyDescent="0.25">
      <c r="B7400" s="289">
        <v>6609</v>
      </c>
      <c r="C7400" s="261">
        <v>83</v>
      </c>
      <c r="D7400" s="244" t="s">
        <v>12</v>
      </c>
      <c r="E7400" s="263">
        <v>9</v>
      </c>
      <c r="F7400" s="294" t="s">
        <v>126</v>
      </c>
      <c r="G7400" s="294" t="s">
        <v>1231</v>
      </c>
      <c r="H7400" s="298">
        <v>1</v>
      </c>
      <c r="M7400" s="274"/>
    </row>
    <row r="7401" spans="2:13" ht="15" customHeight="1" x14ac:dyDescent="0.25">
      <c r="B7401" s="289">
        <v>6609</v>
      </c>
      <c r="C7401" s="261">
        <v>89</v>
      </c>
      <c r="D7401" s="244" t="s">
        <v>12</v>
      </c>
      <c r="E7401" s="263">
        <v>2</v>
      </c>
      <c r="F7401" s="294" t="s">
        <v>126</v>
      </c>
      <c r="G7401" s="294" t="s">
        <v>420</v>
      </c>
      <c r="H7401" s="298">
        <v>1</v>
      </c>
      <c r="M7401" s="274"/>
    </row>
    <row r="7402" spans="2:13" ht="15" customHeight="1" x14ac:dyDescent="0.25">
      <c r="B7402" s="289">
        <v>6610</v>
      </c>
      <c r="C7402" s="261">
        <v>84</v>
      </c>
      <c r="D7402" s="244" t="s">
        <v>12</v>
      </c>
      <c r="E7402" s="263">
        <v>5</v>
      </c>
      <c r="F7402" s="294" t="s">
        <v>126</v>
      </c>
      <c r="G7402" s="294" t="s">
        <v>1183</v>
      </c>
      <c r="H7402" s="298">
        <v>1</v>
      </c>
      <c r="M7402" s="274"/>
    </row>
    <row r="7403" spans="2:13" ht="15" customHeight="1" x14ac:dyDescent="0.25">
      <c r="B7403" s="289">
        <v>6610</v>
      </c>
      <c r="C7403" s="261">
        <v>89</v>
      </c>
      <c r="D7403" s="244" t="s">
        <v>12</v>
      </c>
      <c r="E7403" s="263">
        <v>2</v>
      </c>
      <c r="F7403" s="294" t="s">
        <v>126</v>
      </c>
      <c r="G7403" s="294" t="s">
        <v>420</v>
      </c>
      <c r="H7403" s="298">
        <v>1</v>
      </c>
      <c r="M7403" s="274"/>
    </row>
    <row r="7404" spans="2:13" ht="15" customHeight="1" x14ac:dyDescent="0.25">
      <c r="B7404" s="289">
        <v>6611</v>
      </c>
      <c r="C7404" s="261">
        <v>83</v>
      </c>
      <c r="D7404" s="244" t="s">
        <v>12</v>
      </c>
      <c r="E7404" s="263">
        <v>2</v>
      </c>
      <c r="F7404" s="294" t="s">
        <v>126</v>
      </c>
      <c r="G7404" s="294" t="s">
        <v>233</v>
      </c>
      <c r="H7404" s="298">
        <v>1</v>
      </c>
      <c r="M7404" s="274"/>
    </row>
    <row r="7405" spans="2:13" ht="15" customHeight="1" x14ac:dyDescent="0.25">
      <c r="B7405" s="289">
        <v>6611</v>
      </c>
      <c r="C7405" s="261">
        <v>99</v>
      </c>
      <c r="D7405" s="244" t="s">
        <v>11</v>
      </c>
      <c r="E7405" s="263">
        <v>2</v>
      </c>
      <c r="F7405" s="294" t="s">
        <v>227</v>
      </c>
      <c r="G7405" s="294" t="s">
        <v>126</v>
      </c>
      <c r="H7405" s="298">
        <v>1</v>
      </c>
      <c r="M7405" s="274"/>
    </row>
    <row r="7406" spans="2:13" ht="15" customHeight="1" x14ac:dyDescent="0.25">
      <c r="B7406" s="289">
        <v>6612</v>
      </c>
      <c r="C7406" s="261">
        <v>83</v>
      </c>
      <c r="D7406" s="244" t="s">
        <v>12</v>
      </c>
      <c r="E7406" s="263">
        <v>10</v>
      </c>
      <c r="F7406" s="294" t="s">
        <v>126</v>
      </c>
      <c r="G7406" s="294" t="s">
        <v>1232</v>
      </c>
      <c r="H7406" s="298">
        <v>1</v>
      </c>
      <c r="M7406" s="274"/>
    </row>
    <row r="7407" spans="2:13" ht="15" customHeight="1" x14ac:dyDescent="0.25">
      <c r="B7407" s="289">
        <v>6612</v>
      </c>
      <c r="C7407" s="261">
        <v>89</v>
      </c>
      <c r="D7407" s="244" t="s">
        <v>12</v>
      </c>
      <c r="E7407" s="263">
        <v>44</v>
      </c>
      <c r="F7407" s="294" t="s">
        <v>126</v>
      </c>
      <c r="G7407" s="294" t="s">
        <v>1233</v>
      </c>
      <c r="H7407" s="298">
        <v>1</v>
      </c>
      <c r="M7407" s="274"/>
    </row>
    <row r="7408" spans="2:13" ht="15" customHeight="1" x14ac:dyDescent="0.25">
      <c r="B7408" s="289">
        <v>6613</v>
      </c>
      <c r="C7408" s="261">
        <v>83</v>
      </c>
      <c r="D7408" s="244" t="s">
        <v>12</v>
      </c>
      <c r="E7408" s="263">
        <v>10</v>
      </c>
      <c r="F7408" s="294" t="s">
        <v>126</v>
      </c>
      <c r="G7408" s="294" t="s">
        <v>1232</v>
      </c>
      <c r="H7408" s="298">
        <v>1</v>
      </c>
      <c r="M7408" s="274"/>
    </row>
    <row r="7409" spans="2:13" ht="15" customHeight="1" x14ac:dyDescent="0.25">
      <c r="B7409" s="289">
        <v>6613</v>
      </c>
      <c r="C7409" s="261">
        <v>89</v>
      </c>
      <c r="D7409" s="244" t="s">
        <v>12</v>
      </c>
      <c r="E7409" s="263">
        <v>44</v>
      </c>
      <c r="F7409" s="294" t="s">
        <v>126</v>
      </c>
      <c r="G7409" s="294" t="s">
        <v>1234</v>
      </c>
      <c r="H7409" s="298">
        <v>1</v>
      </c>
      <c r="M7409" s="274"/>
    </row>
    <row r="7410" spans="2:13" ht="15" customHeight="1" x14ac:dyDescent="0.25">
      <c r="B7410" s="289">
        <v>6614</v>
      </c>
      <c r="C7410" s="261">
        <v>83</v>
      </c>
      <c r="D7410" s="244" t="s">
        <v>12</v>
      </c>
      <c r="E7410" s="263">
        <v>10</v>
      </c>
      <c r="F7410" s="294" t="s">
        <v>126</v>
      </c>
      <c r="G7410" s="294" t="s">
        <v>1232</v>
      </c>
      <c r="H7410" s="298">
        <v>1</v>
      </c>
      <c r="M7410" s="274"/>
    </row>
    <row r="7411" spans="2:13" ht="15" customHeight="1" x14ac:dyDescent="0.25">
      <c r="B7411" s="289">
        <v>6614</v>
      </c>
      <c r="C7411" s="261">
        <v>95</v>
      </c>
      <c r="D7411" s="244" t="s">
        <v>11</v>
      </c>
      <c r="E7411" s="263">
        <v>2</v>
      </c>
      <c r="F7411" s="294" t="s">
        <v>789</v>
      </c>
      <c r="G7411" s="294" t="s">
        <v>126</v>
      </c>
      <c r="H7411" s="298">
        <v>1</v>
      </c>
      <c r="M7411" s="274"/>
    </row>
    <row r="7412" spans="2:13" ht="15" customHeight="1" x14ac:dyDescent="0.25">
      <c r="B7412" s="289">
        <v>6615</v>
      </c>
      <c r="C7412" s="261">
        <v>84</v>
      </c>
      <c r="D7412" s="244" t="s">
        <v>12</v>
      </c>
      <c r="E7412" s="263">
        <v>1</v>
      </c>
      <c r="F7412" s="294" t="s">
        <v>126</v>
      </c>
      <c r="G7412" s="294" t="s">
        <v>139</v>
      </c>
      <c r="H7412" s="298">
        <v>1</v>
      </c>
      <c r="M7412" s="274"/>
    </row>
    <row r="7413" spans="2:13" ht="15" customHeight="1" x14ac:dyDescent="0.25">
      <c r="B7413" s="289">
        <v>6615</v>
      </c>
      <c r="C7413" s="261">
        <v>89</v>
      </c>
      <c r="D7413" s="244" t="s">
        <v>12</v>
      </c>
      <c r="E7413" s="263">
        <v>16</v>
      </c>
      <c r="F7413" s="294" t="s">
        <v>126</v>
      </c>
      <c r="G7413" s="294" t="s">
        <v>1235</v>
      </c>
      <c r="H7413" s="298">
        <v>1</v>
      </c>
      <c r="M7413" s="274"/>
    </row>
    <row r="7414" spans="2:13" ht="15" customHeight="1" x14ac:dyDescent="0.25">
      <c r="B7414" s="289">
        <v>6616</v>
      </c>
      <c r="C7414" s="261">
        <v>83</v>
      </c>
      <c r="D7414" s="244" t="s">
        <v>12</v>
      </c>
      <c r="E7414" s="263">
        <v>9</v>
      </c>
      <c r="F7414" s="294" t="s">
        <v>126</v>
      </c>
      <c r="G7414" s="294" t="s">
        <v>1236</v>
      </c>
      <c r="H7414" s="298">
        <v>1</v>
      </c>
      <c r="M7414" s="274"/>
    </row>
    <row r="7415" spans="2:13" ht="15" customHeight="1" x14ac:dyDescent="0.25">
      <c r="B7415" s="289">
        <v>6616</v>
      </c>
      <c r="C7415" s="261">
        <v>99</v>
      </c>
      <c r="D7415" s="244" t="s">
        <v>12</v>
      </c>
      <c r="E7415" s="263">
        <v>2</v>
      </c>
      <c r="F7415" s="294" t="s">
        <v>126</v>
      </c>
      <c r="G7415" s="294" t="s">
        <v>587</v>
      </c>
      <c r="H7415" s="298">
        <v>1</v>
      </c>
      <c r="M7415" s="274"/>
    </row>
    <row r="7416" spans="2:13" ht="15" customHeight="1" x14ac:dyDescent="0.25">
      <c r="B7416" s="289">
        <v>6617</v>
      </c>
      <c r="C7416" s="261">
        <v>89</v>
      </c>
      <c r="D7416" s="244" t="s">
        <v>11</v>
      </c>
      <c r="E7416" s="263">
        <v>5</v>
      </c>
      <c r="F7416" s="294" t="s">
        <v>1174</v>
      </c>
      <c r="G7416" s="294" t="s">
        <v>126</v>
      </c>
      <c r="H7416" s="298">
        <v>1</v>
      </c>
      <c r="M7416" s="274"/>
    </row>
    <row r="7417" spans="2:13" ht="15" customHeight="1" x14ac:dyDescent="0.25">
      <c r="B7417" s="289">
        <v>6618</v>
      </c>
      <c r="C7417" s="261">
        <v>89</v>
      </c>
      <c r="D7417" s="244" t="s">
        <v>12</v>
      </c>
      <c r="E7417" s="263">
        <v>7</v>
      </c>
      <c r="F7417" s="294" t="s">
        <v>126</v>
      </c>
      <c r="G7417" s="294" t="s">
        <v>1237</v>
      </c>
      <c r="H7417" s="298">
        <v>1</v>
      </c>
      <c r="M7417" s="274"/>
    </row>
    <row r="7418" spans="2:13" ht="15" customHeight="1" x14ac:dyDescent="0.25">
      <c r="B7418" s="289">
        <v>6620</v>
      </c>
      <c r="C7418" s="261">
        <v>83</v>
      </c>
      <c r="D7418" s="244" t="s">
        <v>11</v>
      </c>
      <c r="E7418" s="263">
        <v>16</v>
      </c>
      <c r="F7418" s="294" t="s">
        <v>1238</v>
      </c>
      <c r="G7418" s="294" t="s">
        <v>126</v>
      </c>
      <c r="H7418" s="298">
        <v>1</v>
      </c>
      <c r="M7418" s="274"/>
    </row>
    <row r="7419" spans="2:13" ht="15" customHeight="1" x14ac:dyDescent="0.25">
      <c r="B7419" s="289">
        <v>6621</v>
      </c>
      <c r="C7419" s="261">
        <v>83</v>
      </c>
      <c r="D7419" s="244" t="s">
        <v>11</v>
      </c>
      <c r="E7419" s="263">
        <v>2</v>
      </c>
      <c r="F7419" s="294" t="s">
        <v>431</v>
      </c>
      <c r="G7419" s="294" t="s">
        <v>126</v>
      </c>
      <c r="H7419" s="298">
        <v>1</v>
      </c>
      <c r="M7419" s="274"/>
    </row>
    <row r="7420" spans="2:13" ht="15" customHeight="1" x14ac:dyDescent="0.25">
      <c r="B7420" s="289">
        <v>6622</v>
      </c>
      <c r="C7420" s="261">
        <v>85</v>
      </c>
      <c r="D7420" s="244" t="s">
        <v>11</v>
      </c>
      <c r="E7420" s="263">
        <v>25</v>
      </c>
      <c r="F7420" s="294" t="s">
        <v>1205</v>
      </c>
      <c r="G7420" s="294" t="s">
        <v>126</v>
      </c>
      <c r="H7420" s="298">
        <v>1</v>
      </c>
      <c r="M7420" s="274"/>
    </row>
    <row r="7421" spans="2:13" ht="15" customHeight="1" x14ac:dyDescent="0.25">
      <c r="B7421" s="289">
        <v>6623</v>
      </c>
      <c r="C7421" s="261">
        <v>85</v>
      </c>
      <c r="D7421" s="244" t="s">
        <v>11</v>
      </c>
      <c r="E7421" s="263">
        <v>10</v>
      </c>
      <c r="F7421" s="294" t="s">
        <v>1157</v>
      </c>
      <c r="G7421" s="294" t="s">
        <v>126</v>
      </c>
      <c r="H7421" s="298">
        <v>1</v>
      </c>
      <c r="M7421" s="274"/>
    </row>
    <row r="7422" spans="2:13" ht="15" customHeight="1" x14ac:dyDescent="0.25">
      <c r="B7422" s="289">
        <v>6624</v>
      </c>
      <c r="C7422" s="261">
        <v>86</v>
      </c>
      <c r="D7422" s="244" t="s">
        <v>11</v>
      </c>
      <c r="E7422" s="263">
        <v>14</v>
      </c>
      <c r="F7422" s="294" t="s">
        <v>1215</v>
      </c>
      <c r="G7422" s="294" t="s">
        <v>126</v>
      </c>
      <c r="H7422" s="298">
        <v>1</v>
      </c>
      <c r="M7422" s="274"/>
    </row>
    <row r="7423" spans="2:13" ht="15" customHeight="1" x14ac:dyDescent="0.25">
      <c r="B7423" s="289">
        <v>6625</v>
      </c>
      <c r="C7423" s="261">
        <v>93</v>
      </c>
      <c r="D7423" s="244" t="s">
        <v>12</v>
      </c>
      <c r="E7423" s="263">
        <v>9</v>
      </c>
      <c r="F7423" s="294" t="s">
        <v>126</v>
      </c>
      <c r="G7423" s="294" t="s">
        <v>1239</v>
      </c>
      <c r="H7423" s="298">
        <v>1</v>
      </c>
      <c r="M7423" s="274"/>
    </row>
    <row r="7424" spans="2:13" ht="15" customHeight="1" x14ac:dyDescent="0.25">
      <c r="B7424" s="289">
        <v>6625</v>
      </c>
      <c r="C7424" s="261">
        <v>100</v>
      </c>
      <c r="D7424" s="244" t="s">
        <v>12</v>
      </c>
      <c r="E7424" s="263">
        <v>7</v>
      </c>
      <c r="F7424" s="294" t="s">
        <v>126</v>
      </c>
      <c r="G7424" s="294" t="s">
        <v>1240</v>
      </c>
      <c r="H7424" s="298">
        <v>1</v>
      </c>
      <c r="M7424" s="274"/>
    </row>
    <row r="7425" spans="2:13" ht="15" customHeight="1" x14ac:dyDescent="0.25">
      <c r="B7425" s="289">
        <v>6626</v>
      </c>
      <c r="C7425" s="261">
        <v>82</v>
      </c>
      <c r="D7425" s="244" t="s">
        <v>12</v>
      </c>
      <c r="E7425" s="263">
        <v>1</v>
      </c>
      <c r="F7425" s="294" t="s">
        <v>126</v>
      </c>
      <c r="G7425" s="294" t="s">
        <v>426</v>
      </c>
      <c r="H7425" s="298">
        <v>1</v>
      </c>
      <c r="M7425" s="274"/>
    </row>
    <row r="7426" spans="2:13" ht="15" customHeight="1" x14ac:dyDescent="0.25">
      <c r="B7426" s="289">
        <v>6628</v>
      </c>
      <c r="C7426" s="261">
        <v>87</v>
      </c>
      <c r="D7426" s="244" t="s">
        <v>12</v>
      </c>
      <c r="E7426" s="263">
        <v>1</v>
      </c>
      <c r="F7426" s="294" t="s">
        <v>126</v>
      </c>
      <c r="G7426" s="294" t="s">
        <v>437</v>
      </c>
      <c r="H7426" s="298">
        <v>1</v>
      </c>
      <c r="M7426" s="274"/>
    </row>
    <row r="7427" spans="2:13" ht="15" customHeight="1" x14ac:dyDescent="0.25">
      <c r="B7427" s="289">
        <v>6629</v>
      </c>
      <c r="C7427" s="261">
        <v>87</v>
      </c>
      <c r="D7427" s="244" t="s">
        <v>11</v>
      </c>
      <c r="E7427" s="263">
        <v>2</v>
      </c>
      <c r="F7427" s="294" t="s">
        <v>587</v>
      </c>
      <c r="G7427" s="294" t="s">
        <v>126</v>
      </c>
      <c r="H7427" s="298">
        <v>1</v>
      </c>
      <c r="M7427" s="274"/>
    </row>
    <row r="7428" spans="2:13" ht="15" customHeight="1" x14ac:dyDescent="0.25">
      <c r="B7428" s="289">
        <v>6630</v>
      </c>
      <c r="C7428" s="261">
        <v>89</v>
      </c>
      <c r="D7428" s="244" t="s">
        <v>11</v>
      </c>
      <c r="E7428" s="263">
        <v>24</v>
      </c>
      <c r="F7428" s="294" t="s">
        <v>1241</v>
      </c>
      <c r="G7428" s="294" t="s">
        <v>126</v>
      </c>
      <c r="H7428" s="298">
        <v>1</v>
      </c>
      <c r="M7428" s="274"/>
    </row>
    <row r="7429" spans="2:13" ht="15" customHeight="1" x14ac:dyDescent="0.25">
      <c r="B7429" s="289">
        <v>6631</v>
      </c>
      <c r="C7429" s="261">
        <v>89</v>
      </c>
      <c r="D7429" s="244" t="s">
        <v>11</v>
      </c>
      <c r="E7429" s="263">
        <v>1</v>
      </c>
      <c r="F7429" s="294" t="s">
        <v>426</v>
      </c>
      <c r="G7429" s="294" t="s">
        <v>126</v>
      </c>
      <c r="H7429" s="298">
        <v>1</v>
      </c>
      <c r="M7429" s="274"/>
    </row>
    <row r="7430" spans="2:13" ht="15" customHeight="1" x14ac:dyDescent="0.25">
      <c r="B7430" s="289">
        <v>6632</v>
      </c>
      <c r="C7430" s="261">
        <v>89</v>
      </c>
      <c r="D7430" s="244" t="s">
        <v>12</v>
      </c>
      <c r="E7430" s="263">
        <v>4</v>
      </c>
      <c r="F7430" s="294" t="s">
        <v>126</v>
      </c>
      <c r="G7430" s="294" t="s">
        <v>1226</v>
      </c>
      <c r="H7430" s="298">
        <v>1</v>
      </c>
      <c r="M7430" s="274"/>
    </row>
    <row r="7431" spans="2:13" ht="15" customHeight="1" x14ac:dyDescent="0.25">
      <c r="B7431" s="289">
        <v>6633</v>
      </c>
      <c r="C7431" s="261">
        <v>90</v>
      </c>
      <c r="D7431" s="244" t="s">
        <v>11</v>
      </c>
      <c r="E7431" s="263">
        <v>6</v>
      </c>
      <c r="F7431" s="294" t="s">
        <v>1242</v>
      </c>
      <c r="G7431" s="294" t="s">
        <v>126</v>
      </c>
      <c r="H7431" s="298">
        <v>1</v>
      </c>
      <c r="M7431" s="274"/>
    </row>
    <row r="7432" spans="2:13" ht="15" customHeight="1" x14ac:dyDescent="0.25">
      <c r="B7432" s="289">
        <v>6635</v>
      </c>
      <c r="C7432" s="261">
        <v>89</v>
      </c>
      <c r="D7432" s="244" t="s">
        <v>12</v>
      </c>
      <c r="E7432" s="263">
        <v>1</v>
      </c>
      <c r="F7432" s="294" t="s">
        <v>126</v>
      </c>
      <c r="G7432" s="294" t="s">
        <v>426</v>
      </c>
      <c r="H7432" s="298">
        <v>1</v>
      </c>
      <c r="M7432" s="274"/>
    </row>
    <row r="7433" spans="2:13" ht="15" customHeight="1" x14ac:dyDescent="0.25">
      <c r="B7433" s="289">
        <v>6636</v>
      </c>
      <c r="C7433" s="261">
        <v>89</v>
      </c>
      <c r="D7433" s="244" t="s">
        <v>12</v>
      </c>
      <c r="E7433" s="263">
        <v>1</v>
      </c>
      <c r="F7433" s="294" t="s">
        <v>126</v>
      </c>
      <c r="G7433" s="294" t="s">
        <v>426</v>
      </c>
      <c r="H7433" s="298">
        <v>1</v>
      </c>
      <c r="M7433" s="274"/>
    </row>
    <row r="7434" spans="2:13" ht="15" customHeight="1" x14ac:dyDescent="0.25">
      <c r="B7434" s="289">
        <v>6638</v>
      </c>
      <c r="C7434" s="261">
        <v>86</v>
      </c>
      <c r="D7434" s="244" t="s">
        <v>11</v>
      </c>
      <c r="E7434" s="263">
        <v>4</v>
      </c>
      <c r="F7434" s="294" t="s">
        <v>1176</v>
      </c>
      <c r="G7434" s="294" t="s">
        <v>126</v>
      </c>
      <c r="H7434" s="298">
        <v>1</v>
      </c>
      <c r="M7434" s="274"/>
    </row>
    <row r="7435" spans="2:13" ht="15" customHeight="1" x14ac:dyDescent="0.25">
      <c r="B7435" s="289">
        <v>6639</v>
      </c>
      <c r="C7435" s="261">
        <v>83</v>
      </c>
      <c r="D7435" s="244" t="s">
        <v>11</v>
      </c>
      <c r="E7435" s="263">
        <v>29</v>
      </c>
      <c r="F7435" s="294" t="s">
        <v>1243</v>
      </c>
      <c r="G7435" s="294" t="s">
        <v>126</v>
      </c>
      <c r="H7435" s="298">
        <v>1</v>
      </c>
      <c r="M7435" s="274"/>
    </row>
    <row r="7436" spans="2:13" ht="15" customHeight="1" x14ac:dyDescent="0.25">
      <c r="B7436" s="289">
        <v>6640</v>
      </c>
      <c r="C7436" s="261">
        <v>83</v>
      </c>
      <c r="D7436" s="244" t="s">
        <v>11</v>
      </c>
      <c r="E7436" s="263">
        <v>14</v>
      </c>
      <c r="F7436" s="294" t="s">
        <v>1244</v>
      </c>
      <c r="G7436" s="294" t="s">
        <v>126</v>
      </c>
      <c r="H7436" s="298">
        <v>1</v>
      </c>
      <c r="M7436" s="274"/>
    </row>
    <row r="7437" spans="2:13" ht="15" customHeight="1" x14ac:dyDescent="0.25">
      <c r="B7437" s="289">
        <v>6641</v>
      </c>
      <c r="C7437" s="261">
        <v>83</v>
      </c>
      <c r="D7437" s="244" t="s">
        <v>11</v>
      </c>
      <c r="E7437" s="263">
        <v>10</v>
      </c>
      <c r="F7437" s="294" t="s">
        <v>1245</v>
      </c>
      <c r="G7437" s="294" t="s">
        <v>126</v>
      </c>
      <c r="H7437" s="298">
        <v>1</v>
      </c>
      <c r="M7437" s="274"/>
    </row>
    <row r="7438" spans="2:13" ht="15" customHeight="1" x14ac:dyDescent="0.25">
      <c r="B7438" s="289">
        <v>6642</v>
      </c>
      <c r="C7438" s="261">
        <v>83</v>
      </c>
      <c r="D7438" s="244" t="s">
        <v>11</v>
      </c>
      <c r="E7438" s="263">
        <v>2</v>
      </c>
      <c r="F7438" s="294" t="s">
        <v>431</v>
      </c>
      <c r="G7438" s="294" t="s">
        <v>126</v>
      </c>
      <c r="H7438" s="298">
        <v>1</v>
      </c>
      <c r="M7438" s="274"/>
    </row>
    <row r="7439" spans="2:13" ht="15" customHeight="1" x14ac:dyDescent="0.25">
      <c r="B7439" s="289">
        <v>6643</v>
      </c>
      <c r="C7439" s="261">
        <v>83</v>
      </c>
      <c r="D7439" s="244" t="s">
        <v>11</v>
      </c>
      <c r="E7439" s="263">
        <v>2</v>
      </c>
      <c r="F7439" s="294" t="s">
        <v>431</v>
      </c>
      <c r="G7439" s="294" t="s">
        <v>126</v>
      </c>
      <c r="H7439" s="298">
        <v>1</v>
      </c>
      <c r="M7439" s="274"/>
    </row>
    <row r="7440" spans="2:13" ht="15" customHeight="1" x14ac:dyDescent="0.25">
      <c r="B7440" s="289">
        <v>6644</v>
      </c>
      <c r="C7440" s="261">
        <v>83</v>
      </c>
      <c r="D7440" s="244" t="s">
        <v>11</v>
      </c>
      <c r="E7440" s="263">
        <v>2</v>
      </c>
      <c r="F7440" s="294" t="s">
        <v>431</v>
      </c>
      <c r="G7440" s="294" t="s">
        <v>126</v>
      </c>
      <c r="H7440" s="298">
        <v>1</v>
      </c>
      <c r="M7440" s="274"/>
    </row>
    <row r="7441" spans="2:13" ht="15" customHeight="1" x14ac:dyDescent="0.25">
      <c r="B7441" s="289">
        <v>6644</v>
      </c>
      <c r="C7441" s="261">
        <v>89</v>
      </c>
      <c r="D7441" s="244" t="s">
        <v>11</v>
      </c>
      <c r="E7441" s="263">
        <v>5</v>
      </c>
      <c r="F7441" s="294" t="s">
        <v>1174</v>
      </c>
      <c r="G7441" s="294" t="s">
        <v>126</v>
      </c>
      <c r="H7441" s="298">
        <v>1</v>
      </c>
      <c r="M7441" s="274"/>
    </row>
    <row r="7442" spans="2:13" ht="15" customHeight="1" x14ac:dyDescent="0.25">
      <c r="B7442" s="289">
        <v>6645</v>
      </c>
      <c r="C7442" s="261">
        <v>95</v>
      </c>
      <c r="D7442" s="244" t="s">
        <v>11</v>
      </c>
      <c r="E7442" s="263">
        <v>2</v>
      </c>
      <c r="F7442" s="294" t="s">
        <v>789</v>
      </c>
      <c r="G7442" s="294" t="s">
        <v>126</v>
      </c>
      <c r="H7442" s="298">
        <v>1</v>
      </c>
      <c r="M7442" s="274"/>
    </row>
    <row r="7443" spans="2:13" ht="15" customHeight="1" x14ac:dyDescent="0.25">
      <c r="B7443" s="289">
        <v>6646</v>
      </c>
      <c r="C7443" s="261">
        <v>86</v>
      </c>
      <c r="D7443" s="244" t="s">
        <v>12</v>
      </c>
      <c r="E7443" s="263">
        <v>1</v>
      </c>
      <c r="F7443" s="294" t="s">
        <v>126</v>
      </c>
      <c r="G7443" s="294" t="s">
        <v>426</v>
      </c>
      <c r="H7443" s="298">
        <v>1</v>
      </c>
      <c r="M7443" s="274"/>
    </row>
    <row r="7444" spans="2:13" ht="15" customHeight="1" x14ac:dyDescent="0.25">
      <c r="B7444" s="289">
        <v>6647</v>
      </c>
      <c r="C7444" s="261">
        <v>83</v>
      </c>
      <c r="D7444" s="244" t="s">
        <v>12</v>
      </c>
      <c r="E7444" s="263">
        <v>13</v>
      </c>
      <c r="F7444" s="294" t="s">
        <v>126</v>
      </c>
      <c r="G7444" s="294" t="s">
        <v>1246</v>
      </c>
      <c r="H7444" s="298">
        <v>1</v>
      </c>
      <c r="M7444" s="274"/>
    </row>
    <row r="7445" spans="2:13" ht="15" customHeight="1" x14ac:dyDescent="0.25">
      <c r="B7445" s="289">
        <v>6647</v>
      </c>
      <c r="C7445" s="261">
        <v>89</v>
      </c>
      <c r="D7445" s="244" t="s">
        <v>11</v>
      </c>
      <c r="E7445" s="263">
        <v>1</v>
      </c>
      <c r="F7445" s="294" t="s">
        <v>426</v>
      </c>
      <c r="G7445" s="294" t="s">
        <v>126</v>
      </c>
      <c r="H7445" s="298">
        <v>1</v>
      </c>
      <c r="M7445" s="274"/>
    </row>
    <row r="7446" spans="2:13" ht="15" customHeight="1" x14ac:dyDescent="0.25">
      <c r="B7446" s="289">
        <v>6648</v>
      </c>
      <c r="C7446" s="261">
        <v>83</v>
      </c>
      <c r="D7446" s="244" t="s">
        <v>12</v>
      </c>
      <c r="E7446" s="263">
        <v>8</v>
      </c>
      <c r="F7446" s="294" t="s">
        <v>126</v>
      </c>
      <c r="G7446" s="294" t="s">
        <v>1247</v>
      </c>
      <c r="H7446" s="298">
        <v>1</v>
      </c>
      <c r="M7446" s="274"/>
    </row>
    <row r="7447" spans="2:13" ht="15" customHeight="1" x14ac:dyDescent="0.25">
      <c r="B7447" s="289">
        <v>6648</v>
      </c>
      <c r="C7447" s="261">
        <v>89</v>
      </c>
      <c r="D7447" s="244" t="s">
        <v>12</v>
      </c>
      <c r="E7447" s="263">
        <v>36</v>
      </c>
      <c r="F7447" s="294" t="s">
        <v>126</v>
      </c>
      <c r="G7447" s="294" t="s">
        <v>1248</v>
      </c>
      <c r="H7447" s="298">
        <v>1</v>
      </c>
      <c r="M7447" s="274"/>
    </row>
    <row r="7448" spans="2:13" ht="15" customHeight="1" x14ac:dyDescent="0.25">
      <c r="B7448" s="289">
        <v>6649</v>
      </c>
      <c r="C7448" s="261">
        <v>84</v>
      </c>
      <c r="D7448" s="244" t="s">
        <v>11</v>
      </c>
      <c r="E7448" s="263">
        <v>15</v>
      </c>
      <c r="F7448" s="294" t="s">
        <v>1200</v>
      </c>
      <c r="G7448" s="294" t="s">
        <v>126</v>
      </c>
      <c r="H7448" s="298">
        <v>1</v>
      </c>
      <c r="M7448" s="274"/>
    </row>
    <row r="7449" spans="2:13" ht="15" customHeight="1" x14ac:dyDescent="0.25">
      <c r="B7449" s="289">
        <v>6650</v>
      </c>
      <c r="C7449" s="261">
        <v>84</v>
      </c>
      <c r="D7449" s="244" t="s">
        <v>11</v>
      </c>
      <c r="E7449" s="263">
        <v>2</v>
      </c>
      <c r="F7449" s="294" t="s">
        <v>587</v>
      </c>
      <c r="G7449" s="294" t="s">
        <v>126</v>
      </c>
      <c r="H7449" s="298">
        <v>1</v>
      </c>
      <c r="M7449" s="274"/>
    </row>
    <row r="7450" spans="2:13" ht="15" customHeight="1" x14ac:dyDescent="0.25">
      <c r="B7450" s="289">
        <v>6651</v>
      </c>
      <c r="C7450" s="261">
        <v>84</v>
      </c>
      <c r="D7450" s="244" t="s">
        <v>11</v>
      </c>
      <c r="E7450" s="263">
        <v>1</v>
      </c>
      <c r="F7450" s="294" t="s">
        <v>235</v>
      </c>
      <c r="G7450" s="294" t="s">
        <v>126</v>
      </c>
      <c r="H7450" s="298">
        <v>1</v>
      </c>
      <c r="M7450" s="274"/>
    </row>
    <row r="7451" spans="2:13" ht="15" customHeight="1" x14ac:dyDescent="0.25">
      <c r="B7451" s="289">
        <v>6652</v>
      </c>
      <c r="C7451" s="261">
        <v>85</v>
      </c>
      <c r="D7451" s="244" t="s">
        <v>11</v>
      </c>
      <c r="E7451" s="263">
        <v>2</v>
      </c>
      <c r="F7451" s="294" t="s">
        <v>233</v>
      </c>
      <c r="G7451" s="294" t="s">
        <v>126</v>
      </c>
      <c r="H7451" s="298">
        <v>1</v>
      </c>
      <c r="M7451" s="274"/>
    </row>
    <row r="7452" spans="2:13" ht="15" customHeight="1" x14ac:dyDescent="0.25">
      <c r="B7452" s="289">
        <v>6653</v>
      </c>
      <c r="C7452" s="261">
        <v>89</v>
      </c>
      <c r="D7452" s="244" t="s">
        <v>11</v>
      </c>
      <c r="E7452" s="263">
        <v>2</v>
      </c>
      <c r="F7452" s="294" t="s">
        <v>454</v>
      </c>
      <c r="G7452" s="294" t="s">
        <v>126</v>
      </c>
      <c r="H7452" s="298">
        <v>1</v>
      </c>
      <c r="M7452" s="274"/>
    </row>
    <row r="7453" spans="2:13" ht="15" customHeight="1" x14ac:dyDescent="0.25">
      <c r="B7453" s="289">
        <v>6654</v>
      </c>
      <c r="C7453" s="261">
        <v>89</v>
      </c>
      <c r="D7453" s="244" t="s">
        <v>11</v>
      </c>
      <c r="E7453" s="263">
        <v>2</v>
      </c>
      <c r="F7453" s="294" t="s">
        <v>454</v>
      </c>
      <c r="G7453" s="294" t="s">
        <v>126</v>
      </c>
      <c r="H7453" s="298">
        <v>1</v>
      </c>
      <c r="M7453" s="274"/>
    </row>
    <row r="7454" spans="2:13" ht="15" customHeight="1" x14ac:dyDescent="0.25">
      <c r="B7454" s="289">
        <v>6654</v>
      </c>
      <c r="C7454" s="261">
        <v>98</v>
      </c>
      <c r="D7454" s="244" t="s">
        <v>11</v>
      </c>
      <c r="E7454" s="263">
        <v>2</v>
      </c>
      <c r="F7454" s="294" t="s">
        <v>136</v>
      </c>
      <c r="G7454" s="294" t="s">
        <v>126</v>
      </c>
      <c r="H7454" s="298">
        <v>1</v>
      </c>
      <c r="M7454" s="274"/>
    </row>
    <row r="7455" spans="2:13" ht="15" customHeight="1" x14ac:dyDescent="0.25">
      <c r="B7455" s="289">
        <v>6655</v>
      </c>
      <c r="C7455" s="261">
        <v>89</v>
      </c>
      <c r="D7455" s="244" t="s">
        <v>12</v>
      </c>
      <c r="E7455" s="263">
        <v>10</v>
      </c>
      <c r="F7455" s="294" t="s">
        <v>126</v>
      </c>
      <c r="G7455" s="294" t="s">
        <v>1249</v>
      </c>
      <c r="H7455" s="298">
        <v>1</v>
      </c>
      <c r="M7455" s="274"/>
    </row>
    <row r="7456" spans="2:13" ht="15" customHeight="1" x14ac:dyDescent="0.25">
      <c r="B7456" s="289">
        <v>6656</v>
      </c>
      <c r="C7456" s="261">
        <v>91</v>
      </c>
      <c r="D7456" s="244" t="s">
        <v>12</v>
      </c>
      <c r="E7456" s="263">
        <v>9</v>
      </c>
      <c r="F7456" s="294" t="s">
        <v>126</v>
      </c>
      <c r="G7456" s="294" t="s">
        <v>1250</v>
      </c>
      <c r="H7456" s="298">
        <v>1</v>
      </c>
      <c r="M7456" s="274"/>
    </row>
    <row r="7457" spans="2:13" ht="15" customHeight="1" x14ac:dyDescent="0.25">
      <c r="B7457" s="289">
        <v>6657</v>
      </c>
      <c r="C7457" s="261">
        <v>84</v>
      </c>
      <c r="D7457" s="244" t="s">
        <v>12</v>
      </c>
      <c r="E7457" s="263">
        <v>6</v>
      </c>
      <c r="F7457" s="294" t="s">
        <v>126</v>
      </c>
      <c r="G7457" s="294" t="s">
        <v>1251</v>
      </c>
      <c r="H7457" s="298">
        <v>1</v>
      </c>
      <c r="M7457" s="274"/>
    </row>
    <row r="7458" spans="2:13" ht="15" customHeight="1" x14ac:dyDescent="0.25">
      <c r="B7458" s="289">
        <v>6657</v>
      </c>
      <c r="C7458" s="261">
        <v>89</v>
      </c>
      <c r="D7458" s="244" t="s">
        <v>12</v>
      </c>
      <c r="E7458" s="263">
        <v>3</v>
      </c>
      <c r="F7458" s="294" t="s">
        <v>126</v>
      </c>
      <c r="G7458" s="294" t="s">
        <v>1188</v>
      </c>
      <c r="H7458" s="298">
        <v>1</v>
      </c>
      <c r="M7458" s="274"/>
    </row>
    <row r="7459" spans="2:13" ht="15" customHeight="1" x14ac:dyDescent="0.25">
      <c r="B7459" s="289">
        <v>6658</v>
      </c>
      <c r="C7459" s="261">
        <v>84</v>
      </c>
      <c r="D7459" s="244" t="s">
        <v>12</v>
      </c>
      <c r="E7459" s="263">
        <v>6</v>
      </c>
      <c r="F7459" s="294" t="s">
        <v>126</v>
      </c>
      <c r="G7459" s="294" t="s">
        <v>1252</v>
      </c>
      <c r="H7459" s="298">
        <v>1</v>
      </c>
      <c r="M7459" s="274"/>
    </row>
    <row r="7460" spans="2:13" ht="15" customHeight="1" x14ac:dyDescent="0.25">
      <c r="B7460" s="289">
        <v>6658</v>
      </c>
      <c r="C7460" s="261">
        <v>89</v>
      </c>
      <c r="D7460" s="244" t="s">
        <v>12</v>
      </c>
      <c r="E7460" s="263">
        <v>11</v>
      </c>
      <c r="F7460" s="294" t="s">
        <v>126</v>
      </c>
      <c r="G7460" s="294" t="s">
        <v>1253</v>
      </c>
      <c r="H7460" s="298">
        <v>1</v>
      </c>
      <c r="M7460" s="274"/>
    </row>
    <row r="7461" spans="2:13" ht="15" customHeight="1" x14ac:dyDescent="0.25">
      <c r="B7461" s="289">
        <v>6659</v>
      </c>
      <c r="C7461" s="261">
        <v>84</v>
      </c>
      <c r="D7461" s="244" t="s">
        <v>12</v>
      </c>
      <c r="E7461" s="263">
        <v>1</v>
      </c>
      <c r="F7461" s="294" t="s">
        <v>126</v>
      </c>
      <c r="G7461" s="294" t="s">
        <v>437</v>
      </c>
      <c r="H7461" s="298">
        <v>1</v>
      </c>
      <c r="M7461" s="274"/>
    </row>
    <row r="7462" spans="2:13" ht="15" customHeight="1" x14ac:dyDescent="0.25">
      <c r="B7462" s="289">
        <v>6659</v>
      </c>
      <c r="C7462" s="261">
        <v>89</v>
      </c>
      <c r="D7462" s="244" t="s">
        <v>11</v>
      </c>
      <c r="E7462" s="263">
        <v>5</v>
      </c>
      <c r="F7462" s="294" t="s">
        <v>1174</v>
      </c>
      <c r="G7462" s="294" t="s">
        <v>126</v>
      </c>
      <c r="H7462" s="298">
        <v>1</v>
      </c>
      <c r="M7462" s="274"/>
    </row>
    <row r="7463" spans="2:13" ht="15" customHeight="1" x14ac:dyDescent="0.25">
      <c r="B7463" s="289">
        <v>6660</v>
      </c>
      <c r="C7463" s="261">
        <v>84</v>
      </c>
      <c r="D7463" s="244" t="s">
        <v>12</v>
      </c>
      <c r="E7463" s="263">
        <v>1</v>
      </c>
      <c r="F7463" s="294" t="s">
        <v>126</v>
      </c>
      <c r="G7463" s="294" t="s">
        <v>437</v>
      </c>
      <c r="H7463" s="298">
        <v>1</v>
      </c>
      <c r="M7463" s="274"/>
    </row>
    <row r="7464" spans="2:13" ht="15" customHeight="1" x14ac:dyDescent="0.25">
      <c r="B7464" s="289">
        <v>6660</v>
      </c>
      <c r="C7464" s="261">
        <v>89</v>
      </c>
      <c r="D7464" s="244" t="s">
        <v>12</v>
      </c>
      <c r="E7464" s="263">
        <v>4</v>
      </c>
      <c r="F7464" s="294" t="s">
        <v>126</v>
      </c>
      <c r="G7464" s="294" t="s">
        <v>1175</v>
      </c>
      <c r="H7464" s="298">
        <v>1</v>
      </c>
      <c r="M7464" s="274"/>
    </row>
    <row r="7465" spans="2:13" ht="15" customHeight="1" x14ac:dyDescent="0.25">
      <c r="B7465" s="289">
        <v>6661</v>
      </c>
      <c r="C7465" s="261">
        <v>84</v>
      </c>
      <c r="D7465" s="244" t="s">
        <v>12</v>
      </c>
      <c r="E7465" s="263">
        <v>1</v>
      </c>
      <c r="F7465" s="294" t="s">
        <v>126</v>
      </c>
      <c r="G7465" s="294" t="s">
        <v>437</v>
      </c>
      <c r="H7465" s="298">
        <v>1</v>
      </c>
      <c r="M7465" s="274"/>
    </row>
    <row r="7466" spans="2:13" ht="15" customHeight="1" x14ac:dyDescent="0.25">
      <c r="B7466" s="289">
        <v>6661</v>
      </c>
      <c r="C7466" s="261">
        <v>89</v>
      </c>
      <c r="D7466" s="244" t="s">
        <v>12</v>
      </c>
      <c r="E7466" s="263">
        <v>31</v>
      </c>
      <c r="F7466" s="294" t="s">
        <v>126</v>
      </c>
      <c r="G7466" s="294" t="s">
        <v>1254</v>
      </c>
      <c r="H7466" s="298">
        <v>1</v>
      </c>
      <c r="M7466" s="274"/>
    </row>
    <row r="7467" spans="2:13" ht="15" customHeight="1" x14ac:dyDescent="0.25">
      <c r="B7467" s="289">
        <v>6662</v>
      </c>
      <c r="C7467" s="261">
        <v>85</v>
      </c>
      <c r="D7467" s="244" t="s">
        <v>11</v>
      </c>
      <c r="E7467" s="263">
        <v>21</v>
      </c>
      <c r="F7467" s="294" t="s">
        <v>1255</v>
      </c>
      <c r="G7467" s="294" t="s">
        <v>126</v>
      </c>
      <c r="H7467" s="298">
        <v>1</v>
      </c>
      <c r="M7467" s="274"/>
    </row>
    <row r="7468" spans="2:13" ht="15" customHeight="1" x14ac:dyDescent="0.25">
      <c r="B7468" s="289">
        <v>6663</v>
      </c>
      <c r="C7468" s="261">
        <v>85</v>
      </c>
      <c r="D7468" s="244" t="s">
        <v>11</v>
      </c>
      <c r="E7468" s="263">
        <v>10</v>
      </c>
      <c r="F7468" s="294" t="s">
        <v>1157</v>
      </c>
      <c r="G7468" s="294" t="s">
        <v>126</v>
      </c>
      <c r="H7468" s="298">
        <v>1</v>
      </c>
      <c r="M7468" s="274"/>
    </row>
    <row r="7469" spans="2:13" ht="15" customHeight="1" x14ac:dyDescent="0.25">
      <c r="B7469" s="289">
        <v>6664</v>
      </c>
      <c r="C7469" s="261">
        <v>85</v>
      </c>
      <c r="D7469" s="244" t="s">
        <v>11</v>
      </c>
      <c r="E7469" s="263">
        <v>2</v>
      </c>
      <c r="F7469" s="294" t="s">
        <v>233</v>
      </c>
      <c r="G7469" s="294" t="s">
        <v>126</v>
      </c>
      <c r="H7469" s="298">
        <v>1</v>
      </c>
      <c r="M7469" s="274"/>
    </row>
    <row r="7470" spans="2:13" ht="15" customHeight="1" x14ac:dyDescent="0.25">
      <c r="B7470" s="289">
        <v>6665</v>
      </c>
      <c r="C7470" s="261">
        <v>89</v>
      </c>
      <c r="D7470" s="244" t="s">
        <v>12</v>
      </c>
      <c r="E7470" s="263">
        <v>9</v>
      </c>
      <c r="F7470" s="294" t="s">
        <v>126</v>
      </c>
      <c r="G7470" s="294" t="s">
        <v>1256</v>
      </c>
      <c r="H7470" s="298">
        <v>1</v>
      </c>
      <c r="M7470" s="274"/>
    </row>
    <row r="7471" spans="2:13" ht="15" customHeight="1" x14ac:dyDescent="0.25">
      <c r="B7471" s="289">
        <v>6666</v>
      </c>
      <c r="C7471" s="261">
        <v>89</v>
      </c>
      <c r="D7471" s="244" t="s">
        <v>11</v>
      </c>
      <c r="E7471" s="263">
        <v>1</v>
      </c>
      <c r="F7471" s="294" t="s">
        <v>426</v>
      </c>
      <c r="G7471" s="294" t="s">
        <v>126</v>
      </c>
      <c r="H7471" s="298">
        <v>1</v>
      </c>
      <c r="M7471" s="274"/>
    </row>
    <row r="7472" spans="2:13" ht="15" customHeight="1" x14ac:dyDescent="0.25">
      <c r="B7472" s="289">
        <v>6667</v>
      </c>
      <c r="C7472" s="261">
        <v>89</v>
      </c>
      <c r="D7472" s="244" t="s">
        <v>12</v>
      </c>
      <c r="E7472" s="263">
        <v>6</v>
      </c>
      <c r="F7472" s="294" t="s">
        <v>126</v>
      </c>
      <c r="G7472" s="294" t="s">
        <v>1257</v>
      </c>
      <c r="H7472" s="298">
        <v>1</v>
      </c>
      <c r="M7472" s="274"/>
    </row>
    <row r="7473" spans="2:13" ht="15" customHeight="1" x14ac:dyDescent="0.25">
      <c r="B7473" s="289">
        <v>6669</v>
      </c>
      <c r="C7473" s="261">
        <v>86</v>
      </c>
      <c r="D7473" s="244" t="s">
        <v>11</v>
      </c>
      <c r="E7473" s="263">
        <v>8</v>
      </c>
      <c r="F7473" s="294" t="s">
        <v>1168</v>
      </c>
      <c r="G7473" s="294" t="s">
        <v>126</v>
      </c>
      <c r="H7473" s="298">
        <v>1</v>
      </c>
      <c r="M7473" s="274"/>
    </row>
    <row r="7474" spans="2:13" ht="15" customHeight="1" x14ac:dyDescent="0.25">
      <c r="B7474" s="289">
        <v>6670</v>
      </c>
      <c r="C7474" s="261">
        <v>87</v>
      </c>
      <c r="D7474" s="244" t="s">
        <v>11</v>
      </c>
      <c r="E7474" s="263">
        <v>1</v>
      </c>
      <c r="F7474" s="294" t="s">
        <v>235</v>
      </c>
      <c r="G7474" s="294" t="s">
        <v>126</v>
      </c>
      <c r="H7474" s="298">
        <v>1</v>
      </c>
      <c r="M7474" s="274"/>
    </row>
    <row r="7475" spans="2:13" ht="15" customHeight="1" x14ac:dyDescent="0.25">
      <c r="B7475" s="289">
        <v>6671</v>
      </c>
      <c r="C7475" s="261">
        <v>91</v>
      </c>
      <c r="D7475" s="244" t="s">
        <v>11</v>
      </c>
      <c r="E7475" s="263">
        <v>16</v>
      </c>
      <c r="F7475" s="294" t="s">
        <v>1258</v>
      </c>
      <c r="G7475" s="294" t="s">
        <v>126</v>
      </c>
      <c r="H7475" s="298">
        <v>1</v>
      </c>
      <c r="M7475" s="274"/>
    </row>
    <row r="7476" spans="2:13" ht="15" customHeight="1" x14ac:dyDescent="0.25">
      <c r="B7476" s="289">
        <v>6672</v>
      </c>
      <c r="C7476" s="261">
        <v>89</v>
      </c>
      <c r="D7476" s="244" t="s">
        <v>12</v>
      </c>
      <c r="E7476" s="263">
        <v>1</v>
      </c>
      <c r="F7476" s="294" t="s">
        <v>126</v>
      </c>
      <c r="G7476" s="294" t="s">
        <v>426</v>
      </c>
      <c r="H7476" s="298">
        <v>1</v>
      </c>
      <c r="M7476" s="274"/>
    </row>
    <row r="7477" spans="2:13" ht="15" customHeight="1" x14ac:dyDescent="0.25">
      <c r="B7477" s="289">
        <v>6673</v>
      </c>
      <c r="C7477" s="261">
        <v>89</v>
      </c>
      <c r="D7477" s="244" t="s">
        <v>11</v>
      </c>
      <c r="E7477" s="263">
        <v>10</v>
      </c>
      <c r="F7477" s="294" t="s">
        <v>1259</v>
      </c>
      <c r="G7477" s="294" t="s">
        <v>126</v>
      </c>
      <c r="H7477" s="298">
        <v>1</v>
      </c>
      <c r="M7477" s="274"/>
    </row>
    <row r="7478" spans="2:13" ht="15" customHeight="1" x14ac:dyDescent="0.25">
      <c r="B7478" s="289">
        <v>6674</v>
      </c>
      <c r="C7478" s="261">
        <v>89</v>
      </c>
      <c r="D7478" s="244" t="s">
        <v>12</v>
      </c>
      <c r="E7478" s="263">
        <v>42</v>
      </c>
      <c r="F7478" s="294" t="s">
        <v>126</v>
      </c>
      <c r="G7478" s="294" t="s">
        <v>1260</v>
      </c>
      <c r="H7478" s="298">
        <v>1</v>
      </c>
      <c r="M7478" s="274"/>
    </row>
    <row r="7479" spans="2:13" ht="15" customHeight="1" x14ac:dyDescent="0.25">
      <c r="B7479" s="289">
        <v>6675</v>
      </c>
      <c r="C7479" s="261">
        <v>89</v>
      </c>
      <c r="D7479" s="244" t="s">
        <v>12</v>
      </c>
      <c r="E7479" s="263">
        <v>42</v>
      </c>
      <c r="F7479" s="294" t="s">
        <v>126</v>
      </c>
      <c r="G7479" s="294" t="s">
        <v>1261</v>
      </c>
      <c r="H7479" s="298">
        <v>1</v>
      </c>
      <c r="M7479" s="274"/>
    </row>
    <row r="7480" spans="2:13" ht="15" customHeight="1" x14ac:dyDescent="0.25">
      <c r="B7480" s="289">
        <v>6677</v>
      </c>
      <c r="C7480" s="261">
        <v>90</v>
      </c>
      <c r="D7480" s="244" t="s">
        <v>11</v>
      </c>
      <c r="E7480" s="263">
        <v>4</v>
      </c>
      <c r="F7480" s="294" t="s">
        <v>1192</v>
      </c>
      <c r="G7480" s="294" t="s">
        <v>126</v>
      </c>
      <c r="H7480" s="298">
        <v>1</v>
      </c>
      <c r="M7480" s="274"/>
    </row>
    <row r="7481" spans="2:13" ht="15" customHeight="1" x14ac:dyDescent="0.25">
      <c r="B7481" s="289">
        <v>6679</v>
      </c>
      <c r="C7481" s="261">
        <v>89</v>
      </c>
      <c r="D7481" s="244" t="s">
        <v>12</v>
      </c>
      <c r="E7481" s="263">
        <v>1</v>
      </c>
      <c r="F7481" s="294" t="s">
        <v>126</v>
      </c>
      <c r="G7481" s="294" t="s">
        <v>139</v>
      </c>
      <c r="H7481" s="298">
        <v>1</v>
      </c>
      <c r="M7481" s="274"/>
    </row>
    <row r="7482" spans="2:13" ht="15" customHeight="1" x14ac:dyDescent="0.25">
      <c r="B7482" s="289">
        <v>6680</v>
      </c>
      <c r="C7482" s="261">
        <v>83</v>
      </c>
      <c r="D7482" s="244" t="s">
        <v>12</v>
      </c>
      <c r="E7482" s="263">
        <v>11</v>
      </c>
      <c r="F7482" s="294" t="s">
        <v>126</v>
      </c>
      <c r="G7482" s="294" t="s">
        <v>1262</v>
      </c>
      <c r="H7482" s="298">
        <v>1</v>
      </c>
      <c r="M7482" s="274"/>
    </row>
    <row r="7483" spans="2:13" ht="15" customHeight="1" x14ac:dyDescent="0.25">
      <c r="B7483" s="289">
        <v>6680</v>
      </c>
      <c r="C7483" s="261">
        <v>89</v>
      </c>
      <c r="D7483" s="244" t="s">
        <v>12</v>
      </c>
      <c r="E7483" s="263">
        <v>2</v>
      </c>
      <c r="F7483" s="294" t="s">
        <v>126</v>
      </c>
      <c r="G7483" s="294" t="s">
        <v>420</v>
      </c>
      <c r="H7483" s="298">
        <v>1</v>
      </c>
      <c r="M7483" s="274"/>
    </row>
    <row r="7484" spans="2:13" ht="15" customHeight="1" x14ac:dyDescent="0.25">
      <c r="B7484" s="289">
        <v>6681</v>
      </c>
      <c r="C7484" s="261">
        <v>83</v>
      </c>
      <c r="D7484" s="244" t="s">
        <v>12</v>
      </c>
      <c r="E7484" s="263">
        <v>14</v>
      </c>
      <c r="F7484" s="294" t="s">
        <v>126</v>
      </c>
      <c r="G7484" s="294" t="s">
        <v>1263</v>
      </c>
      <c r="H7484" s="298">
        <v>1</v>
      </c>
      <c r="M7484" s="274"/>
    </row>
    <row r="7485" spans="2:13" ht="15" customHeight="1" x14ac:dyDescent="0.25">
      <c r="B7485" s="289">
        <v>6682</v>
      </c>
      <c r="C7485" s="261">
        <v>82</v>
      </c>
      <c r="D7485" s="244" t="s">
        <v>12</v>
      </c>
      <c r="E7485" s="263">
        <v>2</v>
      </c>
      <c r="F7485" s="294" t="s">
        <v>126</v>
      </c>
      <c r="G7485" s="294" t="s">
        <v>227</v>
      </c>
      <c r="H7485" s="298">
        <v>1</v>
      </c>
      <c r="M7485" s="274"/>
    </row>
    <row r="7486" spans="2:13" ht="15" customHeight="1" x14ac:dyDescent="0.25">
      <c r="B7486" s="289">
        <v>6682</v>
      </c>
      <c r="C7486" s="261">
        <v>88</v>
      </c>
      <c r="D7486" s="244" t="s">
        <v>12</v>
      </c>
      <c r="E7486" s="263">
        <v>6</v>
      </c>
      <c r="F7486" s="294" t="s">
        <v>126</v>
      </c>
      <c r="G7486" s="294" t="s">
        <v>1264</v>
      </c>
      <c r="H7486" s="298">
        <v>1</v>
      </c>
      <c r="M7486" s="274"/>
    </row>
    <row r="7487" spans="2:13" ht="15" customHeight="1" x14ac:dyDescent="0.25">
      <c r="B7487" s="289">
        <v>6682</v>
      </c>
      <c r="C7487" s="261">
        <v>107</v>
      </c>
      <c r="D7487" s="244" t="s">
        <v>12</v>
      </c>
      <c r="E7487" s="263">
        <v>4</v>
      </c>
      <c r="F7487" s="294" t="s">
        <v>126</v>
      </c>
      <c r="G7487" s="294" t="s">
        <v>1160</v>
      </c>
      <c r="H7487" s="298">
        <v>1</v>
      </c>
      <c r="M7487" s="274"/>
    </row>
    <row r="7488" spans="2:13" ht="15" customHeight="1" x14ac:dyDescent="0.25">
      <c r="B7488" s="289">
        <v>6683</v>
      </c>
      <c r="C7488" s="261">
        <v>83</v>
      </c>
      <c r="D7488" s="244" t="s">
        <v>12</v>
      </c>
      <c r="E7488" s="263">
        <v>1</v>
      </c>
      <c r="F7488" s="294" t="s">
        <v>126</v>
      </c>
      <c r="G7488" s="294" t="s">
        <v>426</v>
      </c>
      <c r="H7488" s="298">
        <v>1</v>
      </c>
      <c r="M7488" s="274"/>
    </row>
    <row r="7489" spans="2:13" ht="15" customHeight="1" x14ac:dyDescent="0.25">
      <c r="B7489" s="289">
        <v>6683</v>
      </c>
      <c r="C7489" s="261">
        <v>89</v>
      </c>
      <c r="D7489" s="244" t="s">
        <v>12</v>
      </c>
      <c r="E7489" s="263">
        <v>6</v>
      </c>
      <c r="F7489" s="294" t="s">
        <v>126</v>
      </c>
      <c r="G7489" s="294" t="s">
        <v>1265</v>
      </c>
      <c r="H7489" s="298">
        <v>1</v>
      </c>
      <c r="M7489" s="274"/>
    </row>
    <row r="7490" spans="2:13" ht="15" customHeight="1" x14ac:dyDescent="0.25">
      <c r="B7490" s="289">
        <v>6685</v>
      </c>
      <c r="C7490" s="261">
        <v>83</v>
      </c>
      <c r="D7490" s="244" t="s">
        <v>12</v>
      </c>
      <c r="E7490" s="263">
        <v>6</v>
      </c>
      <c r="F7490" s="294" t="s">
        <v>126</v>
      </c>
      <c r="G7490" s="294" t="s">
        <v>1266</v>
      </c>
      <c r="H7490" s="298">
        <v>1</v>
      </c>
      <c r="M7490" s="274"/>
    </row>
    <row r="7491" spans="2:13" ht="15" customHeight="1" x14ac:dyDescent="0.25">
      <c r="B7491" s="289">
        <v>6685</v>
      </c>
      <c r="C7491" s="261">
        <v>89</v>
      </c>
      <c r="D7491" s="244" t="s">
        <v>12</v>
      </c>
      <c r="E7491" s="263">
        <v>4</v>
      </c>
      <c r="F7491" s="294" t="s">
        <v>126</v>
      </c>
      <c r="G7491" s="294" t="s">
        <v>1175</v>
      </c>
      <c r="H7491" s="298">
        <v>1</v>
      </c>
      <c r="M7491" s="274"/>
    </row>
    <row r="7492" spans="2:13" ht="15" customHeight="1" x14ac:dyDescent="0.25">
      <c r="B7492" s="289">
        <v>6686</v>
      </c>
      <c r="C7492" s="261">
        <v>85</v>
      </c>
      <c r="D7492" s="244" t="s">
        <v>11</v>
      </c>
      <c r="E7492" s="263">
        <v>7</v>
      </c>
      <c r="F7492" s="294" t="s">
        <v>1267</v>
      </c>
      <c r="G7492" s="294" t="s">
        <v>126</v>
      </c>
      <c r="H7492" s="298">
        <v>1</v>
      </c>
      <c r="M7492" s="274"/>
    </row>
    <row r="7493" spans="2:13" ht="15" customHeight="1" x14ac:dyDescent="0.25">
      <c r="B7493" s="289">
        <v>6687</v>
      </c>
      <c r="C7493" s="261">
        <v>82</v>
      </c>
      <c r="D7493" s="244" t="s">
        <v>12</v>
      </c>
      <c r="E7493" s="263">
        <v>8</v>
      </c>
      <c r="F7493" s="294" t="s">
        <v>126</v>
      </c>
      <c r="G7493" s="294" t="s">
        <v>1268</v>
      </c>
      <c r="H7493" s="298">
        <v>1</v>
      </c>
      <c r="M7493" s="274"/>
    </row>
    <row r="7494" spans="2:13" ht="15" customHeight="1" x14ac:dyDescent="0.25">
      <c r="B7494" s="289">
        <v>6687</v>
      </c>
      <c r="C7494" s="261">
        <v>87</v>
      </c>
      <c r="D7494" s="244" t="s">
        <v>12</v>
      </c>
      <c r="E7494" s="263">
        <v>1</v>
      </c>
      <c r="F7494" s="294" t="s">
        <v>126</v>
      </c>
      <c r="G7494" s="294" t="s">
        <v>437</v>
      </c>
      <c r="H7494" s="298">
        <v>1</v>
      </c>
      <c r="M7494" s="274"/>
    </row>
    <row r="7495" spans="2:13" ht="15" customHeight="1" x14ac:dyDescent="0.25">
      <c r="B7495" s="289">
        <v>6687</v>
      </c>
      <c r="C7495" s="261">
        <v>90</v>
      </c>
      <c r="D7495" s="244" t="s">
        <v>12</v>
      </c>
      <c r="E7495" s="263">
        <v>6</v>
      </c>
      <c r="F7495" s="294" t="s">
        <v>126</v>
      </c>
      <c r="G7495" s="294" t="s">
        <v>1269</v>
      </c>
      <c r="H7495" s="298">
        <v>1</v>
      </c>
      <c r="M7495" s="274"/>
    </row>
    <row r="7496" spans="2:13" ht="15" customHeight="1" x14ac:dyDescent="0.25">
      <c r="B7496" s="289">
        <v>6688</v>
      </c>
      <c r="C7496" s="261">
        <v>83</v>
      </c>
      <c r="D7496" s="244" t="s">
        <v>12</v>
      </c>
      <c r="E7496" s="263">
        <v>2</v>
      </c>
      <c r="F7496" s="294" t="s">
        <v>126</v>
      </c>
      <c r="G7496" s="294" t="s">
        <v>420</v>
      </c>
      <c r="H7496" s="298">
        <v>1</v>
      </c>
      <c r="M7496" s="274"/>
    </row>
    <row r="7497" spans="2:13" ht="15" customHeight="1" x14ac:dyDescent="0.25">
      <c r="B7497" s="289">
        <v>6689</v>
      </c>
      <c r="C7497" s="261">
        <v>89</v>
      </c>
      <c r="D7497" s="244" t="s">
        <v>12</v>
      </c>
      <c r="E7497" s="263">
        <v>9</v>
      </c>
      <c r="F7497" s="294" t="s">
        <v>126</v>
      </c>
      <c r="G7497" s="294" t="s">
        <v>1270</v>
      </c>
      <c r="H7497" s="298">
        <v>1</v>
      </c>
      <c r="M7497" s="274"/>
    </row>
    <row r="7498" spans="2:13" ht="15" customHeight="1" x14ac:dyDescent="0.25">
      <c r="B7498" s="289">
        <v>6690</v>
      </c>
      <c r="C7498" s="261">
        <v>89</v>
      </c>
      <c r="D7498" s="244" t="s">
        <v>12</v>
      </c>
      <c r="E7498" s="263">
        <v>22</v>
      </c>
      <c r="F7498" s="294" t="s">
        <v>126</v>
      </c>
      <c r="G7498" s="294" t="s">
        <v>1271</v>
      </c>
      <c r="H7498" s="298">
        <v>1</v>
      </c>
      <c r="M7498" s="274"/>
    </row>
    <row r="7499" spans="2:13" ht="15" customHeight="1" x14ac:dyDescent="0.25">
      <c r="B7499" s="289">
        <v>6691</v>
      </c>
      <c r="C7499" s="261">
        <v>84</v>
      </c>
      <c r="D7499" s="244" t="s">
        <v>12</v>
      </c>
      <c r="E7499" s="263">
        <v>1</v>
      </c>
      <c r="F7499" s="294" t="s">
        <v>126</v>
      </c>
      <c r="G7499" s="294" t="s">
        <v>437</v>
      </c>
      <c r="H7499" s="298">
        <v>1</v>
      </c>
      <c r="M7499" s="274"/>
    </row>
    <row r="7500" spans="2:13" ht="15" customHeight="1" x14ac:dyDescent="0.25">
      <c r="B7500" s="289">
        <v>6691</v>
      </c>
      <c r="C7500" s="261">
        <v>89</v>
      </c>
      <c r="D7500" s="244" t="s">
        <v>11</v>
      </c>
      <c r="E7500" s="263">
        <v>10</v>
      </c>
      <c r="F7500" s="294" t="s">
        <v>1259</v>
      </c>
      <c r="G7500" s="294" t="s">
        <v>126</v>
      </c>
      <c r="H7500" s="298">
        <v>1</v>
      </c>
      <c r="M7500" s="274"/>
    </row>
    <row r="7501" spans="2:13" ht="15" customHeight="1" x14ac:dyDescent="0.25">
      <c r="B7501" s="289">
        <v>6692</v>
      </c>
      <c r="C7501" s="261">
        <v>84</v>
      </c>
      <c r="D7501" s="244" t="s">
        <v>12</v>
      </c>
      <c r="E7501" s="263">
        <v>1</v>
      </c>
      <c r="F7501" s="294" t="s">
        <v>126</v>
      </c>
      <c r="G7501" s="294" t="s">
        <v>437</v>
      </c>
      <c r="H7501" s="298">
        <v>1</v>
      </c>
      <c r="M7501" s="274"/>
    </row>
    <row r="7502" spans="2:13" ht="15" customHeight="1" x14ac:dyDescent="0.25">
      <c r="B7502" s="289">
        <v>6692</v>
      </c>
      <c r="C7502" s="261">
        <v>89</v>
      </c>
      <c r="D7502" s="244" t="s">
        <v>11</v>
      </c>
      <c r="E7502" s="263">
        <v>2</v>
      </c>
      <c r="F7502" s="294" t="s">
        <v>454</v>
      </c>
      <c r="G7502" s="294" t="s">
        <v>126</v>
      </c>
      <c r="H7502" s="298">
        <v>1</v>
      </c>
      <c r="M7502" s="274"/>
    </row>
    <row r="7503" spans="2:13" ht="15" customHeight="1" x14ac:dyDescent="0.25">
      <c r="B7503" s="289">
        <v>6693</v>
      </c>
      <c r="C7503" s="261">
        <v>84</v>
      </c>
      <c r="D7503" s="244" t="s">
        <v>12</v>
      </c>
      <c r="E7503" s="263">
        <v>1</v>
      </c>
      <c r="F7503" s="294" t="s">
        <v>126</v>
      </c>
      <c r="G7503" s="294" t="s">
        <v>437</v>
      </c>
      <c r="H7503" s="298">
        <v>1</v>
      </c>
      <c r="M7503" s="274"/>
    </row>
    <row r="7504" spans="2:13" ht="15" customHeight="1" x14ac:dyDescent="0.25">
      <c r="B7504" s="289">
        <v>6693</v>
      </c>
      <c r="C7504" s="261">
        <v>89</v>
      </c>
      <c r="D7504" s="244" t="s">
        <v>12</v>
      </c>
      <c r="E7504" s="263">
        <v>2</v>
      </c>
      <c r="F7504" s="294" t="s">
        <v>126</v>
      </c>
      <c r="G7504" s="294" t="s">
        <v>420</v>
      </c>
      <c r="H7504" s="298">
        <v>1</v>
      </c>
      <c r="M7504" s="274"/>
    </row>
    <row r="7505" spans="2:13" ht="15" customHeight="1" x14ac:dyDescent="0.25">
      <c r="B7505" s="289">
        <v>6694</v>
      </c>
      <c r="C7505" s="261">
        <v>84</v>
      </c>
      <c r="D7505" s="244" t="s">
        <v>12</v>
      </c>
      <c r="E7505" s="263">
        <v>1</v>
      </c>
      <c r="F7505" s="294" t="s">
        <v>126</v>
      </c>
      <c r="G7505" s="294" t="s">
        <v>437</v>
      </c>
      <c r="H7505" s="298">
        <v>1</v>
      </c>
      <c r="M7505" s="274"/>
    </row>
    <row r="7506" spans="2:13" ht="15" customHeight="1" x14ac:dyDescent="0.25">
      <c r="B7506" s="289">
        <v>6694</v>
      </c>
      <c r="C7506" s="261">
        <v>89</v>
      </c>
      <c r="D7506" s="244" t="s">
        <v>12</v>
      </c>
      <c r="E7506" s="263">
        <v>2</v>
      </c>
      <c r="F7506" s="294" t="s">
        <v>126</v>
      </c>
      <c r="G7506" s="294" t="s">
        <v>420</v>
      </c>
      <c r="H7506" s="298">
        <v>1</v>
      </c>
      <c r="M7506" s="274"/>
    </row>
    <row r="7507" spans="2:13" ht="15" customHeight="1" x14ac:dyDescent="0.25">
      <c r="B7507" s="289">
        <v>6695</v>
      </c>
      <c r="C7507" s="261">
        <v>82</v>
      </c>
      <c r="D7507" s="244" t="s">
        <v>12</v>
      </c>
      <c r="E7507" s="263">
        <v>5</v>
      </c>
      <c r="F7507" s="294" t="s">
        <v>126</v>
      </c>
      <c r="G7507" s="294" t="s">
        <v>1272</v>
      </c>
      <c r="H7507" s="298">
        <v>1</v>
      </c>
      <c r="M7507" s="274"/>
    </row>
    <row r="7508" spans="2:13" ht="15" customHeight="1" x14ac:dyDescent="0.25">
      <c r="B7508" s="289">
        <v>6696</v>
      </c>
      <c r="C7508" s="261">
        <v>83</v>
      </c>
      <c r="D7508" s="244" t="s">
        <v>12</v>
      </c>
      <c r="E7508" s="263">
        <v>1</v>
      </c>
      <c r="F7508" s="294" t="s">
        <v>126</v>
      </c>
      <c r="G7508" s="294" t="s">
        <v>139</v>
      </c>
      <c r="H7508" s="298">
        <v>1</v>
      </c>
      <c r="M7508" s="274"/>
    </row>
    <row r="7509" spans="2:13" ht="15" customHeight="1" x14ac:dyDescent="0.25">
      <c r="B7509" s="289">
        <v>6696</v>
      </c>
      <c r="C7509" s="261">
        <v>89</v>
      </c>
      <c r="D7509" s="244" t="s">
        <v>11</v>
      </c>
      <c r="E7509" s="263">
        <v>10</v>
      </c>
      <c r="F7509" s="294" t="s">
        <v>1259</v>
      </c>
      <c r="G7509" s="294" t="s">
        <v>126</v>
      </c>
      <c r="H7509" s="298">
        <v>1</v>
      </c>
      <c r="M7509" s="274"/>
    </row>
    <row r="7510" spans="2:13" ht="15" customHeight="1" x14ac:dyDescent="0.25">
      <c r="B7510" s="289">
        <v>6697</v>
      </c>
      <c r="C7510" s="261">
        <v>83</v>
      </c>
      <c r="D7510" s="244" t="s">
        <v>12</v>
      </c>
      <c r="E7510" s="263">
        <v>1</v>
      </c>
      <c r="F7510" s="294" t="s">
        <v>126</v>
      </c>
      <c r="G7510" s="294" t="s">
        <v>139</v>
      </c>
      <c r="H7510" s="298">
        <v>1</v>
      </c>
      <c r="M7510" s="274"/>
    </row>
    <row r="7511" spans="2:13" ht="15" customHeight="1" x14ac:dyDescent="0.25">
      <c r="B7511" s="289">
        <v>6697</v>
      </c>
      <c r="C7511" s="261">
        <v>89</v>
      </c>
      <c r="D7511" s="244" t="s">
        <v>11</v>
      </c>
      <c r="E7511" s="263">
        <v>5</v>
      </c>
      <c r="F7511" s="294" t="s">
        <v>1174</v>
      </c>
      <c r="G7511" s="294" t="s">
        <v>126</v>
      </c>
      <c r="H7511" s="298">
        <v>1</v>
      </c>
      <c r="M7511" s="274"/>
    </row>
    <row r="7512" spans="2:13" ht="15" customHeight="1" x14ac:dyDescent="0.25">
      <c r="B7512" s="289">
        <v>6697</v>
      </c>
      <c r="C7512" s="261">
        <v>98</v>
      </c>
      <c r="D7512" s="244" t="s">
        <v>11</v>
      </c>
      <c r="E7512" s="263">
        <v>2</v>
      </c>
      <c r="F7512" s="294" t="s">
        <v>136</v>
      </c>
      <c r="G7512" s="294" t="s">
        <v>126</v>
      </c>
      <c r="H7512" s="298">
        <v>1</v>
      </c>
      <c r="M7512" s="274"/>
    </row>
    <row r="7513" spans="2:13" ht="15" customHeight="1" x14ac:dyDescent="0.25">
      <c r="B7513" s="289">
        <v>6698</v>
      </c>
      <c r="C7513" s="261">
        <v>83</v>
      </c>
      <c r="D7513" s="244" t="s">
        <v>12</v>
      </c>
      <c r="E7513" s="263">
        <v>1</v>
      </c>
      <c r="F7513" s="294" t="s">
        <v>126</v>
      </c>
      <c r="G7513" s="294" t="s">
        <v>139</v>
      </c>
      <c r="H7513" s="298">
        <v>1</v>
      </c>
      <c r="M7513" s="274"/>
    </row>
    <row r="7514" spans="2:13" ht="15" customHeight="1" x14ac:dyDescent="0.25">
      <c r="B7514" s="289">
        <v>6698</v>
      </c>
      <c r="C7514" s="261">
        <v>89</v>
      </c>
      <c r="D7514" s="244" t="s">
        <v>12</v>
      </c>
      <c r="E7514" s="263">
        <v>1</v>
      </c>
      <c r="F7514" s="294" t="s">
        <v>126</v>
      </c>
      <c r="G7514" s="294" t="s">
        <v>139</v>
      </c>
      <c r="H7514" s="298">
        <v>1</v>
      </c>
      <c r="M7514" s="274"/>
    </row>
    <row r="7515" spans="2:13" ht="15" customHeight="1" x14ac:dyDescent="0.25">
      <c r="B7515" s="289">
        <v>6699</v>
      </c>
      <c r="C7515" s="261">
        <v>83</v>
      </c>
      <c r="D7515" s="244" t="s">
        <v>12</v>
      </c>
      <c r="E7515" s="263">
        <v>7</v>
      </c>
      <c r="F7515" s="294" t="s">
        <v>126</v>
      </c>
      <c r="G7515" s="294" t="s">
        <v>1273</v>
      </c>
      <c r="H7515" s="298">
        <v>1</v>
      </c>
      <c r="M7515" s="274"/>
    </row>
    <row r="7516" spans="2:13" ht="15" customHeight="1" x14ac:dyDescent="0.25">
      <c r="B7516" s="289">
        <v>6699</v>
      </c>
      <c r="C7516" s="261">
        <v>89</v>
      </c>
      <c r="D7516" s="244" t="s">
        <v>12</v>
      </c>
      <c r="E7516" s="263">
        <v>1</v>
      </c>
      <c r="F7516" s="294" t="s">
        <v>126</v>
      </c>
      <c r="G7516" s="294" t="s">
        <v>139</v>
      </c>
      <c r="H7516" s="298">
        <v>1</v>
      </c>
      <c r="M7516" s="274"/>
    </row>
    <row r="7517" spans="2:13" ht="15" customHeight="1" x14ac:dyDescent="0.25">
      <c r="B7517" s="289">
        <v>6700</v>
      </c>
      <c r="C7517" s="261">
        <v>87</v>
      </c>
      <c r="D7517" s="244" t="s">
        <v>12</v>
      </c>
      <c r="E7517" s="263">
        <v>2</v>
      </c>
      <c r="F7517" s="294" t="s">
        <v>126</v>
      </c>
      <c r="G7517" s="294" t="s">
        <v>789</v>
      </c>
      <c r="H7517" s="298">
        <v>1</v>
      </c>
      <c r="M7517" s="274"/>
    </row>
    <row r="7518" spans="2:13" ht="15" customHeight="1" x14ac:dyDescent="0.25">
      <c r="B7518" s="289">
        <v>6700</v>
      </c>
      <c r="C7518" s="261">
        <v>100</v>
      </c>
      <c r="D7518" s="244" t="s">
        <v>12</v>
      </c>
      <c r="E7518" s="263">
        <v>1</v>
      </c>
      <c r="F7518" s="294" t="s">
        <v>126</v>
      </c>
      <c r="G7518" s="294" t="s">
        <v>139</v>
      </c>
      <c r="H7518" s="298">
        <v>1</v>
      </c>
      <c r="M7518" s="274"/>
    </row>
    <row r="7519" spans="2:13" ht="15" customHeight="1" x14ac:dyDescent="0.25">
      <c r="B7519" s="289">
        <v>6701</v>
      </c>
      <c r="C7519" s="261">
        <v>87</v>
      </c>
      <c r="D7519" s="244" t="s">
        <v>12</v>
      </c>
      <c r="E7519" s="263">
        <v>1</v>
      </c>
      <c r="F7519" s="294" t="s">
        <v>126</v>
      </c>
      <c r="G7519" s="294" t="s">
        <v>437</v>
      </c>
      <c r="H7519" s="298">
        <v>1</v>
      </c>
      <c r="M7519" s="274"/>
    </row>
    <row r="7520" spans="2:13" ht="15" customHeight="1" x14ac:dyDescent="0.25">
      <c r="B7520" s="289">
        <v>6701</v>
      </c>
      <c r="C7520" s="261">
        <v>89</v>
      </c>
      <c r="D7520" s="244" t="s">
        <v>11</v>
      </c>
      <c r="E7520" s="263">
        <v>2</v>
      </c>
      <c r="F7520" s="294" t="s">
        <v>454</v>
      </c>
      <c r="G7520" s="294" t="s">
        <v>126</v>
      </c>
      <c r="H7520" s="298">
        <v>1</v>
      </c>
      <c r="M7520" s="274"/>
    </row>
    <row r="7521" spans="2:13" ht="15" customHeight="1" x14ac:dyDescent="0.25">
      <c r="B7521" s="289">
        <v>6701</v>
      </c>
      <c r="C7521" s="261">
        <v>99</v>
      </c>
      <c r="D7521" s="244" t="s">
        <v>12</v>
      </c>
      <c r="E7521" s="263">
        <v>2</v>
      </c>
      <c r="F7521" s="294" t="s">
        <v>126</v>
      </c>
      <c r="G7521" s="294" t="s">
        <v>587</v>
      </c>
      <c r="H7521" s="298">
        <v>1</v>
      </c>
      <c r="M7521" s="274"/>
    </row>
    <row r="7522" spans="2:13" ht="15" customHeight="1" x14ac:dyDescent="0.25">
      <c r="B7522" s="289">
        <v>6702</v>
      </c>
      <c r="C7522" s="261">
        <v>87</v>
      </c>
      <c r="D7522" s="244" t="s">
        <v>12</v>
      </c>
      <c r="E7522" s="263">
        <v>1</v>
      </c>
      <c r="F7522" s="294" t="s">
        <v>126</v>
      </c>
      <c r="G7522" s="294" t="s">
        <v>437</v>
      </c>
      <c r="H7522" s="298">
        <v>1</v>
      </c>
      <c r="M7522" s="274"/>
    </row>
    <row r="7523" spans="2:13" ht="15" customHeight="1" x14ac:dyDescent="0.25">
      <c r="B7523" s="289">
        <v>6703</v>
      </c>
      <c r="C7523" s="261">
        <v>89</v>
      </c>
      <c r="D7523" s="244" t="s">
        <v>12</v>
      </c>
      <c r="E7523" s="263">
        <v>8</v>
      </c>
      <c r="F7523" s="294" t="s">
        <v>126</v>
      </c>
      <c r="G7523" s="294" t="s">
        <v>1274</v>
      </c>
      <c r="H7523" s="298">
        <v>1</v>
      </c>
      <c r="M7523" s="274"/>
    </row>
    <row r="7524" spans="2:13" ht="15" customHeight="1" x14ac:dyDescent="0.25">
      <c r="B7524" s="289">
        <v>6704</v>
      </c>
      <c r="C7524" s="261">
        <v>83</v>
      </c>
      <c r="D7524" s="244" t="s">
        <v>12</v>
      </c>
      <c r="E7524" s="263">
        <v>6</v>
      </c>
      <c r="F7524" s="294" t="s">
        <v>126</v>
      </c>
      <c r="G7524" s="294" t="s">
        <v>1275</v>
      </c>
      <c r="H7524" s="298">
        <v>1</v>
      </c>
      <c r="M7524" s="274"/>
    </row>
    <row r="7525" spans="2:13" ht="15" customHeight="1" x14ac:dyDescent="0.25">
      <c r="B7525" s="289">
        <v>6704</v>
      </c>
      <c r="C7525" s="261">
        <v>90</v>
      </c>
      <c r="D7525" s="244" t="s">
        <v>11</v>
      </c>
      <c r="E7525" s="263">
        <v>3</v>
      </c>
      <c r="F7525" s="294" t="s">
        <v>933</v>
      </c>
      <c r="G7525" s="294" t="s">
        <v>126</v>
      </c>
      <c r="H7525" s="298">
        <v>1</v>
      </c>
      <c r="M7525" s="274"/>
    </row>
    <row r="7526" spans="2:13" ht="15" customHeight="1" x14ac:dyDescent="0.25">
      <c r="B7526" s="289">
        <v>6705</v>
      </c>
      <c r="C7526" s="261">
        <v>84</v>
      </c>
      <c r="D7526" s="244" t="s">
        <v>12</v>
      </c>
      <c r="E7526" s="263">
        <v>4</v>
      </c>
      <c r="F7526" s="294" t="s">
        <v>126</v>
      </c>
      <c r="G7526" s="294" t="s">
        <v>292</v>
      </c>
      <c r="H7526" s="298">
        <v>1</v>
      </c>
      <c r="M7526" s="274"/>
    </row>
    <row r="7527" spans="2:13" ht="15" customHeight="1" x14ac:dyDescent="0.25">
      <c r="B7527" s="289">
        <v>6705</v>
      </c>
      <c r="C7527" s="261">
        <v>89</v>
      </c>
      <c r="D7527" s="244" t="s">
        <v>12</v>
      </c>
      <c r="E7527" s="263">
        <v>25</v>
      </c>
      <c r="F7527" s="294" t="s">
        <v>126</v>
      </c>
      <c r="G7527" s="294" t="s">
        <v>1276</v>
      </c>
      <c r="H7527" s="298">
        <v>1</v>
      </c>
      <c r="M7527" s="274"/>
    </row>
    <row r="7528" spans="2:13" ht="15" customHeight="1" x14ac:dyDescent="0.25">
      <c r="B7528" s="289">
        <v>6706</v>
      </c>
      <c r="C7528" s="261">
        <v>82</v>
      </c>
      <c r="D7528" s="244" t="s">
        <v>11</v>
      </c>
      <c r="E7528" s="263">
        <v>55</v>
      </c>
      <c r="F7528" s="294" t="s">
        <v>1277</v>
      </c>
      <c r="G7528" s="294" t="s">
        <v>126</v>
      </c>
      <c r="H7528" s="298">
        <v>1</v>
      </c>
      <c r="M7528" s="274"/>
    </row>
    <row r="7529" spans="2:13" ht="15" customHeight="1" x14ac:dyDescent="0.25">
      <c r="B7529" s="289">
        <v>6707</v>
      </c>
      <c r="C7529" s="261">
        <v>82</v>
      </c>
      <c r="D7529" s="244" t="s">
        <v>11</v>
      </c>
      <c r="E7529" s="263">
        <v>6</v>
      </c>
      <c r="F7529" s="294" t="s">
        <v>1278</v>
      </c>
      <c r="G7529" s="294" t="s">
        <v>126</v>
      </c>
      <c r="H7529" s="298">
        <v>1</v>
      </c>
      <c r="M7529" s="274"/>
    </row>
    <row r="7530" spans="2:13" ht="15" customHeight="1" x14ac:dyDescent="0.25">
      <c r="B7530" s="289">
        <v>6707</v>
      </c>
      <c r="C7530" s="261">
        <v>90</v>
      </c>
      <c r="D7530" s="244" t="s">
        <v>12</v>
      </c>
      <c r="E7530" s="263">
        <v>1</v>
      </c>
      <c r="F7530" s="294" t="s">
        <v>126</v>
      </c>
      <c r="G7530" s="294" t="s">
        <v>437</v>
      </c>
      <c r="H7530" s="298">
        <v>1</v>
      </c>
      <c r="M7530" s="274"/>
    </row>
    <row r="7531" spans="2:13" ht="15" customHeight="1" x14ac:dyDescent="0.25">
      <c r="B7531" s="289">
        <v>6708</v>
      </c>
      <c r="C7531" s="261">
        <v>82</v>
      </c>
      <c r="D7531" s="244" t="s">
        <v>11</v>
      </c>
      <c r="E7531" s="263">
        <v>3</v>
      </c>
      <c r="F7531" s="294" t="s">
        <v>1279</v>
      </c>
      <c r="G7531" s="294" t="s">
        <v>126</v>
      </c>
      <c r="H7531" s="298">
        <v>1</v>
      </c>
      <c r="M7531" s="274"/>
    </row>
    <row r="7532" spans="2:13" ht="15" customHeight="1" x14ac:dyDescent="0.25">
      <c r="B7532" s="289">
        <v>6709</v>
      </c>
      <c r="C7532" s="261">
        <v>82</v>
      </c>
      <c r="D7532" s="244" t="s">
        <v>11</v>
      </c>
      <c r="E7532" s="263">
        <v>3</v>
      </c>
      <c r="F7532" s="294" t="s">
        <v>1279</v>
      </c>
      <c r="G7532" s="294" t="s">
        <v>126</v>
      </c>
      <c r="H7532" s="298">
        <v>1</v>
      </c>
      <c r="M7532" s="274"/>
    </row>
    <row r="7533" spans="2:13" ht="15" customHeight="1" x14ac:dyDescent="0.25">
      <c r="B7533" s="289">
        <v>6710</v>
      </c>
      <c r="C7533" s="261">
        <v>83</v>
      </c>
      <c r="D7533" s="244" t="s">
        <v>11</v>
      </c>
      <c r="E7533" s="263">
        <v>23</v>
      </c>
      <c r="F7533" s="294" t="s">
        <v>1280</v>
      </c>
      <c r="G7533" s="294" t="s">
        <v>126</v>
      </c>
      <c r="H7533" s="298">
        <v>1</v>
      </c>
      <c r="M7533" s="274"/>
    </row>
    <row r="7534" spans="2:13" ht="15" customHeight="1" x14ac:dyDescent="0.25">
      <c r="B7534" s="289">
        <v>6711</v>
      </c>
      <c r="C7534" s="261">
        <v>89</v>
      </c>
      <c r="D7534" s="244" t="s">
        <v>12</v>
      </c>
      <c r="E7534" s="263">
        <v>3</v>
      </c>
      <c r="F7534" s="294" t="s">
        <v>126</v>
      </c>
      <c r="G7534" s="294" t="s">
        <v>499</v>
      </c>
      <c r="H7534" s="298">
        <v>1</v>
      </c>
      <c r="M7534" s="274"/>
    </row>
    <row r="7535" spans="2:13" ht="15" customHeight="1" x14ac:dyDescent="0.25">
      <c r="B7535" s="289">
        <v>6712</v>
      </c>
      <c r="C7535" s="261">
        <v>84</v>
      </c>
      <c r="D7535" s="244" t="s">
        <v>11</v>
      </c>
      <c r="E7535" s="263">
        <v>4</v>
      </c>
      <c r="F7535" s="294" t="s">
        <v>1281</v>
      </c>
      <c r="G7535" s="294" t="s">
        <v>126</v>
      </c>
      <c r="H7535" s="298">
        <v>1</v>
      </c>
      <c r="M7535" s="274"/>
    </row>
    <row r="7536" spans="2:13" ht="15" customHeight="1" x14ac:dyDescent="0.25">
      <c r="B7536" s="289">
        <v>6712</v>
      </c>
      <c r="C7536" s="261">
        <v>93</v>
      </c>
      <c r="D7536" s="244" t="s">
        <v>12</v>
      </c>
      <c r="E7536" s="263">
        <v>3</v>
      </c>
      <c r="F7536" s="294" t="s">
        <v>126</v>
      </c>
      <c r="G7536" s="294" t="s">
        <v>296</v>
      </c>
      <c r="H7536" s="298">
        <v>1</v>
      </c>
      <c r="M7536" s="274"/>
    </row>
    <row r="7537" spans="2:13" ht="15" customHeight="1" x14ac:dyDescent="0.25">
      <c r="B7537" s="289">
        <v>6713</v>
      </c>
      <c r="C7537" s="261">
        <v>84</v>
      </c>
      <c r="D7537" s="244" t="s">
        <v>11</v>
      </c>
      <c r="E7537" s="263">
        <v>1</v>
      </c>
      <c r="F7537" s="294" t="s">
        <v>235</v>
      </c>
      <c r="G7537" s="294" t="s">
        <v>126</v>
      </c>
      <c r="H7537" s="298">
        <v>1</v>
      </c>
      <c r="M7537" s="274"/>
    </row>
    <row r="7538" spans="2:13" ht="15" customHeight="1" x14ac:dyDescent="0.25">
      <c r="B7538" s="289">
        <v>6714</v>
      </c>
      <c r="C7538" s="261">
        <v>87</v>
      </c>
      <c r="D7538" s="244" t="s">
        <v>11</v>
      </c>
      <c r="E7538" s="263">
        <v>11</v>
      </c>
      <c r="F7538" s="294" t="s">
        <v>1282</v>
      </c>
      <c r="G7538" s="294" t="s">
        <v>126</v>
      </c>
      <c r="H7538" s="298">
        <v>1</v>
      </c>
      <c r="M7538" s="274"/>
    </row>
    <row r="7539" spans="2:13" ht="15" customHeight="1" x14ac:dyDescent="0.25">
      <c r="B7539" s="289">
        <v>6715</v>
      </c>
      <c r="C7539" s="261">
        <v>89</v>
      </c>
      <c r="D7539" s="244" t="s">
        <v>12</v>
      </c>
      <c r="E7539" s="263">
        <v>10</v>
      </c>
      <c r="F7539" s="294" t="s">
        <v>126</v>
      </c>
      <c r="G7539" s="294" t="s">
        <v>1283</v>
      </c>
      <c r="H7539" s="298">
        <v>1</v>
      </c>
      <c r="M7539" s="274"/>
    </row>
    <row r="7540" spans="2:13" ht="15" customHeight="1" x14ac:dyDescent="0.25">
      <c r="B7540" s="289">
        <v>6716</v>
      </c>
      <c r="C7540" s="261">
        <v>83</v>
      </c>
      <c r="D7540" s="244" t="s">
        <v>11</v>
      </c>
      <c r="E7540" s="263">
        <v>35</v>
      </c>
      <c r="F7540" s="294" t="s">
        <v>1284</v>
      </c>
      <c r="G7540" s="294" t="s">
        <v>126</v>
      </c>
      <c r="H7540" s="298">
        <v>1</v>
      </c>
      <c r="M7540" s="274"/>
    </row>
    <row r="7541" spans="2:13" ht="15" customHeight="1" x14ac:dyDescent="0.25">
      <c r="B7541" s="289">
        <v>6717</v>
      </c>
      <c r="C7541" s="261">
        <v>83</v>
      </c>
      <c r="D7541" s="244" t="s">
        <v>11</v>
      </c>
      <c r="E7541" s="263">
        <v>27</v>
      </c>
      <c r="F7541" s="294" t="s">
        <v>1285</v>
      </c>
      <c r="G7541" s="294" t="s">
        <v>126</v>
      </c>
      <c r="H7541" s="298">
        <v>1</v>
      </c>
      <c r="M7541" s="274"/>
    </row>
    <row r="7542" spans="2:13" ht="15" customHeight="1" x14ac:dyDescent="0.25">
      <c r="B7542" s="289">
        <v>6718</v>
      </c>
      <c r="C7542" s="261">
        <v>83</v>
      </c>
      <c r="D7542" s="244" t="s">
        <v>11</v>
      </c>
      <c r="E7542" s="263">
        <v>2</v>
      </c>
      <c r="F7542" s="294" t="s">
        <v>431</v>
      </c>
      <c r="G7542" s="294" t="s">
        <v>126</v>
      </c>
      <c r="H7542" s="298">
        <v>1</v>
      </c>
      <c r="M7542" s="274"/>
    </row>
    <row r="7543" spans="2:13" ht="15" customHeight="1" x14ac:dyDescent="0.25">
      <c r="B7543" s="289">
        <v>6718</v>
      </c>
      <c r="C7543" s="261">
        <v>89</v>
      </c>
      <c r="D7543" s="244" t="s">
        <v>11</v>
      </c>
      <c r="E7543" s="263">
        <v>5</v>
      </c>
      <c r="F7543" s="294" t="s">
        <v>1174</v>
      </c>
      <c r="G7543" s="294" t="s">
        <v>126</v>
      </c>
      <c r="H7543" s="298">
        <v>1</v>
      </c>
      <c r="M7543" s="274"/>
    </row>
    <row r="7544" spans="2:13" ht="15" customHeight="1" x14ac:dyDescent="0.25">
      <c r="B7544" s="289">
        <v>6719</v>
      </c>
      <c r="C7544" s="261">
        <v>83</v>
      </c>
      <c r="D7544" s="244" t="s">
        <v>11</v>
      </c>
      <c r="E7544" s="263">
        <v>2</v>
      </c>
      <c r="F7544" s="294" t="s">
        <v>431</v>
      </c>
      <c r="G7544" s="294" t="s">
        <v>126</v>
      </c>
      <c r="H7544" s="298">
        <v>1</v>
      </c>
      <c r="M7544" s="274"/>
    </row>
    <row r="7545" spans="2:13" ht="15" customHeight="1" x14ac:dyDescent="0.25">
      <c r="B7545" s="289">
        <v>6719</v>
      </c>
      <c r="C7545" s="261">
        <v>89</v>
      </c>
      <c r="D7545" s="244" t="s">
        <v>12</v>
      </c>
      <c r="E7545" s="263">
        <v>9</v>
      </c>
      <c r="F7545" s="294" t="s">
        <v>126</v>
      </c>
      <c r="G7545" s="294" t="s">
        <v>1286</v>
      </c>
      <c r="H7545" s="298">
        <v>1</v>
      </c>
      <c r="M7545" s="274"/>
    </row>
    <row r="7546" spans="2:13" ht="15" customHeight="1" x14ac:dyDescent="0.25">
      <c r="B7546" s="289">
        <v>6720</v>
      </c>
      <c r="C7546" s="261">
        <v>84</v>
      </c>
      <c r="D7546" s="244" t="s">
        <v>11</v>
      </c>
      <c r="E7546" s="263">
        <v>4</v>
      </c>
      <c r="F7546" s="294" t="s">
        <v>1281</v>
      </c>
      <c r="G7546" s="294" t="s">
        <v>126</v>
      </c>
      <c r="H7546" s="298">
        <v>1</v>
      </c>
      <c r="M7546" s="274"/>
    </row>
    <row r="7547" spans="2:13" ht="15" customHeight="1" x14ac:dyDescent="0.25">
      <c r="B7547" s="289">
        <v>6721</v>
      </c>
      <c r="C7547" s="261">
        <v>84</v>
      </c>
      <c r="D7547" s="244" t="s">
        <v>11</v>
      </c>
      <c r="E7547" s="263">
        <v>1</v>
      </c>
      <c r="F7547" s="294" t="s">
        <v>235</v>
      </c>
      <c r="G7547" s="294" t="s">
        <v>126</v>
      </c>
      <c r="H7547" s="298">
        <v>1</v>
      </c>
      <c r="M7547" s="274"/>
    </row>
    <row r="7548" spans="2:13" ht="15" customHeight="1" x14ac:dyDescent="0.25">
      <c r="B7548" s="289">
        <v>6721</v>
      </c>
      <c r="C7548" s="261">
        <v>89</v>
      </c>
      <c r="D7548" s="244" t="s">
        <v>12</v>
      </c>
      <c r="E7548" s="263">
        <v>34</v>
      </c>
      <c r="F7548" s="294" t="s">
        <v>126</v>
      </c>
      <c r="G7548" s="294" t="s">
        <v>1287</v>
      </c>
      <c r="H7548" s="298">
        <v>1</v>
      </c>
      <c r="M7548" s="274"/>
    </row>
    <row r="7549" spans="2:13" ht="15" customHeight="1" x14ac:dyDescent="0.25">
      <c r="B7549" s="289">
        <v>6722</v>
      </c>
      <c r="C7549" s="261">
        <v>85</v>
      </c>
      <c r="D7549" s="244" t="s">
        <v>11</v>
      </c>
      <c r="E7549" s="263">
        <v>10</v>
      </c>
      <c r="F7549" s="294" t="s">
        <v>1157</v>
      </c>
      <c r="G7549" s="294" t="s">
        <v>126</v>
      </c>
      <c r="H7549" s="298">
        <v>1</v>
      </c>
      <c r="M7549" s="274"/>
    </row>
    <row r="7550" spans="2:13" ht="15" customHeight="1" x14ac:dyDescent="0.25">
      <c r="B7550" s="289">
        <v>6723</v>
      </c>
      <c r="C7550" s="261">
        <v>85</v>
      </c>
      <c r="D7550" s="244" t="s">
        <v>11</v>
      </c>
      <c r="E7550" s="263">
        <v>5</v>
      </c>
      <c r="F7550" s="294" t="s">
        <v>1288</v>
      </c>
      <c r="G7550" s="294" t="s">
        <v>126</v>
      </c>
      <c r="H7550" s="298">
        <v>1</v>
      </c>
      <c r="M7550" s="274"/>
    </row>
    <row r="7551" spans="2:13" ht="15" customHeight="1" x14ac:dyDescent="0.25">
      <c r="B7551" s="289">
        <v>6724</v>
      </c>
      <c r="C7551" s="261">
        <v>86</v>
      </c>
      <c r="D7551" s="244" t="s">
        <v>11</v>
      </c>
      <c r="E7551" s="263">
        <v>4</v>
      </c>
      <c r="F7551" s="294" t="s">
        <v>1176</v>
      </c>
      <c r="G7551" s="294" t="s">
        <v>126</v>
      </c>
      <c r="H7551" s="298">
        <v>1</v>
      </c>
      <c r="M7551" s="274"/>
    </row>
    <row r="7552" spans="2:13" ht="15" customHeight="1" x14ac:dyDescent="0.25">
      <c r="B7552" s="289">
        <v>6727</v>
      </c>
      <c r="C7552" s="261">
        <v>89</v>
      </c>
      <c r="D7552" s="244" t="s">
        <v>12</v>
      </c>
      <c r="E7552" s="263">
        <v>15</v>
      </c>
      <c r="F7552" s="294" t="s">
        <v>126</v>
      </c>
      <c r="G7552" s="294" t="s">
        <v>1289</v>
      </c>
      <c r="H7552" s="298">
        <v>1</v>
      </c>
      <c r="M7552" s="274"/>
    </row>
    <row r="7553" spans="2:13" ht="15" customHeight="1" x14ac:dyDescent="0.25">
      <c r="B7553" s="289">
        <v>6728</v>
      </c>
      <c r="C7553" s="261">
        <v>89</v>
      </c>
      <c r="D7553" s="244" t="s">
        <v>12</v>
      </c>
      <c r="E7553" s="263">
        <v>4</v>
      </c>
      <c r="F7553" s="294" t="s">
        <v>126</v>
      </c>
      <c r="G7553" s="294" t="s">
        <v>1226</v>
      </c>
      <c r="H7553" s="298">
        <v>1</v>
      </c>
      <c r="M7553" s="274"/>
    </row>
    <row r="7554" spans="2:13" ht="15" customHeight="1" x14ac:dyDescent="0.25">
      <c r="B7554" s="289">
        <v>6735</v>
      </c>
      <c r="C7554" s="261">
        <v>84</v>
      </c>
      <c r="D7554" s="244" t="s">
        <v>11</v>
      </c>
      <c r="E7554" s="263">
        <v>1</v>
      </c>
      <c r="F7554" s="294" t="s">
        <v>235</v>
      </c>
      <c r="G7554" s="294" t="s">
        <v>126</v>
      </c>
      <c r="H7554" s="298">
        <v>1</v>
      </c>
      <c r="M7554" s="274"/>
    </row>
    <row r="7555" spans="2:13" ht="15" customHeight="1" x14ac:dyDescent="0.25">
      <c r="B7555" s="289">
        <v>6735</v>
      </c>
      <c r="C7555" s="261">
        <v>91</v>
      </c>
      <c r="D7555" s="244" t="s">
        <v>12</v>
      </c>
      <c r="E7555" s="263">
        <v>2</v>
      </c>
      <c r="F7555" s="294" t="s">
        <v>126</v>
      </c>
      <c r="G7555" s="294" t="s">
        <v>214</v>
      </c>
      <c r="H7555" s="298">
        <v>1</v>
      </c>
      <c r="M7555" s="274"/>
    </row>
    <row r="7556" spans="2:13" ht="15" customHeight="1" x14ac:dyDescent="0.25">
      <c r="B7556" s="289">
        <v>6736</v>
      </c>
      <c r="C7556" s="261">
        <v>84</v>
      </c>
      <c r="D7556" s="244" t="s">
        <v>11</v>
      </c>
      <c r="E7556" s="263">
        <v>1</v>
      </c>
      <c r="F7556" s="294" t="s">
        <v>235</v>
      </c>
      <c r="G7556" s="294" t="s">
        <v>126</v>
      </c>
      <c r="H7556" s="298">
        <v>1</v>
      </c>
      <c r="M7556" s="274"/>
    </row>
    <row r="7557" spans="2:13" ht="15" customHeight="1" x14ac:dyDescent="0.25">
      <c r="B7557" s="289">
        <v>6737</v>
      </c>
      <c r="C7557" s="261">
        <v>87</v>
      </c>
      <c r="D7557" s="244" t="s">
        <v>11</v>
      </c>
      <c r="E7557" s="263">
        <v>1</v>
      </c>
      <c r="F7557" s="294" t="s">
        <v>235</v>
      </c>
      <c r="G7557" s="294" t="s">
        <v>126</v>
      </c>
      <c r="H7557" s="298">
        <v>1</v>
      </c>
      <c r="M7557" s="274"/>
    </row>
    <row r="7558" spans="2:13" ht="15" customHeight="1" x14ac:dyDescent="0.25">
      <c r="B7558" s="289">
        <v>6738</v>
      </c>
      <c r="C7558" s="261">
        <v>83</v>
      </c>
      <c r="D7558" s="244" t="s">
        <v>12</v>
      </c>
      <c r="E7558" s="263">
        <v>13</v>
      </c>
      <c r="F7558" s="294" t="s">
        <v>126</v>
      </c>
      <c r="G7558" s="294" t="s">
        <v>1290</v>
      </c>
      <c r="H7558" s="298">
        <v>1</v>
      </c>
      <c r="M7558" s="274"/>
    </row>
    <row r="7559" spans="2:13" ht="15" customHeight="1" x14ac:dyDescent="0.25">
      <c r="B7559" s="289">
        <v>6739</v>
      </c>
      <c r="C7559" s="261">
        <v>83</v>
      </c>
      <c r="D7559" s="244" t="s">
        <v>12</v>
      </c>
      <c r="E7559" s="263">
        <v>2</v>
      </c>
      <c r="F7559" s="294" t="s">
        <v>126</v>
      </c>
      <c r="G7559" s="294" t="s">
        <v>227</v>
      </c>
      <c r="H7559" s="298">
        <v>1</v>
      </c>
      <c r="M7559" s="274"/>
    </row>
    <row r="7560" spans="2:13" ht="15" customHeight="1" x14ac:dyDescent="0.25">
      <c r="B7560" s="289">
        <v>6739</v>
      </c>
      <c r="C7560" s="261">
        <v>89</v>
      </c>
      <c r="D7560" s="244" t="s">
        <v>12</v>
      </c>
      <c r="E7560" s="263">
        <v>12</v>
      </c>
      <c r="F7560" s="294" t="s">
        <v>126</v>
      </c>
      <c r="G7560" s="294" t="s">
        <v>1291</v>
      </c>
      <c r="H7560" s="298">
        <v>1</v>
      </c>
      <c r="M7560" s="274"/>
    </row>
    <row r="7561" spans="2:13" ht="15" customHeight="1" x14ac:dyDescent="0.25">
      <c r="B7561" s="289">
        <v>6740</v>
      </c>
      <c r="C7561" s="261">
        <v>89</v>
      </c>
      <c r="D7561" s="244" t="s">
        <v>11</v>
      </c>
      <c r="E7561" s="263">
        <v>4</v>
      </c>
      <c r="F7561" s="294" t="s">
        <v>315</v>
      </c>
      <c r="G7561" s="294" t="s">
        <v>126</v>
      </c>
      <c r="H7561" s="298">
        <v>1</v>
      </c>
      <c r="M7561" s="274"/>
    </row>
    <row r="7562" spans="2:13" ht="15" customHeight="1" x14ac:dyDescent="0.25">
      <c r="B7562" s="289">
        <v>6741</v>
      </c>
      <c r="C7562" s="261">
        <v>89</v>
      </c>
      <c r="D7562" s="244" t="s">
        <v>11</v>
      </c>
      <c r="E7562" s="263">
        <v>3</v>
      </c>
      <c r="F7562" s="294" t="s">
        <v>591</v>
      </c>
      <c r="G7562" s="294" t="s">
        <v>126</v>
      </c>
      <c r="H7562" s="298">
        <v>1</v>
      </c>
      <c r="M7562" s="274"/>
    </row>
    <row r="7563" spans="2:13" ht="15" customHeight="1" x14ac:dyDescent="0.25">
      <c r="B7563" s="289">
        <v>6742</v>
      </c>
      <c r="C7563" s="261">
        <v>89</v>
      </c>
      <c r="D7563" s="244" t="s">
        <v>12</v>
      </c>
      <c r="E7563" s="263">
        <v>21</v>
      </c>
      <c r="F7563" s="294" t="s">
        <v>126</v>
      </c>
      <c r="G7563" s="294" t="s">
        <v>1292</v>
      </c>
      <c r="H7563" s="298">
        <v>1</v>
      </c>
      <c r="M7563" s="274"/>
    </row>
    <row r="7564" spans="2:13" ht="15" customHeight="1" x14ac:dyDescent="0.25">
      <c r="B7564" s="289">
        <v>6743</v>
      </c>
      <c r="C7564" s="261">
        <v>83</v>
      </c>
      <c r="D7564" s="244" t="s">
        <v>12</v>
      </c>
      <c r="E7564" s="263">
        <v>14</v>
      </c>
      <c r="F7564" s="294" t="s">
        <v>126</v>
      </c>
      <c r="G7564" s="294" t="s">
        <v>1293</v>
      </c>
      <c r="H7564" s="298">
        <v>1</v>
      </c>
      <c r="M7564" s="274"/>
    </row>
    <row r="7565" spans="2:13" ht="15" customHeight="1" x14ac:dyDescent="0.25">
      <c r="B7565" s="289">
        <v>6744</v>
      </c>
      <c r="C7565" s="261">
        <v>86</v>
      </c>
      <c r="D7565" s="244" t="s">
        <v>11</v>
      </c>
      <c r="E7565" s="263">
        <v>17</v>
      </c>
      <c r="F7565" s="294" t="s">
        <v>1294</v>
      </c>
      <c r="G7565" s="294" t="s">
        <v>126</v>
      </c>
      <c r="H7565" s="298">
        <v>1</v>
      </c>
      <c r="M7565" s="274"/>
    </row>
    <row r="7566" spans="2:13" ht="15" customHeight="1" x14ac:dyDescent="0.25">
      <c r="B7566" s="289">
        <v>6745</v>
      </c>
      <c r="C7566" s="261">
        <v>89</v>
      </c>
      <c r="D7566" s="244" t="s">
        <v>12</v>
      </c>
      <c r="E7566" s="263">
        <v>54</v>
      </c>
      <c r="F7566" s="294" t="s">
        <v>126</v>
      </c>
      <c r="G7566" s="294" t="s">
        <v>1295</v>
      </c>
      <c r="H7566" s="298">
        <v>1</v>
      </c>
      <c r="M7566" s="274"/>
    </row>
    <row r="7567" spans="2:13" ht="15" customHeight="1" x14ac:dyDescent="0.25">
      <c r="B7567" s="289">
        <v>6747</v>
      </c>
      <c r="C7567" s="261">
        <v>87</v>
      </c>
      <c r="D7567" s="244" t="s">
        <v>12</v>
      </c>
      <c r="E7567" s="263">
        <v>2</v>
      </c>
      <c r="F7567" s="294" t="s">
        <v>126</v>
      </c>
      <c r="G7567" s="294" t="s">
        <v>454</v>
      </c>
      <c r="H7567" s="298">
        <v>1</v>
      </c>
      <c r="M7567" s="274"/>
    </row>
    <row r="7568" spans="2:13" ht="15" customHeight="1" x14ac:dyDescent="0.25">
      <c r="B7568" s="289">
        <v>6748</v>
      </c>
      <c r="C7568" s="261">
        <v>84</v>
      </c>
      <c r="D7568" s="244" t="s">
        <v>11</v>
      </c>
      <c r="E7568" s="263">
        <v>45</v>
      </c>
      <c r="F7568" s="294" t="s">
        <v>1296</v>
      </c>
      <c r="G7568" s="294" t="s">
        <v>126</v>
      </c>
      <c r="H7568" s="298">
        <v>1</v>
      </c>
      <c r="M7568" s="274"/>
    </row>
    <row r="7569" spans="2:13" ht="15" customHeight="1" x14ac:dyDescent="0.25">
      <c r="B7569" s="289">
        <v>6749</v>
      </c>
      <c r="C7569" s="261">
        <v>84</v>
      </c>
      <c r="D7569" s="244" t="s">
        <v>11</v>
      </c>
      <c r="E7569" s="263">
        <v>5</v>
      </c>
      <c r="F7569" s="294" t="s">
        <v>1297</v>
      </c>
      <c r="G7569" s="294" t="s">
        <v>126</v>
      </c>
      <c r="H7569" s="298">
        <v>1</v>
      </c>
      <c r="M7569" s="274"/>
    </row>
    <row r="7570" spans="2:13" ht="15" customHeight="1" x14ac:dyDescent="0.25">
      <c r="B7570" s="289">
        <v>6750</v>
      </c>
      <c r="C7570" s="261">
        <v>86</v>
      </c>
      <c r="D7570" s="244" t="s">
        <v>11</v>
      </c>
      <c r="E7570" s="263">
        <v>3</v>
      </c>
      <c r="F7570" s="294" t="s">
        <v>825</v>
      </c>
      <c r="G7570" s="294" t="s">
        <v>126</v>
      </c>
      <c r="H7570" s="298">
        <v>1</v>
      </c>
      <c r="M7570" s="274"/>
    </row>
    <row r="7571" spans="2:13" ht="15" customHeight="1" x14ac:dyDescent="0.25">
      <c r="B7571" s="289">
        <v>6751</v>
      </c>
      <c r="C7571" s="261">
        <v>81</v>
      </c>
      <c r="D7571" s="244" t="s">
        <v>12</v>
      </c>
      <c r="E7571" s="263">
        <v>2</v>
      </c>
      <c r="F7571" s="294" t="s">
        <v>126</v>
      </c>
      <c r="G7571" s="294" t="s">
        <v>341</v>
      </c>
      <c r="H7571" s="298">
        <v>1</v>
      </c>
      <c r="M7571" s="274"/>
    </row>
    <row r="7572" spans="2:13" ht="15" customHeight="1" x14ac:dyDescent="0.25">
      <c r="B7572" s="289">
        <v>6751</v>
      </c>
      <c r="C7572" s="261">
        <v>89</v>
      </c>
      <c r="D7572" s="244" t="s">
        <v>11</v>
      </c>
      <c r="E7572" s="263">
        <v>6</v>
      </c>
      <c r="F7572" s="294" t="s">
        <v>1298</v>
      </c>
      <c r="G7572" s="294" t="s">
        <v>126</v>
      </c>
      <c r="H7572" s="298">
        <v>1</v>
      </c>
      <c r="M7572" s="274"/>
    </row>
    <row r="7573" spans="2:13" ht="15" customHeight="1" x14ac:dyDescent="0.25">
      <c r="B7573" s="289">
        <v>6752</v>
      </c>
      <c r="C7573" s="261">
        <v>89</v>
      </c>
      <c r="D7573" s="244" t="s">
        <v>11</v>
      </c>
      <c r="E7573" s="263">
        <v>5</v>
      </c>
      <c r="F7573" s="294" t="s">
        <v>1174</v>
      </c>
      <c r="G7573" s="294" t="s">
        <v>126</v>
      </c>
      <c r="H7573" s="298">
        <v>1</v>
      </c>
      <c r="M7573" s="274"/>
    </row>
    <row r="7574" spans="2:13" ht="15" customHeight="1" x14ac:dyDescent="0.25">
      <c r="B7574" s="289">
        <v>6752</v>
      </c>
      <c r="C7574" s="261">
        <v>98</v>
      </c>
      <c r="D7574" s="244" t="s">
        <v>11</v>
      </c>
      <c r="E7574" s="263">
        <v>5</v>
      </c>
      <c r="F7574" s="294" t="s">
        <v>1228</v>
      </c>
      <c r="G7574" s="294" t="s">
        <v>126</v>
      </c>
      <c r="H7574" s="298">
        <v>1</v>
      </c>
      <c r="M7574" s="274"/>
    </row>
    <row r="7575" spans="2:13" ht="15" customHeight="1" x14ac:dyDescent="0.25">
      <c r="B7575" s="289">
        <v>6753</v>
      </c>
      <c r="C7575" s="261">
        <v>82</v>
      </c>
      <c r="D7575" s="244" t="s">
        <v>11</v>
      </c>
      <c r="E7575" s="263">
        <v>28</v>
      </c>
      <c r="F7575" s="294" t="s">
        <v>1299</v>
      </c>
      <c r="G7575" s="294" t="s">
        <v>126</v>
      </c>
      <c r="H7575" s="298">
        <v>1</v>
      </c>
      <c r="M7575" s="274"/>
    </row>
    <row r="7576" spans="2:13" ht="15" customHeight="1" x14ac:dyDescent="0.25">
      <c r="B7576" s="289">
        <v>6754</v>
      </c>
      <c r="C7576" s="261">
        <v>88</v>
      </c>
      <c r="D7576" s="244" t="s">
        <v>12</v>
      </c>
      <c r="E7576" s="263">
        <v>1</v>
      </c>
      <c r="F7576" s="294" t="s">
        <v>126</v>
      </c>
      <c r="G7576" s="294" t="s">
        <v>235</v>
      </c>
      <c r="H7576" s="298">
        <v>1</v>
      </c>
      <c r="M7576" s="274"/>
    </row>
    <row r="7577" spans="2:13" ht="15" customHeight="1" x14ac:dyDescent="0.25">
      <c r="B7577" s="289">
        <v>6755</v>
      </c>
      <c r="C7577" s="261">
        <v>83</v>
      </c>
      <c r="D7577" s="244" t="s">
        <v>11</v>
      </c>
      <c r="E7577" s="263">
        <v>46</v>
      </c>
      <c r="F7577" s="294" t="s">
        <v>1300</v>
      </c>
      <c r="G7577" s="294" t="s">
        <v>126</v>
      </c>
      <c r="H7577" s="298">
        <v>1</v>
      </c>
      <c r="M7577" s="274"/>
    </row>
    <row r="7578" spans="2:13" ht="15" customHeight="1" x14ac:dyDescent="0.25">
      <c r="B7578" s="289">
        <v>6756</v>
      </c>
      <c r="C7578" s="261">
        <v>83</v>
      </c>
      <c r="D7578" s="244" t="s">
        <v>11</v>
      </c>
      <c r="E7578" s="263">
        <v>35</v>
      </c>
      <c r="F7578" s="294" t="s">
        <v>1284</v>
      </c>
      <c r="G7578" s="294" t="s">
        <v>126</v>
      </c>
      <c r="H7578" s="298">
        <v>1</v>
      </c>
      <c r="M7578" s="274"/>
    </row>
    <row r="7579" spans="2:13" ht="15" customHeight="1" x14ac:dyDescent="0.25">
      <c r="B7579" s="289">
        <v>6757</v>
      </c>
      <c r="C7579" s="261">
        <v>83</v>
      </c>
      <c r="D7579" s="244" t="s">
        <v>11</v>
      </c>
      <c r="E7579" s="263">
        <v>3</v>
      </c>
      <c r="F7579" s="294" t="s">
        <v>1301</v>
      </c>
      <c r="G7579" s="294" t="s">
        <v>126</v>
      </c>
      <c r="H7579" s="298">
        <v>1</v>
      </c>
      <c r="M7579" s="274"/>
    </row>
    <row r="7580" spans="2:13" ht="15" customHeight="1" x14ac:dyDescent="0.25">
      <c r="B7580" s="289">
        <v>6758</v>
      </c>
      <c r="C7580" s="261">
        <v>84</v>
      </c>
      <c r="D7580" s="244" t="s">
        <v>11</v>
      </c>
      <c r="E7580" s="263">
        <v>26</v>
      </c>
      <c r="F7580" s="294" t="s">
        <v>1302</v>
      </c>
      <c r="G7580" s="294" t="s">
        <v>126</v>
      </c>
      <c r="H7580" s="298">
        <v>1</v>
      </c>
      <c r="M7580" s="274"/>
    </row>
    <row r="7581" spans="2:13" ht="15" customHeight="1" x14ac:dyDescent="0.25">
      <c r="B7581" s="289">
        <v>6759</v>
      </c>
      <c r="C7581" s="261">
        <v>84</v>
      </c>
      <c r="D7581" s="244" t="s">
        <v>11</v>
      </c>
      <c r="E7581" s="263">
        <v>1</v>
      </c>
      <c r="F7581" s="294" t="s">
        <v>235</v>
      </c>
      <c r="G7581" s="294" t="s">
        <v>126</v>
      </c>
      <c r="H7581" s="298">
        <v>1</v>
      </c>
      <c r="M7581" s="274"/>
    </row>
    <row r="7582" spans="2:13" ht="15" customHeight="1" x14ac:dyDescent="0.25">
      <c r="B7582" s="289">
        <v>6759</v>
      </c>
      <c r="C7582" s="261">
        <v>89</v>
      </c>
      <c r="D7582" s="244" t="s">
        <v>11</v>
      </c>
      <c r="E7582" s="263">
        <v>10</v>
      </c>
      <c r="F7582" s="294" t="s">
        <v>1259</v>
      </c>
      <c r="G7582" s="294" t="s">
        <v>126</v>
      </c>
      <c r="H7582" s="298">
        <v>1</v>
      </c>
      <c r="M7582" s="274"/>
    </row>
    <row r="7583" spans="2:13" ht="15" customHeight="1" x14ac:dyDescent="0.25">
      <c r="B7583" s="289">
        <v>6760</v>
      </c>
      <c r="C7583" s="261">
        <v>84</v>
      </c>
      <c r="D7583" s="244" t="s">
        <v>11</v>
      </c>
      <c r="E7583" s="263">
        <v>1</v>
      </c>
      <c r="F7583" s="294" t="s">
        <v>235</v>
      </c>
      <c r="G7583" s="294" t="s">
        <v>126</v>
      </c>
      <c r="H7583" s="298">
        <v>1</v>
      </c>
      <c r="M7583" s="274"/>
    </row>
    <row r="7584" spans="2:13" ht="15" customHeight="1" x14ac:dyDescent="0.25">
      <c r="B7584" s="289">
        <v>6760</v>
      </c>
      <c r="C7584" s="261">
        <v>89</v>
      </c>
      <c r="D7584" s="244" t="s">
        <v>12</v>
      </c>
      <c r="E7584" s="263">
        <v>17</v>
      </c>
      <c r="F7584" s="294" t="s">
        <v>126</v>
      </c>
      <c r="G7584" s="294" t="s">
        <v>1303</v>
      </c>
      <c r="H7584" s="298">
        <v>1</v>
      </c>
      <c r="M7584" s="274"/>
    </row>
    <row r="7585" spans="2:13" ht="15" customHeight="1" x14ac:dyDescent="0.25">
      <c r="B7585" s="289">
        <v>6761</v>
      </c>
      <c r="C7585" s="261">
        <v>89</v>
      </c>
      <c r="D7585" s="244" t="s">
        <v>12</v>
      </c>
      <c r="E7585" s="263">
        <v>1</v>
      </c>
      <c r="F7585" s="294" t="s">
        <v>126</v>
      </c>
      <c r="G7585" s="294" t="s">
        <v>437</v>
      </c>
      <c r="H7585" s="298">
        <v>1</v>
      </c>
      <c r="M7585" s="274"/>
    </row>
    <row r="7586" spans="2:13" ht="15" customHeight="1" x14ac:dyDescent="0.25">
      <c r="B7586" s="289">
        <v>6762</v>
      </c>
      <c r="C7586" s="261">
        <v>85</v>
      </c>
      <c r="D7586" s="244" t="s">
        <v>11</v>
      </c>
      <c r="E7586" s="263">
        <v>19</v>
      </c>
      <c r="F7586" s="294" t="s">
        <v>1304</v>
      </c>
      <c r="G7586" s="294" t="s">
        <v>126</v>
      </c>
      <c r="H7586" s="298">
        <v>1</v>
      </c>
      <c r="M7586" s="274"/>
    </row>
    <row r="7587" spans="2:13" ht="15" customHeight="1" x14ac:dyDescent="0.25">
      <c r="B7587" s="289">
        <v>6763</v>
      </c>
      <c r="C7587" s="261">
        <v>85</v>
      </c>
      <c r="D7587" s="244" t="s">
        <v>11</v>
      </c>
      <c r="E7587" s="263">
        <v>11</v>
      </c>
      <c r="F7587" s="294" t="s">
        <v>1305</v>
      </c>
      <c r="G7587" s="294" t="s">
        <v>126</v>
      </c>
      <c r="H7587" s="298">
        <v>1</v>
      </c>
      <c r="M7587" s="274"/>
    </row>
    <row r="7588" spans="2:13" ht="15" customHeight="1" x14ac:dyDescent="0.25">
      <c r="B7588" s="289">
        <v>6764</v>
      </c>
      <c r="C7588" s="261">
        <v>85</v>
      </c>
      <c r="D7588" s="244" t="s">
        <v>11</v>
      </c>
      <c r="E7588" s="263">
        <v>10</v>
      </c>
      <c r="F7588" s="294" t="s">
        <v>1157</v>
      </c>
      <c r="G7588" s="294" t="s">
        <v>126</v>
      </c>
      <c r="H7588" s="298">
        <v>1</v>
      </c>
      <c r="M7588" s="274"/>
    </row>
    <row r="7589" spans="2:13" ht="15" customHeight="1" x14ac:dyDescent="0.25">
      <c r="B7589" s="289">
        <v>6765</v>
      </c>
      <c r="C7589" s="261">
        <v>86</v>
      </c>
      <c r="D7589" s="244" t="s">
        <v>11</v>
      </c>
      <c r="E7589" s="263">
        <v>1</v>
      </c>
      <c r="F7589" s="294" t="s">
        <v>139</v>
      </c>
      <c r="G7589" s="294" t="s">
        <v>126</v>
      </c>
      <c r="H7589" s="298">
        <v>1</v>
      </c>
      <c r="M7589" s="274"/>
    </row>
    <row r="7590" spans="2:13" ht="15" customHeight="1" x14ac:dyDescent="0.25">
      <c r="B7590" s="289">
        <v>6765</v>
      </c>
      <c r="C7590" s="261">
        <v>90</v>
      </c>
      <c r="D7590" s="244" t="s">
        <v>11</v>
      </c>
      <c r="E7590" s="263">
        <v>4</v>
      </c>
      <c r="F7590" s="294" t="s">
        <v>1192</v>
      </c>
      <c r="G7590" s="294" t="s">
        <v>126</v>
      </c>
      <c r="H7590" s="298">
        <v>1</v>
      </c>
      <c r="M7590" s="274"/>
    </row>
    <row r="7591" spans="2:13" ht="15" customHeight="1" x14ac:dyDescent="0.25">
      <c r="B7591" s="289">
        <v>6766</v>
      </c>
      <c r="C7591" s="261">
        <v>87</v>
      </c>
      <c r="D7591" s="244" t="s">
        <v>11</v>
      </c>
      <c r="E7591" s="263">
        <v>23</v>
      </c>
      <c r="F7591" s="294" t="s">
        <v>1306</v>
      </c>
      <c r="G7591" s="294" t="s">
        <v>126</v>
      </c>
      <c r="H7591" s="298">
        <v>1</v>
      </c>
      <c r="M7591" s="274"/>
    </row>
    <row r="7592" spans="2:13" ht="15" customHeight="1" x14ac:dyDescent="0.25">
      <c r="B7592" s="289">
        <v>6767</v>
      </c>
      <c r="C7592" s="261">
        <v>88</v>
      </c>
      <c r="D7592" s="244" t="s">
        <v>12</v>
      </c>
      <c r="E7592" s="263">
        <v>1</v>
      </c>
      <c r="F7592" s="294" t="s">
        <v>126</v>
      </c>
      <c r="G7592" s="294" t="s">
        <v>437</v>
      </c>
      <c r="H7592" s="298">
        <v>1</v>
      </c>
      <c r="M7592" s="274"/>
    </row>
    <row r="7593" spans="2:13" ht="15" customHeight="1" x14ac:dyDescent="0.25">
      <c r="B7593" s="289">
        <v>6768</v>
      </c>
      <c r="C7593" s="261">
        <v>89</v>
      </c>
      <c r="D7593" s="244" t="s">
        <v>11</v>
      </c>
      <c r="E7593" s="263">
        <v>7</v>
      </c>
      <c r="F7593" s="294" t="s">
        <v>1307</v>
      </c>
      <c r="G7593" s="294" t="s">
        <v>126</v>
      </c>
      <c r="H7593" s="298">
        <v>1</v>
      </c>
      <c r="M7593" s="274"/>
    </row>
    <row r="7594" spans="2:13" ht="15" customHeight="1" x14ac:dyDescent="0.25">
      <c r="B7594" s="289">
        <v>6769</v>
      </c>
      <c r="C7594" s="261">
        <v>89</v>
      </c>
      <c r="D7594" s="244" t="s">
        <v>11</v>
      </c>
      <c r="E7594" s="263">
        <v>5</v>
      </c>
      <c r="F7594" s="294" t="s">
        <v>1174</v>
      </c>
      <c r="G7594" s="294" t="s">
        <v>126</v>
      </c>
      <c r="H7594" s="298">
        <v>1</v>
      </c>
      <c r="M7594" s="274"/>
    </row>
    <row r="7595" spans="2:13" ht="15" customHeight="1" x14ac:dyDescent="0.25">
      <c r="B7595" s="289">
        <v>6771</v>
      </c>
      <c r="C7595" s="261">
        <v>89</v>
      </c>
      <c r="D7595" s="244" t="s">
        <v>12</v>
      </c>
      <c r="E7595" s="263">
        <v>20</v>
      </c>
      <c r="F7595" s="294" t="s">
        <v>126</v>
      </c>
      <c r="G7595" s="294" t="s">
        <v>1308</v>
      </c>
      <c r="H7595" s="298">
        <v>1</v>
      </c>
      <c r="M7595" s="274"/>
    </row>
    <row r="7596" spans="2:13" ht="15" customHeight="1" x14ac:dyDescent="0.25">
      <c r="B7596" s="289">
        <v>6773</v>
      </c>
      <c r="C7596" s="261">
        <v>86</v>
      </c>
      <c r="D7596" s="244" t="s">
        <v>11</v>
      </c>
      <c r="E7596" s="263">
        <v>9</v>
      </c>
      <c r="F7596" s="294" t="s">
        <v>1309</v>
      </c>
      <c r="G7596" s="294" t="s">
        <v>126</v>
      </c>
      <c r="H7596" s="298">
        <v>1</v>
      </c>
      <c r="M7596" s="274"/>
    </row>
    <row r="7597" spans="2:13" ht="15" customHeight="1" x14ac:dyDescent="0.25">
      <c r="B7597" s="289">
        <v>6774</v>
      </c>
      <c r="C7597" s="261">
        <v>86</v>
      </c>
      <c r="D7597" s="244" t="s">
        <v>11</v>
      </c>
      <c r="E7597" s="263">
        <v>6</v>
      </c>
      <c r="F7597" s="294" t="s">
        <v>1310</v>
      </c>
      <c r="G7597" s="294" t="s">
        <v>126</v>
      </c>
      <c r="H7597" s="298">
        <v>1</v>
      </c>
      <c r="M7597" s="274"/>
    </row>
    <row r="7598" spans="2:13" ht="15" customHeight="1" x14ac:dyDescent="0.25">
      <c r="B7598" s="289">
        <v>6775</v>
      </c>
      <c r="C7598" s="261">
        <v>87</v>
      </c>
      <c r="D7598" s="244" t="s">
        <v>12</v>
      </c>
      <c r="E7598" s="263">
        <v>3</v>
      </c>
      <c r="F7598" s="294" t="s">
        <v>126</v>
      </c>
      <c r="G7598" s="294" t="s">
        <v>1186</v>
      </c>
      <c r="H7598" s="298">
        <v>1</v>
      </c>
      <c r="M7598" s="274"/>
    </row>
    <row r="7599" spans="2:13" ht="15" customHeight="1" x14ac:dyDescent="0.25">
      <c r="B7599" s="289">
        <v>6776</v>
      </c>
      <c r="C7599" s="261">
        <v>86</v>
      </c>
      <c r="D7599" s="244" t="s">
        <v>12</v>
      </c>
      <c r="E7599" s="263">
        <v>5</v>
      </c>
      <c r="F7599" s="294" t="s">
        <v>126</v>
      </c>
      <c r="G7599" s="294" t="s">
        <v>1184</v>
      </c>
      <c r="H7599" s="298">
        <v>1</v>
      </c>
      <c r="M7599" s="274"/>
    </row>
    <row r="7600" spans="2:13" ht="15" customHeight="1" x14ac:dyDescent="0.25">
      <c r="B7600" s="289">
        <v>6778</v>
      </c>
      <c r="C7600" s="261">
        <v>83</v>
      </c>
      <c r="D7600" s="244" t="s">
        <v>12</v>
      </c>
      <c r="E7600" s="263">
        <v>3</v>
      </c>
      <c r="F7600" s="294" t="s">
        <v>126</v>
      </c>
      <c r="G7600" s="294" t="s">
        <v>1311</v>
      </c>
      <c r="H7600" s="298">
        <v>1</v>
      </c>
      <c r="M7600" s="274"/>
    </row>
    <row r="7601" spans="2:13" ht="15" customHeight="1" x14ac:dyDescent="0.25">
      <c r="B7601" s="289">
        <v>6778</v>
      </c>
      <c r="C7601" s="261">
        <v>89</v>
      </c>
      <c r="D7601" s="244" t="s">
        <v>11</v>
      </c>
      <c r="E7601" s="263">
        <v>10</v>
      </c>
      <c r="F7601" s="294" t="s">
        <v>1259</v>
      </c>
      <c r="G7601" s="294" t="s">
        <v>126</v>
      </c>
      <c r="H7601" s="298">
        <v>1</v>
      </c>
      <c r="M7601" s="274"/>
    </row>
    <row r="7602" spans="2:13" ht="15" customHeight="1" x14ac:dyDescent="0.25">
      <c r="B7602" s="289">
        <v>6779</v>
      </c>
      <c r="C7602" s="261">
        <v>83</v>
      </c>
      <c r="D7602" s="244" t="s">
        <v>11</v>
      </c>
      <c r="E7602" s="263">
        <v>44</v>
      </c>
      <c r="F7602" s="294" t="s">
        <v>1312</v>
      </c>
      <c r="G7602" s="294" t="s">
        <v>126</v>
      </c>
      <c r="H7602" s="298">
        <v>1</v>
      </c>
      <c r="M7602" s="274"/>
    </row>
    <row r="7603" spans="2:13" ht="15" customHeight="1" x14ac:dyDescent="0.25">
      <c r="B7603" s="289">
        <v>6780</v>
      </c>
      <c r="C7603" s="261">
        <v>88</v>
      </c>
      <c r="D7603" s="244" t="s">
        <v>12</v>
      </c>
      <c r="E7603" s="263">
        <v>2</v>
      </c>
      <c r="F7603" s="294" t="s">
        <v>126</v>
      </c>
      <c r="G7603" s="294" t="s">
        <v>789</v>
      </c>
      <c r="H7603" s="298">
        <v>1</v>
      </c>
      <c r="M7603" s="274"/>
    </row>
    <row r="7604" spans="2:13" ht="15" customHeight="1" x14ac:dyDescent="0.25">
      <c r="B7604" s="289">
        <v>6782</v>
      </c>
      <c r="C7604" s="261">
        <v>83</v>
      </c>
      <c r="D7604" s="244" t="s">
        <v>11</v>
      </c>
      <c r="E7604" s="263">
        <v>10</v>
      </c>
      <c r="F7604" s="294" t="s">
        <v>1245</v>
      </c>
      <c r="G7604" s="294" t="s">
        <v>126</v>
      </c>
      <c r="H7604" s="298">
        <v>1</v>
      </c>
      <c r="M7604" s="274"/>
    </row>
    <row r="7605" spans="2:13" ht="15" customHeight="1" x14ac:dyDescent="0.25">
      <c r="B7605" s="289">
        <v>6783</v>
      </c>
      <c r="C7605" s="261">
        <v>85</v>
      </c>
      <c r="D7605" s="244" t="s">
        <v>11</v>
      </c>
      <c r="E7605" s="263">
        <v>9</v>
      </c>
      <c r="F7605" s="294" t="s">
        <v>1313</v>
      </c>
      <c r="G7605" s="294" t="s">
        <v>126</v>
      </c>
      <c r="H7605" s="298">
        <v>1</v>
      </c>
      <c r="M7605" s="274"/>
    </row>
    <row r="7606" spans="2:13" ht="15" customHeight="1" x14ac:dyDescent="0.25">
      <c r="B7606" s="289">
        <v>6784</v>
      </c>
      <c r="C7606" s="261">
        <v>87</v>
      </c>
      <c r="D7606" s="244" t="s">
        <v>12</v>
      </c>
      <c r="E7606" s="263">
        <v>1</v>
      </c>
      <c r="F7606" s="294" t="s">
        <v>126</v>
      </c>
      <c r="G7606" s="294" t="s">
        <v>437</v>
      </c>
      <c r="H7606" s="298">
        <v>1</v>
      </c>
      <c r="M7606" s="274"/>
    </row>
    <row r="7607" spans="2:13" ht="15" customHeight="1" x14ac:dyDescent="0.25">
      <c r="B7607" s="289">
        <v>6785</v>
      </c>
      <c r="C7607" s="261">
        <v>88</v>
      </c>
      <c r="D7607" s="244" t="s">
        <v>12</v>
      </c>
      <c r="E7607" s="263">
        <v>1</v>
      </c>
      <c r="F7607" s="294" t="s">
        <v>126</v>
      </c>
      <c r="G7607" s="294" t="s">
        <v>437</v>
      </c>
      <c r="H7607" s="298">
        <v>1</v>
      </c>
      <c r="M7607" s="274"/>
    </row>
    <row r="7608" spans="2:13" ht="15" customHeight="1" x14ac:dyDescent="0.25">
      <c r="B7608" s="289">
        <v>6786</v>
      </c>
      <c r="C7608" s="261">
        <v>89</v>
      </c>
      <c r="D7608" s="244" t="s">
        <v>11</v>
      </c>
      <c r="E7608" s="263">
        <v>10</v>
      </c>
      <c r="F7608" s="294" t="s">
        <v>1259</v>
      </c>
      <c r="G7608" s="294" t="s">
        <v>126</v>
      </c>
      <c r="H7608" s="298">
        <v>1</v>
      </c>
      <c r="M7608" s="274"/>
    </row>
    <row r="7609" spans="2:13" ht="15" customHeight="1" x14ac:dyDescent="0.25">
      <c r="B7609" s="289">
        <v>6787</v>
      </c>
      <c r="C7609" s="261">
        <v>83</v>
      </c>
      <c r="D7609" s="244" t="s">
        <v>12</v>
      </c>
      <c r="E7609" s="263">
        <v>1</v>
      </c>
      <c r="F7609" s="294" t="s">
        <v>126</v>
      </c>
      <c r="G7609" s="294" t="s">
        <v>139</v>
      </c>
      <c r="H7609" s="298">
        <v>1</v>
      </c>
      <c r="M7609" s="274"/>
    </row>
    <row r="7610" spans="2:13" ht="15" customHeight="1" x14ac:dyDescent="0.25">
      <c r="B7610" s="289">
        <v>6787</v>
      </c>
      <c r="C7610" s="261">
        <v>89</v>
      </c>
      <c r="D7610" s="244" t="s">
        <v>11</v>
      </c>
      <c r="E7610" s="263">
        <v>5</v>
      </c>
      <c r="F7610" s="294" t="s">
        <v>1174</v>
      </c>
      <c r="G7610" s="294" t="s">
        <v>126</v>
      </c>
      <c r="H7610" s="298">
        <v>1</v>
      </c>
      <c r="M7610" s="274"/>
    </row>
    <row r="7611" spans="2:13" ht="15" customHeight="1" x14ac:dyDescent="0.25">
      <c r="B7611" s="289">
        <v>6787</v>
      </c>
      <c r="C7611" s="261">
        <v>98</v>
      </c>
      <c r="D7611" s="244" t="s">
        <v>11</v>
      </c>
      <c r="E7611" s="263">
        <v>4</v>
      </c>
      <c r="F7611" s="294" t="s">
        <v>1314</v>
      </c>
      <c r="G7611" s="294" t="s">
        <v>126</v>
      </c>
      <c r="H7611" s="298">
        <v>1</v>
      </c>
      <c r="M7611" s="274"/>
    </row>
    <row r="7612" spans="2:13" ht="15" customHeight="1" x14ac:dyDescent="0.25">
      <c r="B7612" s="289">
        <v>6788</v>
      </c>
      <c r="C7612" s="261">
        <v>83</v>
      </c>
      <c r="D7612" s="244" t="s">
        <v>12</v>
      </c>
      <c r="E7612" s="263">
        <v>1</v>
      </c>
      <c r="F7612" s="294" t="s">
        <v>126</v>
      </c>
      <c r="G7612" s="294" t="s">
        <v>139</v>
      </c>
      <c r="H7612" s="298">
        <v>1</v>
      </c>
      <c r="M7612" s="274"/>
    </row>
    <row r="7613" spans="2:13" ht="15" customHeight="1" x14ac:dyDescent="0.25">
      <c r="B7613" s="289">
        <v>6788</v>
      </c>
      <c r="C7613" s="261">
        <v>89</v>
      </c>
      <c r="D7613" s="244" t="s">
        <v>11</v>
      </c>
      <c r="E7613" s="263">
        <v>1</v>
      </c>
      <c r="F7613" s="294" t="s">
        <v>426</v>
      </c>
      <c r="G7613" s="294" t="s">
        <v>126</v>
      </c>
      <c r="H7613" s="298">
        <v>1</v>
      </c>
      <c r="M7613" s="274"/>
    </row>
    <row r="7614" spans="2:13" ht="15" customHeight="1" x14ac:dyDescent="0.25">
      <c r="B7614" s="289">
        <v>6789</v>
      </c>
      <c r="C7614" s="261">
        <v>83</v>
      </c>
      <c r="D7614" s="244" t="s">
        <v>12</v>
      </c>
      <c r="E7614" s="263">
        <v>1</v>
      </c>
      <c r="F7614" s="294" t="s">
        <v>126</v>
      </c>
      <c r="G7614" s="294" t="s">
        <v>139</v>
      </c>
      <c r="H7614" s="298">
        <v>1</v>
      </c>
      <c r="M7614" s="274"/>
    </row>
    <row r="7615" spans="2:13" ht="15" customHeight="1" x14ac:dyDescent="0.25">
      <c r="B7615" s="289">
        <v>6789</v>
      </c>
      <c r="C7615" s="261">
        <v>89</v>
      </c>
      <c r="D7615" s="244" t="s">
        <v>12</v>
      </c>
      <c r="E7615" s="263">
        <v>10</v>
      </c>
      <c r="F7615" s="294" t="s">
        <v>126</v>
      </c>
      <c r="G7615" s="294" t="s">
        <v>1315</v>
      </c>
      <c r="H7615" s="298">
        <v>1</v>
      </c>
      <c r="M7615" s="274"/>
    </row>
    <row r="7616" spans="2:13" ht="15" customHeight="1" x14ac:dyDescent="0.25">
      <c r="B7616" s="289">
        <v>6790</v>
      </c>
      <c r="C7616" s="261">
        <v>83</v>
      </c>
      <c r="D7616" s="244" t="s">
        <v>12</v>
      </c>
      <c r="E7616" s="263">
        <v>1</v>
      </c>
      <c r="F7616" s="294" t="s">
        <v>126</v>
      </c>
      <c r="G7616" s="294" t="s">
        <v>139</v>
      </c>
      <c r="H7616" s="298">
        <v>1</v>
      </c>
      <c r="M7616" s="274"/>
    </row>
    <row r="7617" spans="2:13" ht="15" customHeight="1" x14ac:dyDescent="0.25">
      <c r="B7617" s="289">
        <v>6790</v>
      </c>
      <c r="C7617" s="261">
        <v>89</v>
      </c>
      <c r="D7617" s="244" t="s">
        <v>12</v>
      </c>
      <c r="E7617" s="263">
        <v>1</v>
      </c>
      <c r="F7617" s="294" t="s">
        <v>126</v>
      </c>
      <c r="G7617" s="294" t="s">
        <v>139</v>
      </c>
      <c r="H7617" s="298">
        <v>1</v>
      </c>
      <c r="M7617" s="274"/>
    </row>
    <row r="7618" spans="2:13" ht="15" customHeight="1" x14ac:dyDescent="0.25">
      <c r="B7618" s="289">
        <v>6791</v>
      </c>
      <c r="C7618" s="261">
        <v>81</v>
      </c>
      <c r="D7618" s="244" t="s">
        <v>12</v>
      </c>
      <c r="E7618" s="263">
        <v>15</v>
      </c>
      <c r="F7618" s="294" t="s">
        <v>126</v>
      </c>
      <c r="G7618" s="294" t="s">
        <v>1316</v>
      </c>
      <c r="H7618" s="298">
        <v>1</v>
      </c>
      <c r="M7618" s="274"/>
    </row>
    <row r="7619" spans="2:13" ht="15" customHeight="1" x14ac:dyDescent="0.25">
      <c r="B7619" s="289">
        <v>6791</v>
      </c>
      <c r="C7619" s="261">
        <v>89</v>
      </c>
      <c r="D7619" s="244" t="s">
        <v>12</v>
      </c>
      <c r="E7619" s="263">
        <v>16</v>
      </c>
      <c r="F7619" s="294" t="s">
        <v>126</v>
      </c>
      <c r="G7619" s="294" t="s">
        <v>1317</v>
      </c>
      <c r="H7619" s="298">
        <v>1</v>
      </c>
      <c r="M7619" s="274"/>
    </row>
    <row r="7620" spans="2:13" ht="15" customHeight="1" x14ac:dyDescent="0.25">
      <c r="B7620" s="289">
        <v>6792</v>
      </c>
      <c r="C7620" s="261">
        <v>87</v>
      </c>
      <c r="D7620" s="244" t="s">
        <v>11</v>
      </c>
      <c r="E7620" s="263">
        <v>8</v>
      </c>
      <c r="F7620" s="294" t="s">
        <v>1216</v>
      </c>
      <c r="G7620" s="294" t="s">
        <v>126</v>
      </c>
      <c r="H7620" s="298">
        <v>1</v>
      </c>
      <c r="M7620" s="274"/>
    </row>
    <row r="7621" spans="2:13" ht="15" customHeight="1" x14ac:dyDescent="0.25">
      <c r="B7621" s="289">
        <v>6793</v>
      </c>
      <c r="C7621" s="261">
        <v>87</v>
      </c>
      <c r="D7621" s="244" t="s">
        <v>12</v>
      </c>
      <c r="E7621" s="263">
        <v>6</v>
      </c>
      <c r="F7621" s="294" t="s">
        <v>126</v>
      </c>
      <c r="G7621" s="294" t="s">
        <v>1318</v>
      </c>
      <c r="H7621" s="298">
        <v>1</v>
      </c>
      <c r="M7621" s="274"/>
    </row>
    <row r="7622" spans="2:13" ht="15" customHeight="1" x14ac:dyDescent="0.25">
      <c r="B7622" s="289">
        <v>6793</v>
      </c>
      <c r="C7622" s="261">
        <v>94</v>
      </c>
      <c r="D7622" s="244" t="s">
        <v>12</v>
      </c>
      <c r="E7622" s="263">
        <v>12</v>
      </c>
      <c r="F7622" s="294" t="s">
        <v>126</v>
      </c>
      <c r="G7622" s="294" t="s">
        <v>1319</v>
      </c>
      <c r="H7622" s="298">
        <v>1</v>
      </c>
      <c r="M7622" s="274"/>
    </row>
    <row r="7623" spans="2:13" ht="15" customHeight="1" x14ac:dyDescent="0.25">
      <c r="B7623" s="289">
        <v>6794</v>
      </c>
      <c r="C7623" s="261">
        <v>84</v>
      </c>
      <c r="D7623" s="244" t="s">
        <v>12</v>
      </c>
      <c r="E7623" s="263">
        <v>2</v>
      </c>
      <c r="F7623" s="294" t="s">
        <v>126</v>
      </c>
      <c r="G7623" s="294" t="s">
        <v>420</v>
      </c>
      <c r="H7623" s="298">
        <v>1</v>
      </c>
      <c r="M7623" s="274"/>
    </row>
    <row r="7624" spans="2:13" ht="15" customHeight="1" x14ac:dyDescent="0.25">
      <c r="B7624" s="289">
        <v>6794</v>
      </c>
      <c r="C7624" s="261">
        <v>89</v>
      </c>
      <c r="D7624" s="244" t="s">
        <v>11</v>
      </c>
      <c r="E7624" s="263">
        <v>10</v>
      </c>
      <c r="F7624" s="294" t="s">
        <v>1259</v>
      </c>
      <c r="G7624" s="294" t="s">
        <v>126</v>
      </c>
      <c r="H7624" s="298">
        <v>1</v>
      </c>
      <c r="M7624" s="274"/>
    </row>
    <row r="7625" spans="2:13" ht="15" customHeight="1" x14ac:dyDescent="0.25">
      <c r="B7625" s="289">
        <v>6795</v>
      </c>
      <c r="C7625" s="261">
        <v>84</v>
      </c>
      <c r="D7625" s="244" t="s">
        <v>12</v>
      </c>
      <c r="E7625" s="263">
        <v>2</v>
      </c>
      <c r="F7625" s="294" t="s">
        <v>126</v>
      </c>
      <c r="G7625" s="294" t="s">
        <v>420</v>
      </c>
      <c r="H7625" s="298">
        <v>1</v>
      </c>
      <c r="M7625" s="274"/>
    </row>
    <row r="7626" spans="2:13" ht="15" customHeight="1" x14ac:dyDescent="0.25">
      <c r="B7626" s="289">
        <v>6795</v>
      </c>
      <c r="C7626" s="261">
        <v>89</v>
      </c>
      <c r="D7626" s="244" t="s">
        <v>12</v>
      </c>
      <c r="E7626" s="263">
        <v>2</v>
      </c>
      <c r="F7626" s="294" t="s">
        <v>126</v>
      </c>
      <c r="G7626" s="294" t="s">
        <v>420</v>
      </c>
      <c r="H7626" s="298">
        <v>1</v>
      </c>
      <c r="M7626" s="274"/>
    </row>
    <row r="7627" spans="2:13" ht="15" customHeight="1" x14ac:dyDescent="0.25">
      <c r="B7627" s="289">
        <v>6796</v>
      </c>
      <c r="C7627" s="261">
        <v>83</v>
      </c>
      <c r="D7627" s="244" t="s">
        <v>12</v>
      </c>
      <c r="E7627" s="263">
        <v>2</v>
      </c>
      <c r="F7627" s="294" t="s">
        <v>126</v>
      </c>
      <c r="G7627" s="294" t="s">
        <v>233</v>
      </c>
      <c r="H7627" s="298">
        <v>1</v>
      </c>
      <c r="M7627" s="274"/>
    </row>
    <row r="7628" spans="2:13" ht="15" customHeight="1" x14ac:dyDescent="0.25">
      <c r="B7628" s="289">
        <v>6797</v>
      </c>
      <c r="C7628" s="261">
        <v>83</v>
      </c>
      <c r="D7628" s="244" t="s">
        <v>12</v>
      </c>
      <c r="E7628" s="263">
        <v>2</v>
      </c>
      <c r="F7628" s="294" t="s">
        <v>126</v>
      </c>
      <c r="G7628" s="294" t="s">
        <v>233</v>
      </c>
      <c r="H7628" s="298">
        <v>1</v>
      </c>
      <c r="M7628" s="274"/>
    </row>
    <row r="7629" spans="2:13" ht="15" customHeight="1" x14ac:dyDescent="0.25">
      <c r="B7629" s="289">
        <v>6797</v>
      </c>
      <c r="C7629" s="261">
        <v>89</v>
      </c>
      <c r="D7629" s="244" t="s">
        <v>11</v>
      </c>
      <c r="E7629" s="263">
        <v>5</v>
      </c>
      <c r="F7629" s="294" t="s">
        <v>1174</v>
      </c>
      <c r="G7629" s="294" t="s">
        <v>126</v>
      </c>
      <c r="H7629" s="298">
        <v>1</v>
      </c>
      <c r="M7629" s="274"/>
    </row>
    <row r="7630" spans="2:13" ht="15" customHeight="1" x14ac:dyDescent="0.25">
      <c r="B7630" s="289">
        <v>6798</v>
      </c>
      <c r="C7630" s="261">
        <v>83</v>
      </c>
      <c r="D7630" s="244" t="s">
        <v>12</v>
      </c>
      <c r="E7630" s="263">
        <v>2</v>
      </c>
      <c r="F7630" s="294" t="s">
        <v>126</v>
      </c>
      <c r="G7630" s="294" t="s">
        <v>233</v>
      </c>
      <c r="H7630" s="298">
        <v>1</v>
      </c>
      <c r="M7630" s="274"/>
    </row>
    <row r="7631" spans="2:13" ht="15" customHeight="1" x14ac:dyDescent="0.25">
      <c r="B7631" s="289">
        <v>6798</v>
      </c>
      <c r="C7631" s="261">
        <v>89</v>
      </c>
      <c r="D7631" s="244" t="s">
        <v>12</v>
      </c>
      <c r="E7631" s="263">
        <v>2</v>
      </c>
      <c r="F7631" s="294" t="s">
        <v>126</v>
      </c>
      <c r="G7631" s="294" t="s">
        <v>420</v>
      </c>
      <c r="H7631" s="298">
        <v>1</v>
      </c>
      <c r="M7631" s="274"/>
    </row>
    <row r="7632" spans="2:13" ht="15" customHeight="1" x14ac:dyDescent="0.25">
      <c r="B7632" s="289">
        <v>6799</v>
      </c>
      <c r="C7632" s="261">
        <v>83</v>
      </c>
      <c r="D7632" s="244" t="s">
        <v>12</v>
      </c>
      <c r="E7632" s="263">
        <v>2</v>
      </c>
      <c r="F7632" s="294" t="s">
        <v>126</v>
      </c>
      <c r="G7632" s="294" t="s">
        <v>233</v>
      </c>
      <c r="H7632" s="298">
        <v>1</v>
      </c>
      <c r="M7632" s="274"/>
    </row>
    <row r="7633" spans="2:13" ht="15" customHeight="1" x14ac:dyDescent="0.25">
      <c r="B7633" s="289">
        <v>6799</v>
      </c>
      <c r="C7633" s="261">
        <v>89</v>
      </c>
      <c r="D7633" s="244" t="s">
        <v>12</v>
      </c>
      <c r="E7633" s="263">
        <v>2</v>
      </c>
      <c r="F7633" s="294" t="s">
        <v>126</v>
      </c>
      <c r="G7633" s="294" t="s">
        <v>420</v>
      </c>
      <c r="H7633" s="298">
        <v>1</v>
      </c>
      <c r="M7633" s="274"/>
    </row>
    <row r="7634" spans="2:13" ht="15" customHeight="1" x14ac:dyDescent="0.25">
      <c r="B7634" s="289">
        <v>6800</v>
      </c>
      <c r="C7634" s="261">
        <v>83</v>
      </c>
      <c r="D7634" s="244" t="s">
        <v>12</v>
      </c>
      <c r="E7634" s="263">
        <v>2</v>
      </c>
      <c r="F7634" s="294" t="s">
        <v>126</v>
      </c>
      <c r="G7634" s="294" t="s">
        <v>233</v>
      </c>
      <c r="H7634" s="298">
        <v>1</v>
      </c>
      <c r="M7634" s="274"/>
    </row>
    <row r="7635" spans="2:13" ht="15" customHeight="1" x14ac:dyDescent="0.25">
      <c r="B7635" s="289">
        <v>6800</v>
      </c>
      <c r="C7635" s="261">
        <v>89</v>
      </c>
      <c r="D7635" s="244" t="s">
        <v>12</v>
      </c>
      <c r="E7635" s="263">
        <v>2</v>
      </c>
      <c r="F7635" s="294" t="s">
        <v>126</v>
      </c>
      <c r="G7635" s="294" t="s">
        <v>420</v>
      </c>
      <c r="H7635" s="298">
        <v>1</v>
      </c>
      <c r="M7635" s="274"/>
    </row>
    <row r="7636" spans="2:13" ht="15" customHeight="1" x14ac:dyDescent="0.25">
      <c r="B7636" s="289">
        <v>6801</v>
      </c>
      <c r="C7636" s="261">
        <v>83</v>
      </c>
      <c r="D7636" s="244" t="s">
        <v>12</v>
      </c>
      <c r="E7636" s="263">
        <v>2</v>
      </c>
      <c r="F7636" s="294" t="s">
        <v>126</v>
      </c>
      <c r="G7636" s="294" t="s">
        <v>233</v>
      </c>
      <c r="H7636" s="298">
        <v>1</v>
      </c>
      <c r="M7636" s="274"/>
    </row>
    <row r="7637" spans="2:13" ht="15" customHeight="1" x14ac:dyDescent="0.25">
      <c r="B7637" s="289">
        <v>6801</v>
      </c>
      <c r="C7637" s="261">
        <v>89</v>
      </c>
      <c r="D7637" s="244" t="s">
        <v>12</v>
      </c>
      <c r="E7637" s="263">
        <v>20</v>
      </c>
      <c r="F7637" s="294" t="s">
        <v>126</v>
      </c>
      <c r="G7637" s="294" t="s">
        <v>1320</v>
      </c>
      <c r="H7637" s="298">
        <v>1</v>
      </c>
      <c r="M7637" s="274"/>
    </row>
    <row r="7638" spans="2:13" ht="15" customHeight="1" x14ac:dyDescent="0.25">
      <c r="B7638" s="289">
        <v>6801</v>
      </c>
      <c r="C7638" s="261">
        <v>102</v>
      </c>
      <c r="D7638" s="244" t="s">
        <v>12</v>
      </c>
      <c r="E7638" s="263">
        <v>16</v>
      </c>
      <c r="F7638" s="294" t="s">
        <v>126</v>
      </c>
      <c r="G7638" s="294" t="s">
        <v>1321</v>
      </c>
      <c r="H7638" s="298">
        <v>1</v>
      </c>
      <c r="M7638" s="274"/>
    </row>
    <row r="7639" spans="2:13" ht="15" customHeight="1" x14ac:dyDescent="0.25">
      <c r="B7639" s="289">
        <v>6802</v>
      </c>
      <c r="C7639" s="261">
        <v>83</v>
      </c>
      <c r="D7639" s="244" t="s">
        <v>12</v>
      </c>
      <c r="E7639" s="263">
        <v>2</v>
      </c>
      <c r="F7639" s="294" t="s">
        <v>126</v>
      </c>
      <c r="G7639" s="294" t="s">
        <v>233</v>
      </c>
      <c r="H7639" s="298">
        <v>1</v>
      </c>
      <c r="M7639" s="274"/>
    </row>
    <row r="7640" spans="2:13" ht="15" customHeight="1" x14ac:dyDescent="0.25">
      <c r="B7640" s="289">
        <v>6802</v>
      </c>
      <c r="C7640" s="261">
        <v>89</v>
      </c>
      <c r="D7640" s="244" t="s">
        <v>12</v>
      </c>
      <c r="E7640" s="263">
        <v>41</v>
      </c>
      <c r="F7640" s="294" t="s">
        <v>126</v>
      </c>
      <c r="G7640" s="294" t="s">
        <v>1322</v>
      </c>
      <c r="H7640" s="298">
        <v>1</v>
      </c>
      <c r="M7640" s="274"/>
    </row>
    <row r="7641" spans="2:13" ht="15" customHeight="1" x14ac:dyDescent="0.25">
      <c r="B7641" s="289">
        <v>6802</v>
      </c>
      <c r="C7641" s="261">
        <v>98</v>
      </c>
      <c r="D7641" s="244" t="s">
        <v>11</v>
      </c>
      <c r="E7641" s="263">
        <v>5</v>
      </c>
      <c r="F7641" s="294" t="s">
        <v>1228</v>
      </c>
      <c r="G7641" s="294" t="s">
        <v>126</v>
      </c>
      <c r="H7641" s="298">
        <v>1</v>
      </c>
      <c r="M7641" s="274"/>
    </row>
    <row r="7642" spans="2:13" ht="15" customHeight="1" x14ac:dyDescent="0.25">
      <c r="B7642" s="289">
        <v>6803</v>
      </c>
      <c r="C7642" s="261">
        <v>83</v>
      </c>
      <c r="D7642" s="244" t="s">
        <v>12</v>
      </c>
      <c r="E7642" s="263">
        <v>2</v>
      </c>
      <c r="F7642" s="294" t="s">
        <v>126</v>
      </c>
      <c r="G7642" s="294" t="s">
        <v>233</v>
      </c>
      <c r="H7642" s="298">
        <v>1</v>
      </c>
      <c r="M7642" s="274"/>
    </row>
    <row r="7643" spans="2:13" ht="15" customHeight="1" x14ac:dyDescent="0.25">
      <c r="B7643" s="289">
        <v>6803</v>
      </c>
      <c r="C7643" s="261">
        <v>89</v>
      </c>
      <c r="D7643" s="244" t="s">
        <v>12</v>
      </c>
      <c r="E7643" s="263">
        <v>5</v>
      </c>
      <c r="F7643" s="294" t="s">
        <v>126</v>
      </c>
      <c r="G7643" s="294" t="s">
        <v>1323</v>
      </c>
      <c r="H7643" s="298">
        <v>1</v>
      </c>
      <c r="M7643" s="274"/>
    </row>
    <row r="7644" spans="2:13" ht="15" customHeight="1" x14ac:dyDescent="0.25">
      <c r="B7644" s="289">
        <v>6804</v>
      </c>
      <c r="C7644" s="261">
        <v>83</v>
      </c>
      <c r="D7644" s="244" t="s">
        <v>12</v>
      </c>
      <c r="E7644" s="263">
        <v>2</v>
      </c>
      <c r="F7644" s="294" t="s">
        <v>126</v>
      </c>
      <c r="G7644" s="294" t="s">
        <v>233</v>
      </c>
      <c r="H7644" s="298">
        <v>1</v>
      </c>
      <c r="M7644" s="274"/>
    </row>
    <row r="7645" spans="2:13" ht="15" customHeight="1" x14ac:dyDescent="0.25">
      <c r="B7645" s="289">
        <v>6804</v>
      </c>
      <c r="C7645" s="261">
        <v>89</v>
      </c>
      <c r="D7645" s="244" t="s">
        <v>12</v>
      </c>
      <c r="E7645" s="263">
        <v>4</v>
      </c>
      <c r="F7645" s="294" t="s">
        <v>126</v>
      </c>
      <c r="G7645" s="294" t="s">
        <v>1175</v>
      </c>
      <c r="H7645" s="298">
        <v>1</v>
      </c>
      <c r="M7645" s="274"/>
    </row>
    <row r="7646" spans="2:13" ht="15" customHeight="1" x14ac:dyDescent="0.25">
      <c r="B7646" s="289">
        <v>6805</v>
      </c>
      <c r="C7646" s="261">
        <v>83</v>
      </c>
      <c r="D7646" s="244" t="s">
        <v>12</v>
      </c>
      <c r="E7646" s="263">
        <v>2</v>
      </c>
      <c r="F7646" s="294" t="s">
        <v>126</v>
      </c>
      <c r="G7646" s="294" t="s">
        <v>233</v>
      </c>
      <c r="H7646" s="298">
        <v>1</v>
      </c>
      <c r="M7646" s="274"/>
    </row>
    <row r="7647" spans="2:13" ht="15" customHeight="1" x14ac:dyDescent="0.25">
      <c r="B7647" s="289">
        <v>6805</v>
      </c>
      <c r="C7647" s="261">
        <v>89</v>
      </c>
      <c r="D7647" s="244" t="s">
        <v>12</v>
      </c>
      <c r="E7647" s="263">
        <v>3</v>
      </c>
      <c r="F7647" s="294" t="s">
        <v>126</v>
      </c>
      <c r="G7647" s="294" t="s">
        <v>1188</v>
      </c>
      <c r="H7647" s="298">
        <v>1</v>
      </c>
      <c r="M7647" s="274"/>
    </row>
    <row r="7648" spans="2:13" ht="15" customHeight="1" x14ac:dyDescent="0.25">
      <c r="B7648" s="289">
        <v>6806</v>
      </c>
      <c r="C7648" s="261">
        <v>83</v>
      </c>
      <c r="D7648" s="244" t="s">
        <v>12</v>
      </c>
      <c r="E7648" s="263">
        <v>2</v>
      </c>
      <c r="F7648" s="294" t="s">
        <v>126</v>
      </c>
      <c r="G7648" s="294" t="s">
        <v>233</v>
      </c>
      <c r="H7648" s="298">
        <v>1</v>
      </c>
      <c r="M7648" s="274"/>
    </row>
    <row r="7649" spans="2:13" ht="15" customHeight="1" x14ac:dyDescent="0.25">
      <c r="B7649" s="289">
        <v>6806</v>
      </c>
      <c r="C7649" s="261">
        <v>89</v>
      </c>
      <c r="D7649" s="244" t="s">
        <v>12</v>
      </c>
      <c r="E7649" s="263">
        <v>37</v>
      </c>
      <c r="F7649" s="294" t="s">
        <v>126</v>
      </c>
      <c r="G7649" s="294" t="s">
        <v>1324</v>
      </c>
      <c r="H7649" s="298">
        <v>1</v>
      </c>
      <c r="M7649" s="274"/>
    </row>
    <row r="7650" spans="2:13" ht="15" customHeight="1" x14ac:dyDescent="0.25">
      <c r="B7650" s="289">
        <v>6807</v>
      </c>
      <c r="C7650" s="261">
        <v>83</v>
      </c>
      <c r="D7650" s="244" t="s">
        <v>12</v>
      </c>
      <c r="E7650" s="263">
        <v>2</v>
      </c>
      <c r="F7650" s="294" t="s">
        <v>126</v>
      </c>
      <c r="G7650" s="294" t="s">
        <v>233</v>
      </c>
      <c r="H7650" s="298">
        <v>1</v>
      </c>
      <c r="M7650" s="274"/>
    </row>
    <row r="7651" spans="2:13" ht="15" customHeight="1" x14ac:dyDescent="0.25">
      <c r="B7651" s="289">
        <v>6807</v>
      </c>
      <c r="C7651" s="261">
        <v>89</v>
      </c>
      <c r="D7651" s="244" t="s">
        <v>12</v>
      </c>
      <c r="E7651" s="263">
        <v>31</v>
      </c>
      <c r="F7651" s="294" t="s">
        <v>126</v>
      </c>
      <c r="G7651" s="294" t="s">
        <v>1325</v>
      </c>
      <c r="H7651" s="298">
        <v>1</v>
      </c>
      <c r="M7651" s="274"/>
    </row>
    <row r="7652" spans="2:13" ht="15" customHeight="1" x14ac:dyDescent="0.25">
      <c r="B7652" s="289">
        <v>6808</v>
      </c>
      <c r="C7652" s="261">
        <v>83</v>
      </c>
      <c r="D7652" s="244" t="s">
        <v>12</v>
      </c>
      <c r="E7652" s="263">
        <v>2</v>
      </c>
      <c r="F7652" s="294" t="s">
        <v>126</v>
      </c>
      <c r="G7652" s="294" t="s">
        <v>233</v>
      </c>
      <c r="H7652" s="298">
        <v>1</v>
      </c>
      <c r="M7652" s="274"/>
    </row>
    <row r="7653" spans="2:13" ht="15" customHeight="1" x14ac:dyDescent="0.25">
      <c r="B7653" s="289">
        <v>6808</v>
      </c>
      <c r="C7653" s="261">
        <v>89</v>
      </c>
      <c r="D7653" s="244" t="s">
        <v>12</v>
      </c>
      <c r="E7653" s="263">
        <v>4</v>
      </c>
      <c r="F7653" s="294" t="s">
        <v>126</v>
      </c>
      <c r="G7653" s="294" t="s">
        <v>1175</v>
      </c>
      <c r="H7653" s="298">
        <v>1</v>
      </c>
      <c r="M7653" s="274"/>
    </row>
    <row r="7654" spans="2:13" ht="15" customHeight="1" x14ac:dyDescent="0.25">
      <c r="B7654" s="289">
        <v>6808</v>
      </c>
      <c r="C7654" s="261">
        <v>99</v>
      </c>
      <c r="D7654" s="244" t="s">
        <v>12</v>
      </c>
      <c r="E7654" s="263">
        <v>2</v>
      </c>
      <c r="F7654" s="294" t="s">
        <v>126</v>
      </c>
      <c r="G7654" s="294" t="s">
        <v>587</v>
      </c>
      <c r="H7654" s="298">
        <v>1</v>
      </c>
      <c r="M7654" s="274"/>
    </row>
    <row r="7655" spans="2:13" ht="15" customHeight="1" x14ac:dyDescent="0.25">
      <c r="B7655" s="289">
        <v>6809</v>
      </c>
      <c r="C7655" s="261">
        <v>83</v>
      </c>
      <c r="D7655" s="244" t="s">
        <v>12</v>
      </c>
      <c r="E7655" s="263">
        <v>2</v>
      </c>
      <c r="F7655" s="294" t="s">
        <v>126</v>
      </c>
      <c r="G7655" s="294" t="s">
        <v>233</v>
      </c>
      <c r="H7655" s="298">
        <v>1</v>
      </c>
      <c r="M7655" s="274"/>
    </row>
    <row r="7656" spans="2:13" ht="15" customHeight="1" x14ac:dyDescent="0.25">
      <c r="B7656" s="289">
        <v>6809</v>
      </c>
      <c r="C7656" s="261">
        <v>95</v>
      </c>
      <c r="D7656" s="244" t="s">
        <v>12</v>
      </c>
      <c r="E7656" s="263">
        <v>1</v>
      </c>
      <c r="F7656" s="294" t="s">
        <v>126</v>
      </c>
      <c r="G7656" s="294" t="s">
        <v>235</v>
      </c>
      <c r="H7656" s="298">
        <v>1</v>
      </c>
      <c r="M7656" s="274"/>
    </row>
    <row r="7657" spans="2:13" ht="15" customHeight="1" x14ac:dyDescent="0.25">
      <c r="B7657" s="289">
        <v>6810</v>
      </c>
      <c r="C7657" s="261">
        <v>83</v>
      </c>
      <c r="D7657" s="244" t="s">
        <v>12</v>
      </c>
      <c r="E7657" s="263">
        <v>2</v>
      </c>
      <c r="F7657" s="294" t="s">
        <v>126</v>
      </c>
      <c r="G7657" s="294" t="s">
        <v>233</v>
      </c>
      <c r="H7657" s="298">
        <v>1</v>
      </c>
      <c r="M7657" s="274"/>
    </row>
    <row r="7658" spans="2:13" ht="15" customHeight="1" x14ac:dyDescent="0.25">
      <c r="B7658" s="289">
        <v>6810</v>
      </c>
      <c r="C7658" s="261">
        <v>96</v>
      </c>
      <c r="D7658" s="244" t="s">
        <v>12</v>
      </c>
      <c r="E7658" s="263">
        <v>2</v>
      </c>
      <c r="F7658" s="294" t="s">
        <v>126</v>
      </c>
      <c r="G7658" s="294" t="s">
        <v>233</v>
      </c>
      <c r="H7658" s="298">
        <v>1</v>
      </c>
      <c r="M7658" s="274"/>
    </row>
    <row r="7659" spans="2:13" ht="15" customHeight="1" x14ac:dyDescent="0.25">
      <c r="B7659" s="289">
        <v>6811</v>
      </c>
      <c r="C7659" s="261">
        <v>82</v>
      </c>
      <c r="D7659" s="244" t="s">
        <v>12</v>
      </c>
      <c r="E7659" s="263">
        <v>3</v>
      </c>
      <c r="F7659" s="294" t="s">
        <v>126</v>
      </c>
      <c r="G7659" s="294" t="s">
        <v>1311</v>
      </c>
      <c r="H7659" s="298">
        <v>1</v>
      </c>
      <c r="M7659" s="274"/>
    </row>
    <row r="7660" spans="2:13" ht="15" customHeight="1" x14ac:dyDescent="0.25">
      <c r="B7660" s="289">
        <v>6811</v>
      </c>
      <c r="C7660" s="261">
        <v>89</v>
      </c>
      <c r="D7660" s="244" t="s">
        <v>11</v>
      </c>
      <c r="E7660" s="263">
        <v>10</v>
      </c>
      <c r="F7660" s="294" t="s">
        <v>1259</v>
      </c>
      <c r="G7660" s="294" t="s">
        <v>126</v>
      </c>
      <c r="H7660" s="298">
        <v>1</v>
      </c>
      <c r="M7660" s="274"/>
    </row>
    <row r="7661" spans="2:13" ht="15" customHeight="1" x14ac:dyDescent="0.25">
      <c r="B7661" s="289">
        <v>6812</v>
      </c>
      <c r="C7661" s="261">
        <v>80</v>
      </c>
      <c r="D7661" s="244" t="s">
        <v>11</v>
      </c>
      <c r="E7661" s="263">
        <v>4</v>
      </c>
      <c r="F7661" s="294" t="s">
        <v>1326</v>
      </c>
      <c r="G7661" s="294" t="s">
        <v>126</v>
      </c>
      <c r="H7661" s="298">
        <v>1</v>
      </c>
      <c r="M7661" s="274"/>
    </row>
    <row r="7662" spans="2:13" ht="15" customHeight="1" x14ac:dyDescent="0.25">
      <c r="B7662" s="289">
        <v>6812</v>
      </c>
      <c r="C7662" s="261">
        <v>89</v>
      </c>
      <c r="D7662" s="244" t="s">
        <v>11</v>
      </c>
      <c r="E7662" s="263">
        <v>9</v>
      </c>
      <c r="F7662" s="294" t="s">
        <v>1218</v>
      </c>
      <c r="G7662" s="294" t="s">
        <v>126</v>
      </c>
      <c r="H7662" s="298">
        <v>1</v>
      </c>
      <c r="M7662" s="274"/>
    </row>
    <row r="7663" spans="2:13" ht="15" customHeight="1" x14ac:dyDescent="0.25">
      <c r="B7663" s="289">
        <v>6813</v>
      </c>
      <c r="C7663" s="261">
        <v>80</v>
      </c>
      <c r="D7663" s="244" t="s">
        <v>11</v>
      </c>
      <c r="E7663" s="263">
        <v>3</v>
      </c>
      <c r="F7663" s="294" t="s">
        <v>1327</v>
      </c>
      <c r="G7663" s="294" t="s">
        <v>126</v>
      </c>
      <c r="H7663" s="298">
        <v>1</v>
      </c>
      <c r="M7663" s="274"/>
    </row>
    <row r="7664" spans="2:13" ht="15" customHeight="1" x14ac:dyDescent="0.25">
      <c r="B7664" s="289">
        <v>6813</v>
      </c>
      <c r="C7664" s="261">
        <v>89</v>
      </c>
      <c r="D7664" s="244" t="s">
        <v>11</v>
      </c>
      <c r="E7664" s="263">
        <v>2</v>
      </c>
      <c r="F7664" s="294" t="s">
        <v>454</v>
      </c>
      <c r="G7664" s="294" t="s">
        <v>126</v>
      </c>
      <c r="H7664" s="298">
        <v>1</v>
      </c>
      <c r="M7664" s="274"/>
    </row>
    <row r="7665" spans="2:13" ht="15" customHeight="1" x14ac:dyDescent="0.25">
      <c r="B7665" s="289">
        <v>6814</v>
      </c>
      <c r="C7665" s="261">
        <v>80</v>
      </c>
      <c r="D7665" s="244" t="s">
        <v>11</v>
      </c>
      <c r="E7665" s="263">
        <v>3</v>
      </c>
      <c r="F7665" s="294" t="s">
        <v>1327</v>
      </c>
      <c r="G7665" s="294" t="s">
        <v>126</v>
      </c>
      <c r="H7665" s="298">
        <v>1</v>
      </c>
      <c r="M7665" s="274"/>
    </row>
    <row r="7666" spans="2:13" ht="15" customHeight="1" x14ac:dyDescent="0.25">
      <c r="B7666" s="289">
        <v>6814</v>
      </c>
      <c r="C7666" s="261">
        <v>100</v>
      </c>
      <c r="D7666" s="244" t="s">
        <v>12</v>
      </c>
      <c r="E7666" s="263">
        <v>14</v>
      </c>
      <c r="F7666" s="294" t="s">
        <v>126</v>
      </c>
      <c r="G7666" s="294" t="s">
        <v>1328</v>
      </c>
      <c r="H7666" s="298">
        <v>1</v>
      </c>
      <c r="M7666" s="274"/>
    </row>
    <row r="7667" spans="2:13" ht="15" customHeight="1" x14ac:dyDescent="0.25">
      <c r="B7667" s="289">
        <v>6815</v>
      </c>
      <c r="C7667" s="261">
        <v>80</v>
      </c>
      <c r="D7667" s="244" t="s">
        <v>11</v>
      </c>
      <c r="E7667" s="263">
        <v>3</v>
      </c>
      <c r="F7667" s="294" t="s">
        <v>1327</v>
      </c>
      <c r="G7667" s="294" t="s">
        <v>126</v>
      </c>
      <c r="H7667" s="298">
        <v>1</v>
      </c>
      <c r="M7667" s="274"/>
    </row>
    <row r="7668" spans="2:13" ht="15" customHeight="1" x14ac:dyDescent="0.25">
      <c r="B7668" s="289">
        <v>6815</v>
      </c>
      <c r="C7668" s="261">
        <v>98</v>
      </c>
      <c r="D7668" s="244" t="s">
        <v>11</v>
      </c>
      <c r="E7668" s="263">
        <v>5</v>
      </c>
      <c r="F7668" s="294" t="s">
        <v>1228</v>
      </c>
      <c r="G7668" s="294" t="s">
        <v>126</v>
      </c>
      <c r="H7668" s="298">
        <v>1</v>
      </c>
      <c r="M7668" s="274"/>
    </row>
    <row r="7669" spans="2:13" ht="15" customHeight="1" x14ac:dyDescent="0.25">
      <c r="B7669" s="289">
        <v>6816</v>
      </c>
      <c r="C7669" s="261">
        <v>82</v>
      </c>
      <c r="D7669" s="244" t="s">
        <v>11</v>
      </c>
      <c r="E7669" s="263">
        <v>31</v>
      </c>
      <c r="F7669" s="294" t="s">
        <v>1329</v>
      </c>
      <c r="G7669" s="294" t="s">
        <v>126</v>
      </c>
      <c r="H7669" s="298">
        <v>1</v>
      </c>
      <c r="M7669" s="274"/>
    </row>
    <row r="7670" spans="2:13" ht="15" customHeight="1" x14ac:dyDescent="0.25">
      <c r="B7670" s="289">
        <v>6817</v>
      </c>
      <c r="C7670" s="261">
        <v>84</v>
      </c>
      <c r="D7670" s="244" t="s">
        <v>11</v>
      </c>
      <c r="E7670" s="263">
        <v>7</v>
      </c>
      <c r="F7670" s="294" t="s">
        <v>1330</v>
      </c>
      <c r="G7670" s="294" t="s">
        <v>126</v>
      </c>
      <c r="H7670" s="298">
        <v>1</v>
      </c>
      <c r="M7670" s="274"/>
    </row>
    <row r="7671" spans="2:13" ht="15" customHeight="1" x14ac:dyDescent="0.25">
      <c r="B7671" s="289">
        <v>6818</v>
      </c>
      <c r="C7671" s="261">
        <v>85</v>
      </c>
      <c r="D7671" s="244" t="s">
        <v>11</v>
      </c>
      <c r="E7671" s="263">
        <v>7</v>
      </c>
      <c r="F7671" s="294" t="s">
        <v>1267</v>
      </c>
      <c r="G7671" s="294" t="s">
        <v>126</v>
      </c>
      <c r="H7671" s="298">
        <v>1</v>
      </c>
      <c r="M7671" s="274"/>
    </row>
    <row r="7672" spans="2:13" ht="15" customHeight="1" x14ac:dyDescent="0.25">
      <c r="B7672" s="289">
        <v>6819</v>
      </c>
      <c r="C7672" s="261">
        <v>84</v>
      </c>
      <c r="D7672" s="244" t="s">
        <v>11</v>
      </c>
      <c r="E7672" s="263">
        <v>13</v>
      </c>
      <c r="F7672" s="294" t="s">
        <v>1331</v>
      </c>
      <c r="G7672" s="294" t="s">
        <v>126</v>
      </c>
      <c r="H7672" s="298">
        <v>1</v>
      </c>
      <c r="M7672" s="274"/>
    </row>
    <row r="7673" spans="2:13" ht="15" customHeight="1" x14ac:dyDescent="0.25">
      <c r="B7673" s="289">
        <v>6820</v>
      </c>
      <c r="C7673" s="261">
        <v>83</v>
      </c>
      <c r="D7673" s="244" t="s">
        <v>12</v>
      </c>
      <c r="E7673" s="263">
        <v>17</v>
      </c>
      <c r="F7673" s="294" t="s">
        <v>126</v>
      </c>
      <c r="G7673" s="294" t="s">
        <v>1332</v>
      </c>
      <c r="H7673" s="298">
        <v>1</v>
      </c>
      <c r="M7673" s="274"/>
    </row>
    <row r="7674" spans="2:13" ht="15" customHeight="1" x14ac:dyDescent="0.25">
      <c r="B7674" s="289">
        <v>6820</v>
      </c>
      <c r="C7674" s="261">
        <v>89</v>
      </c>
      <c r="D7674" s="244" t="s">
        <v>11</v>
      </c>
      <c r="E7674" s="263">
        <v>2</v>
      </c>
      <c r="F7674" s="294" t="s">
        <v>454</v>
      </c>
      <c r="G7674" s="294" t="s">
        <v>126</v>
      </c>
      <c r="H7674" s="298">
        <v>1</v>
      </c>
      <c r="M7674" s="274"/>
    </row>
    <row r="7675" spans="2:13" ht="15" customHeight="1" x14ac:dyDescent="0.25">
      <c r="B7675" s="289">
        <v>6821</v>
      </c>
      <c r="C7675" s="261">
        <v>79</v>
      </c>
      <c r="D7675" s="244" t="s">
        <v>12</v>
      </c>
      <c r="E7675" s="263">
        <v>8</v>
      </c>
      <c r="F7675" s="294" t="s">
        <v>126</v>
      </c>
      <c r="G7675" s="294" t="s">
        <v>1333</v>
      </c>
      <c r="H7675" s="298">
        <v>1</v>
      </c>
      <c r="M7675" s="274"/>
    </row>
    <row r="7676" spans="2:13" ht="15" customHeight="1" x14ac:dyDescent="0.25">
      <c r="B7676" s="289">
        <v>6821</v>
      </c>
      <c r="C7676" s="261">
        <v>83</v>
      </c>
      <c r="D7676" s="244" t="s">
        <v>12</v>
      </c>
      <c r="E7676" s="263">
        <v>7</v>
      </c>
      <c r="F7676" s="294" t="s">
        <v>126</v>
      </c>
      <c r="G7676" s="294" t="s">
        <v>1334</v>
      </c>
      <c r="H7676" s="298">
        <v>1</v>
      </c>
      <c r="M7676" s="274"/>
    </row>
    <row r="7677" spans="2:13" ht="15" customHeight="1" x14ac:dyDescent="0.25">
      <c r="B7677" s="289">
        <v>6821</v>
      </c>
      <c r="C7677" s="261">
        <v>89</v>
      </c>
      <c r="D7677" s="244" t="s">
        <v>12</v>
      </c>
      <c r="E7677" s="263">
        <v>15</v>
      </c>
      <c r="F7677" s="294" t="s">
        <v>126</v>
      </c>
      <c r="G7677" s="294" t="s">
        <v>1335</v>
      </c>
      <c r="H7677" s="298">
        <v>1</v>
      </c>
      <c r="M7677" s="274"/>
    </row>
    <row r="7678" spans="2:13" ht="15" customHeight="1" x14ac:dyDescent="0.25">
      <c r="B7678" s="289">
        <v>6822</v>
      </c>
      <c r="C7678" s="261">
        <v>80</v>
      </c>
      <c r="D7678" s="244" t="s">
        <v>12</v>
      </c>
      <c r="E7678" s="263">
        <v>5</v>
      </c>
      <c r="F7678" s="294" t="s">
        <v>126</v>
      </c>
      <c r="G7678" s="294" t="s">
        <v>1184</v>
      </c>
      <c r="H7678" s="298">
        <v>1</v>
      </c>
      <c r="M7678" s="274"/>
    </row>
    <row r="7679" spans="2:13" ht="15" customHeight="1" x14ac:dyDescent="0.25">
      <c r="B7679" s="289">
        <v>6822</v>
      </c>
      <c r="C7679" s="261">
        <v>93</v>
      </c>
      <c r="D7679" s="244" t="s">
        <v>12</v>
      </c>
      <c r="E7679" s="263">
        <v>3</v>
      </c>
      <c r="F7679" s="294" t="s">
        <v>126</v>
      </c>
      <c r="G7679" s="294" t="s">
        <v>933</v>
      </c>
      <c r="H7679" s="298">
        <v>1</v>
      </c>
      <c r="M7679" s="274"/>
    </row>
    <row r="7680" spans="2:13" ht="15" customHeight="1" x14ac:dyDescent="0.25">
      <c r="B7680" s="289">
        <v>6823</v>
      </c>
      <c r="C7680" s="261">
        <v>80</v>
      </c>
      <c r="D7680" s="244" t="s">
        <v>12</v>
      </c>
      <c r="E7680" s="263">
        <v>1</v>
      </c>
      <c r="F7680" s="294" t="s">
        <v>126</v>
      </c>
      <c r="G7680" s="294" t="s">
        <v>235</v>
      </c>
      <c r="H7680" s="298">
        <v>1</v>
      </c>
      <c r="M7680" s="274"/>
    </row>
    <row r="7681" spans="2:13" ht="15" customHeight="1" x14ac:dyDescent="0.25">
      <c r="B7681" s="289">
        <v>6823</v>
      </c>
      <c r="C7681" s="261">
        <v>89</v>
      </c>
      <c r="D7681" s="244" t="s">
        <v>11</v>
      </c>
      <c r="E7681" s="263">
        <v>10</v>
      </c>
      <c r="F7681" s="294" t="s">
        <v>1259</v>
      </c>
      <c r="G7681" s="294" t="s">
        <v>126</v>
      </c>
      <c r="H7681" s="298">
        <v>1</v>
      </c>
      <c r="M7681" s="274"/>
    </row>
    <row r="7682" spans="2:13" ht="15" customHeight="1" x14ac:dyDescent="0.25">
      <c r="B7682" s="289">
        <v>6824</v>
      </c>
      <c r="C7682" s="261">
        <v>80</v>
      </c>
      <c r="D7682" s="244" t="s">
        <v>12</v>
      </c>
      <c r="E7682" s="263">
        <v>1</v>
      </c>
      <c r="F7682" s="294" t="s">
        <v>126</v>
      </c>
      <c r="G7682" s="294" t="s">
        <v>235</v>
      </c>
      <c r="H7682" s="298">
        <v>1</v>
      </c>
      <c r="M7682" s="274"/>
    </row>
    <row r="7683" spans="2:13" ht="15" customHeight="1" x14ac:dyDescent="0.25">
      <c r="B7683" s="289">
        <v>6824</v>
      </c>
      <c r="C7683" s="261">
        <v>89</v>
      </c>
      <c r="D7683" s="244" t="s">
        <v>11</v>
      </c>
      <c r="E7683" s="263">
        <v>5</v>
      </c>
      <c r="F7683" s="294" t="s">
        <v>1174</v>
      </c>
      <c r="G7683" s="294" t="s">
        <v>126</v>
      </c>
      <c r="H7683" s="298">
        <v>1</v>
      </c>
      <c r="M7683" s="274"/>
    </row>
    <row r="7684" spans="2:13" ht="15" customHeight="1" x14ac:dyDescent="0.25">
      <c r="B7684" s="289">
        <v>6824</v>
      </c>
      <c r="C7684" s="261">
        <v>98</v>
      </c>
      <c r="D7684" s="244" t="s">
        <v>11</v>
      </c>
      <c r="E7684" s="263">
        <v>5</v>
      </c>
      <c r="F7684" s="294" t="s">
        <v>1228</v>
      </c>
      <c r="G7684" s="294" t="s">
        <v>126</v>
      </c>
      <c r="H7684" s="298">
        <v>1</v>
      </c>
      <c r="M7684" s="274"/>
    </row>
    <row r="7685" spans="2:13" ht="15" customHeight="1" x14ac:dyDescent="0.25">
      <c r="B7685" s="289">
        <v>6825</v>
      </c>
      <c r="C7685" s="261">
        <v>81</v>
      </c>
      <c r="D7685" s="244" t="s">
        <v>11</v>
      </c>
      <c r="E7685" s="263">
        <v>64</v>
      </c>
      <c r="F7685" s="294" t="s">
        <v>1336</v>
      </c>
      <c r="G7685" s="294" t="s">
        <v>126</v>
      </c>
      <c r="H7685" s="298">
        <v>1</v>
      </c>
      <c r="M7685" s="274"/>
    </row>
    <row r="7686" spans="2:13" ht="15" customHeight="1" x14ac:dyDescent="0.25">
      <c r="B7686" s="289">
        <v>6826</v>
      </c>
      <c r="C7686" s="261">
        <v>81</v>
      </c>
      <c r="D7686" s="244" t="s">
        <v>11</v>
      </c>
      <c r="E7686" s="263">
        <v>32</v>
      </c>
      <c r="F7686" s="294" t="s">
        <v>1337</v>
      </c>
      <c r="G7686" s="294" t="s">
        <v>126</v>
      </c>
      <c r="H7686" s="298">
        <v>1</v>
      </c>
      <c r="M7686" s="274"/>
    </row>
    <row r="7687" spans="2:13" ht="15" customHeight="1" x14ac:dyDescent="0.25">
      <c r="B7687" s="289">
        <v>6827</v>
      </c>
      <c r="C7687" s="261">
        <v>81</v>
      </c>
      <c r="D7687" s="244" t="s">
        <v>11</v>
      </c>
      <c r="E7687" s="263">
        <v>12</v>
      </c>
      <c r="F7687" s="294" t="s">
        <v>1338</v>
      </c>
      <c r="G7687" s="294" t="s">
        <v>126</v>
      </c>
      <c r="H7687" s="298">
        <v>1</v>
      </c>
      <c r="M7687" s="274"/>
    </row>
    <row r="7688" spans="2:13" ht="15" customHeight="1" x14ac:dyDescent="0.25">
      <c r="B7688" s="289">
        <v>6828</v>
      </c>
      <c r="C7688" s="261">
        <v>81</v>
      </c>
      <c r="D7688" s="244" t="s">
        <v>11</v>
      </c>
      <c r="E7688" s="263">
        <v>9</v>
      </c>
      <c r="F7688" s="294" t="s">
        <v>1339</v>
      </c>
      <c r="G7688" s="294" t="s">
        <v>126</v>
      </c>
      <c r="H7688" s="298">
        <v>1</v>
      </c>
      <c r="M7688" s="274"/>
    </row>
    <row r="7689" spans="2:13" ht="15" customHeight="1" x14ac:dyDescent="0.25">
      <c r="B7689" s="289">
        <v>6829</v>
      </c>
      <c r="C7689" s="261">
        <v>81</v>
      </c>
      <c r="D7689" s="244" t="s">
        <v>11</v>
      </c>
      <c r="E7689" s="263">
        <v>8</v>
      </c>
      <c r="F7689" s="294" t="s">
        <v>1340</v>
      </c>
      <c r="G7689" s="294" t="s">
        <v>126</v>
      </c>
      <c r="H7689" s="298">
        <v>1</v>
      </c>
      <c r="M7689" s="274"/>
    </row>
    <row r="7690" spans="2:13" ht="15" customHeight="1" x14ac:dyDescent="0.25">
      <c r="B7690" s="289">
        <v>6829</v>
      </c>
      <c r="C7690" s="261">
        <v>101</v>
      </c>
      <c r="D7690" s="244" t="s">
        <v>11</v>
      </c>
      <c r="E7690" s="263">
        <v>11</v>
      </c>
      <c r="F7690" s="294" t="s">
        <v>1341</v>
      </c>
      <c r="G7690" s="294" t="s">
        <v>126</v>
      </c>
      <c r="H7690" s="298">
        <v>1</v>
      </c>
      <c r="M7690" s="274"/>
    </row>
    <row r="7691" spans="2:13" ht="15" customHeight="1" x14ac:dyDescent="0.25">
      <c r="B7691" s="289">
        <v>6830</v>
      </c>
      <c r="C7691" s="261">
        <v>83</v>
      </c>
      <c r="D7691" s="244" t="s">
        <v>11</v>
      </c>
      <c r="E7691" s="263">
        <v>2</v>
      </c>
      <c r="F7691" s="294" t="s">
        <v>431</v>
      </c>
      <c r="G7691" s="294" t="s">
        <v>126</v>
      </c>
      <c r="H7691" s="298">
        <v>1</v>
      </c>
      <c r="M7691" s="274"/>
    </row>
    <row r="7692" spans="2:13" ht="15" customHeight="1" x14ac:dyDescent="0.25">
      <c r="B7692" s="289">
        <v>6830</v>
      </c>
      <c r="C7692" s="261">
        <v>89</v>
      </c>
      <c r="D7692" s="244" t="s">
        <v>11</v>
      </c>
      <c r="E7692" s="263">
        <v>5</v>
      </c>
      <c r="F7692" s="294" t="s">
        <v>1174</v>
      </c>
      <c r="G7692" s="294" t="s">
        <v>126</v>
      </c>
      <c r="H7692" s="298">
        <v>1</v>
      </c>
      <c r="M7692" s="274"/>
    </row>
    <row r="7693" spans="2:13" ht="15" customHeight="1" x14ac:dyDescent="0.25">
      <c r="B7693" s="289">
        <v>6831</v>
      </c>
      <c r="C7693" s="261">
        <v>86</v>
      </c>
      <c r="D7693" s="244" t="s">
        <v>11</v>
      </c>
      <c r="E7693" s="263">
        <v>12</v>
      </c>
      <c r="F7693" s="294" t="s">
        <v>1342</v>
      </c>
      <c r="G7693" s="294" t="s">
        <v>126</v>
      </c>
      <c r="H7693" s="298">
        <v>1</v>
      </c>
      <c r="M7693" s="274"/>
    </row>
    <row r="7694" spans="2:13" ht="15" customHeight="1" x14ac:dyDescent="0.25">
      <c r="B7694" s="289">
        <v>6832</v>
      </c>
      <c r="C7694" s="261">
        <v>89</v>
      </c>
      <c r="D7694" s="244" t="s">
        <v>12</v>
      </c>
      <c r="E7694" s="263">
        <v>21</v>
      </c>
      <c r="F7694" s="294" t="s">
        <v>126</v>
      </c>
      <c r="G7694" s="294" t="s">
        <v>1343</v>
      </c>
      <c r="H7694" s="298">
        <v>1</v>
      </c>
      <c r="M7694" s="274"/>
    </row>
    <row r="7695" spans="2:13" ht="15" customHeight="1" x14ac:dyDescent="0.25">
      <c r="B7695" s="289">
        <v>6833</v>
      </c>
      <c r="C7695" s="261">
        <v>89</v>
      </c>
      <c r="D7695" s="244" t="s">
        <v>11</v>
      </c>
      <c r="E7695" s="263">
        <v>21</v>
      </c>
      <c r="F7695" s="294" t="s">
        <v>1344</v>
      </c>
      <c r="G7695" s="294" t="s">
        <v>126</v>
      </c>
      <c r="H7695" s="298">
        <v>1</v>
      </c>
      <c r="M7695" s="274"/>
    </row>
    <row r="7696" spans="2:13" ht="15" customHeight="1" x14ac:dyDescent="0.25">
      <c r="B7696" s="289">
        <v>6834</v>
      </c>
      <c r="C7696" s="261">
        <v>89</v>
      </c>
      <c r="D7696" s="244" t="s">
        <v>11</v>
      </c>
      <c r="E7696" s="263">
        <v>9</v>
      </c>
      <c r="F7696" s="294" t="s">
        <v>1218</v>
      </c>
      <c r="G7696" s="294" t="s">
        <v>126</v>
      </c>
      <c r="H7696" s="298">
        <v>1</v>
      </c>
      <c r="M7696" s="274"/>
    </row>
    <row r="7697" spans="2:13" ht="15" customHeight="1" x14ac:dyDescent="0.25">
      <c r="B7697" s="289">
        <v>6835</v>
      </c>
      <c r="C7697" s="261">
        <v>89</v>
      </c>
      <c r="D7697" s="244" t="s">
        <v>11</v>
      </c>
      <c r="E7697" s="263">
        <v>5</v>
      </c>
      <c r="F7697" s="294" t="s">
        <v>1174</v>
      </c>
      <c r="G7697" s="294" t="s">
        <v>126</v>
      </c>
      <c r="H7697" s="298">
        <v>1</v>
      </c>
      <c r="M7697" s="274"/>
    </row>
    <row r="7698" spans="2:13" ht="15" customHeight="1" x14ac:dyDescent="0.25">
      <c r="B7698" s="289">
        <v>6836</v>
      </c>
      <c r="C7698" s="261">
        <v>89</v>
      </c>
      <c r="D7698" s="244" t="s">
        <v>12</v>
      </c>
      <c r="E7698" s="263">
        <v>16</v>
      </c>
      <c r="F7698" s="294" t="s">
        <v>126</v>
      </c>
      <c r="G7698" s="294" t="s">
        <v>1345</v>
      </c>
      <c r="H7698" s="298">
        <v>1</v>
      </c>
      <c r="M7698" s="274"/>
    </row>
    <row r="7699" spans="2:13" ht="15" customHeight="1" x14ac:dyDescent="0.25">
      <c r="B7699" s="289">
        <v>6837</v>
      </c>
      <c r="C7699" s="261">
        <v>89</v>
      </c>
      <c r="D7699" s="244" t="s">
        <v>12</v>
      </c>
      <c r="E7699" s="263">
        <v>17</v>
      </c>
      <c r="F7699" s="294" t="s">
        <v>126</v>
      </c>
      <c r="G7699" s="294" t="s">
        <v>1346</v>
      </c>
      <c r="H7699" s="298">
        <v>1</v>
      </c>
      <c r="M7699" s="274"/>
    </row>
    <row r="7700" spans="2:13" ht="15" customHeight="1" x14ac:dyDescent="0.25">
      <c r="B7700" s="289">
        <v>6842</v>
      </c>
      <c r="C7700" s="261">
        <v>89</v>
      </c>
      <c r="D7700" s="244" t="s">
        <v>12</v>
      </c>
      <c r="E7700" s="263">
        <v>3</v>
      </c>
      <c r="F7700" s="294" t="s">
        <v>126</v>
      </c>
      <c r="G7700" s="294" t="s">
        <v>1188</v>
      </c>
      <c r="H7700" s="298">
        <v>1</v>
      </c>
      <c r="M7700" s="274"/>
    </row>
    <row r="7701" spans="2:13" ht="15" customHeight="1" x14ac:dyDescent="0.25">
      <c r="B7701" s="289">
        <v>6843</v>
      </c>
      <c r="C7701" s="261">
        <v>89</v>
      </c>
      <c r="D7701" s="244" t="s">
        <v>12</v>
      </c>
      <c r="E7701" s="263">
        <v>9</v>
      </c>
      <c r="F7701" s="294" t="s">
        <v>126</v>
      </c>
      <c r="G7701" s="294" t="s">
        <v>1347</v>
      </c>
      <c r="H7701" s="298">
        <v>1</v>
      </c>
      <c r="M7701" s="274"/>
    </row>
    <row r="7702" spans="2:13" ht="15" customHeight="1" x14ac:dyDescent="0.25">
      <c r="B7702" s="289">
        <v>6844</v>
      </c>
      <c r="C7702" s="261">
        <v>84</v>
      </c>
      <c r="D7702" s="244" t="s">
        <v>12</v>
      </c>
      <c r="E7702" s="263">
        <v>1</v>
      </c>
      <c r="F7702" s="294" t="s">
        <v>126</v>
      </c>
      <c r="G7702" s="294" t="s">
        <v>139</v>
      </c>
      <c r="H7702" s="298">
        <v>1</v>
      </c>
      <c r="M7702" s="274"/>
    </row>
    <row r="7703" spans="2:13" ht="15" customHeight="1" x14ac:dyDescent="0.25">
      <c r="B7703" s="289">
        <v>6844</v>
      </c>
      <c r="C7703" s="261">
        <v>91</v>
      </c>
      <c r="D7703" s="244" t="s">
        <v>12</v>
      </c>
      <c r="E7703" s="263">
        <v>2</v>
      </c>
      <c r="F7703" s="294" t="s">
        <v>126</v>
      </c>
      <c r="G7703" s="294" t="s">
        <v>214</v>
      </c>
      <c r="H7703" s="298">
        <v>1</v>
      </c>
      <c r="M7703" s="274"/>
    </row>
    <row r="7704" spans="2:13" ht="15" customHeight="1" x14ac:dyDescent="0.25">
      <c r="B7704" s="289">
        <v>6845</v>
      </c>
      <c r="C7704" s="261">
        <v>82</v>
      </c>
      <c r="D7704" s="244" t="s">
        <v>11</v>
      </c>
      <c r="E7704" s="263">
        <v>3</v>
      </c>
      <c r="F7704" s="294" t="s">
        <v>1279</v>
      </c>
      <c r="G7704" s="294" t="s">
        <v>126</v>
      </c>
      <c r="H7704" s="298">
        <v>1</v>
      </c>
      <c r="M7704" s="274"/>
    </row>
    <row r="7705" spans="2:13" ht="15" customHeight="1" x14ac:dyDescent="0.25">
      <c r="B7705" s="289">
        <v>6845</v>
      </c>
      <c r="C7705" s="261">
        <v>100</v>
      </c>
      <c r="D7705" s="244" t="s">
        <v>12</v>
      </c>
      <c r="E7705" s="263">
        <v>14</v>
      </c>
      <c r="F7705" s="294" t="s">
        <v>126</v>
      </c>
      <c r="G7705" s="294" t="s">
        <v>1328</v>
      </c>
      <c r="H7705" s="298">
        <v>1</v>
      </c>
      <c r="M7705" s="274"/>
    </row>
    <row r="7706" spans="2:13" ht="15" customHeight="1" x14ac:dyDescent="0.25">
      <c r="B7706" s="289">
        <v>6846</v>
      </c>
      <c r="C7706" s="261">
        <v>89</v>
      </c>
      <c r="D7706" s="244" t="s">
        <v>12</v>
      </c>
      <c r="E7706" s="263">
        <v>50</v>
      </c>
      <c r="F7706" s="294" t="s">
        <v>126</v>
      </c>
      <c r="G7706" s="294" t="s">
        <v>1348</v>
      </c>
      <c r="H7706" s="298">
        <v>1</v>
      </c>
      <c r="M7706" s="274"/>
    </row>
    <row r="7707" spans="2:13" ht="15" customHeight="1" x14ac:dyDescent="0.25">
      <c r="B7707" s="289">
        <v>6846</v>
      </c>
      <c r="C7707" s="261">
        <v>98</v>
      </c>
      <c r="D7707" s="244" t="s">
        <v>11</v>
      </c>
      <c r="E7707" s="263">
        <v>1</v>
      </c>
      <c r="F7707" s="294" t="s">
        <v>437</v>
      </c>
      <c r="G7707" s="294" t="s">
        <v>126</v>
      </c>
      <c r="H7707" s="298">
        <v>1</v>
      </c>
      <c r="M7707" s="274"/>
    </row>
    <row r="7708" spans="2:13" ht="15" customHeight="1" x14ac:dyDescent="0.25">
      <c r="B7708" s="289">
        <v>6847</v>
      </c>
      <c r="C7708" s="261">
        <v>86</v>
      </c>
      <c r="D7708" s="244" t="s">
        <v>11</v>
      </c>
      <c r="E7708" s="263">
        <v>6</v>
      </c>
      <c r="F7708" s="294" t="s">
        <v>1310</v>
      </c>
      <c r="G7708" s="294" t="s">
        <v>126</v>
      </c>
      <c r="H7708" s="298">
        <v>1</v>
      </c>
      <c r="M7708" s="274"/>
    </row>
    <row r="7709" spans="2:13" ht="15" customHeight="1" x14ac:dyDescent="0.25">
      <c r="B7709" s="289">
        <v>6848</v>
      </c>
      <c r="C7709" s="261">
        <v>89</v>
      </c>
      <c r="D7709" s="244" t="s">
        <v>12</v>
      </c>
      <c r="E7709" s="263">
        <v>1</v>
      </c>
      <c r="F7709" s="294" t="s">
        <v>126</v>
      </c>
      <c r="G7709" s="294" t="s">
        <v>426</v>
      </c>
      <c r="H7709" s="298">
        <v>1</v>
      </c>
      <c r="M7709" s="274"/>
    </row>
    <row r="7710" spans="2:13" ht="15" customHeight="1" x14ac:dyDescent="0.25">
      <c r="B7710" s="289">
        <v>6849</v>
      </c>
      <c r="C7710" s="261">
        <v>79</v>
      </c>
      <c r="D7710" s="244" t="s">
        <v>12</v>
      </c>
      <c r="E7710" s="263">
        <v>10</v>
      </c>
      <c r="F7710" s="294" t="s">
        <v>126</v>
      </c>
      <c r="G7710" s="294" t="s">
        <v>1349</v>
      </c>
      <c r="H7710" s="298">
        <v>1</v>
      </c>
      <c r="M7710" s="274"/>
    </row>
    <row r="7711" spans="2:13" ht="15" customHeight="1" x14ac:dyDescent="0.25">
      <c r="B7711" s="289">
        <v>6849</v>
      </c>
      <c r="C7711" s="261">
        <v>103</v>
      </c>
      <c r="D7711" s="244" t="s">
        <v>12</v>
      </c>
      <c r="E7711" s="263">
        <v>9</v>
      </c>
      <c r="F7711" s="294" t="s">
        <v>126</v>
      </c>
      <c r="G7711" s="294" t="s">
        <v>1350</v>
      </c>
      <c r="H7711" s="298">
        <v>1</v>
      </c>
      <c r="M7711" s="274"/>
    </row>
    <row r="7712" spans="2:13" ht="15" customHeight="1" x14ac:dyDescent="0.25">
      <c r="B7712" s="289">
        <v>6850</v>
      </c>
      <c r="C7712" s="261">
        <v>85</v>
      </c>
      <c r="D7712" s="244" t="s">
        <v>12</v>
      </c>
      <c r="E7712" s="263">
        <v>2</v>
      </c>
      <c r="F7712" s="294" t="s">
        <v>126</v>
      </c>
      <c r="G7712" s="294" t="s">
        <v>1351</v>
      </c>
      <c r="H7712" s="298">
        <v>1</v>
      </c>
      <c r="M7712" s="274"/>
    </row>
    <row r="7713" spans="2:13" ht="15" customHeight="1" x14ac:dyDescent="0.25">
      <c r="B7713" s="289">
        <v>6851</v>
      </c>
      <c r="C7713" s="261">
        <v>80</v>
      </c>
      <c r="D7713" s="244" t="s">
        <v>11</v>
      </c>
      <c r="E7713" s="263">
        <v>24</v>
      </c>
      <c r="F7713" s="294" t="s">
        <v>1352</v>
      </c>
      <c r="G7713" s="294" t="s">
        <v>126</v>
      </c>
      <c r="H7713" s="298">
        <v>1</v>
      </c>
      <c r="M7713" s="274"/>
    </row>
    <row r="7714" spans="2:13" ht="15" customHeight="1" x14ac:dyDescent="0.25">
      <c r="B7714" s="289">
        <v>6852</v>
      </c>
      <c r="C7714" s="261">
        <v>80</v>
      </c>
      <c r="D7714" s="244" t="s">
        <v>11</v>
      </c>
      <c r="E7714" s="263">
        <v>21</v>
      </c>
      <c r="F7714" s="294" t="s">
        <v>1353</v>
      </c>
      <c r="G7714" s="294" t="s">
        <v>126</v>
      </c>
      <c r="H7714" s="298">
        <v>1</v>
      </c>
      <c r="M7714" s="274"/>
    </row>
    <row r="7715" spans="2:13" ht="15" customHeight="1" x14ac:dyDescent="0.25">
      <c r="B7715" s="289">
        <v>6853</v>
      </c>
      <c r="C7715" s="261">
        <v>81</v>
      </c>
      <c r="D7715" s="244" t="s">
        <v>11</v>
      </c>
      <c r="E7715" s="263">
        <v>25</v>
      </c>
      <c r="F7715" s="294" t="s">
        <v>1354</v>
      </c>
      <c r="G7715" s="294" t="s">
        <v>126</v>
      </c>
      <c r="H7715" s="298">
        <v>1</v>
      </c>
      <c r="M7715" s="274"/>
    </row>
    <row r="7716" spans="2:13" ht="15" customHeight="1" x14ac:dyDescent="0.25">
      <c r="B7716" s="289">
        <v>6854</v>
      </c>
      <c r="C7716" s="261">
        <v>83</v>
      </c>
      <c r="D7716" s="244" t="s">
        <v>11</v>
      </c>
      <c r="E7716" s="263">
        <v>7</v>
      </c>
      <c r="F7716" s="294" t="s">
        <v>1355</v>
      </c>
      <c r="G7716" s="294" t="s">
        <v>126</v>
      </c>
      <c r="H7716" s="298">
        <v>1</v>
      </c>
      <c r="M7716" s="274"/>
    </row>
    <row r="7717" spans="2:13" ht="15" customHeight="1" x14ac:dyDescent="0.25">
      <c r="B7717" s="289">
        <v>6855</v>
      </c>
      <c r="C7717" s="261">
        <v>86</v>
      </c>
      <c r="D7717" s="244" t="s">
        <v>11</v>
      </c>
      <c r="E7717" s="263">
        <v>5</v>
      </c>
      <c r="F7717" s="294" t="s">
        <v>1197</v>
      </c>
      <c r="G7717" s="294" t="s">
        <v>126</v>
      </c>
      <c r="H7717" s="298">
        <v>1</v>
      </c>
      <c r="M7717" s="274"/>
    </row>
    <row r="7718" spans="2:13" ht="15" customHeight="1" x14ac:dyDescent="0.25">
      <c r="B7718" s="289">
        <v>6856</v>
      </c>
      <c r="C7718" s="261">
        <v>78</v>
      </c>
      <c r="D7718" s="244" t="s">
        <v>11</v>
      </c>
      <c r="E7718" s="263">
        <v>13</v>
      </c>
      <c r="F7718" s="294" t="s">
        <v>1356</v>
      </c>
      <c r="G7718" s="294" t="s">
        <v>126</v>
      </c>
      <c r="H7718" s="298">
        <v>1</v>
      </c>
      <c r="M7718" s="274"/>
    </row>
    <row r="7719" spans="2:13" ht="15" customHeight="1" x14ac:dyDescent="0.25">
      <c r="B7719" s="289">
        <v>6857</v>
      </c>
      <c r="C7719" s="261">
        <v>79</v>
      </c>
      <c r="D7719" s="244" t="s">
        <v>11</v>
      </c>
      <c r="E7719" s="263">
        <v>1</v>
      </c>
      <c r="F7719" s="294" t="s">
        <v>426</v>
      </c>
      <c r="G7719" s="294" t="s">
        <v>126</v>
      </c>
      <c r="H7719" s="298">
        <v>1</v>
      </c>
      <c r="M7719" s="274"/>
    </row>
    <row r="7720" spans="2:13" ht="15" customHeight="1" x14ac:dyDescent="0.25">
      <c r="B7720" s="289">
        <v>6857</v>
      </c>
      <c r="C7720" s="261">
        <v>87</v>
      </c>
      <c r="D7720" s="244" t="s">
        <v>11</v>
      </c>
      <c r="E7720" s="263">
        <v>13</v>
      </c>
      <c r="F7720" s="294" t="s">
        <v>1357</v>
      </c>
      <c r="G7720" s="294" t="s">
        <v>126</v>
      </c>
      <c r="H7720" s="298">
        <v>1</v>
      </c>
      <c r="M7720" s="274"/>
    </row>
    <row r="7721" spans="2:13" ht="15" customHeight="1" x14ac:dyDescent="0.25">
      <c r="B7721" s="289">
        <v>6858</v>
      </c>
      <c r="C7721" s="261">
        <v>80</v>
      </c>
      <c r="D7721" s="244" t="s">
        <v>11</v>
      </c>
      <c r="E7721" s="263">
        <v>1</v>
      </c>
      <c r="F7721" s="294" t="s">
        <v>139</v>
      </c>
      <c r="G7721" s="294" t="s">
        <v>126</v>
      </c>
      <c r="H7721" s="298">
        <v>1</v>
      </c>
      <c r="M7721" s="274"/>
    </row>
    <row r="7722" spans="2:13" ht="15" customHeight="1" x14ac:dyDescent="0.25">
      <c r="B7722" s="289">
        <v>6860</v>
      </c>
      <c r="C7722" s="261">
        <v>89</v>
      </c>
      <c r="D7722" s="244" t="s">
        <v>11</v>
      </c>
      <c r="E7722" s="263">
        <v>9</v>
      </c>
      <c r="F7722" s="294" t="s">
        <v>1218</v>
      </c>
      <c r="G7722" s="294" t="s">
        <v>126</v>
      </c>
      <c r="H7722" s="298">
        <v>1</v>
      </c>
      <c r="M7722" s="274"/>
    </row>
    <row r="7723" spans="2:13" ht="15" customHeight="1" x14ac:dyDescent="0.25">
      <c r="B7723" s="289">
        <v>6861</v>
      </c>
      <c r="C7723" s="261">
        <v>84</v>
      </c>
      <c r="D7723" s="244" t="s">
        <v>11</v>
      </c>
      <c r="E7723" s="263">
        <v>11</v>
      </c>
      <c r="F7723" s="294" t="s">
        <v>1358</v>
      </c>
      <c r="G7723" s="294" t="s">
        <v>126</v>
      </c>
      <c r="H7723" s="298">
        <v>1</v>
      </c>
      <c r="M7723" s="274"/>
    </row>
    <row r="7724" spans="2:13" ht="15" customHeight="1" x14ac:dyDescent="0.25">
      <c r="B7724" s="289">
        <v>6862</v>
      </c>
      <c r="C7724" s="261">
        <v>88</v>
      </c>
      <c r="D7724" s="244" t="s">
        <v>11</v>
      </c>
      <c r="E7724" s="263">
        <v>13</v>
      </c>
      <c r="F7724" s="294" t="s">
        <v>1359</v>
      </c>
      <c r="G7724" s="294" t="s">
        <v>126</v>
      </c>
      <c r="H7724" s="298">
        <v>1</v>
      </c>
      <c r="M7724" s="274"/>
    </row>
    <row r="7725" spans="2:13" ht="15" customHeight="1" x14ac:dyDescent="0.25">
      <c r="B7725" s="289">
        <v>6863</v>
      </c>
      <c r="C7725" s="261">
        <v>88</v>
      </c>
      <c r="D7725" s="244" t="s">
        <v>12</v>
      </c>
      <c r="E7725" s="263">
        <v>2</v>
      </c>
      <c r="F7725" s="294" t="s">
        <v>126</v>
      </c>
      <c r="G7725" s="294" t="s">
        <v>789</v>
      </c>
      <c r="H7725" s="298">
        <v>1</v>
      </c>
      <c r="M7725" s="274"/>
    </row>
    <row r="7726" spans="2:13" ht="15" customHeight="1" x14ac:dyDescent="0.25">
      <c r="B7726" s="289">
        <v>6864</v>
      </c>
      <c r="C7726" s="261">
        <v>89</v>
      </c>
      <c r="D7726" s="244" t="s">
        <v>11</v>
      </c>
      <c r="E7726" s="263">
        <v>5</v>
      </c>
      <c r="F7726" s="294" t="s">
        <v>1174</v>
      </c>
      <c r="G7726" s="294" t="s">
        <v>126</v>
      </c>
      <c r="H7726" s="298">
        <v>1</v>
      </c>
      <c r="M7726" s="274"/>
    </row>
    <row r="7727" spans="2:13" ht="15" customHeight="1" x14ac:dyDescent="0.25">
      <c r="B7727" s="289">
        <v>6865</v>
      </c>
      <c r="C7727" s="261">
        <v>89</v>
      </c>
      <c r="D7727" s="244" t="s">
        <v>11</v>
      </c>
      <c r="E7727" s="263">
        <v>5</v>
      </c>
      <c r="F7727" s="294" t="s">
        <v>1174</v>
      </c>
      <c r="G7727" s="294" t="s">
        <v>126</v>
      </c>
      <c r="H7727" s="298">
        <v>1</v>
      </c>
      <c r="M7727" s="274"/>
    </row>
    <row r="7728" spans="2:13" ht="15" customHeight="1" x14ac:dyDescent="0.25">
      <c r="B7728" s="289">
        <v>6869</v>
      </c>
      <c r="C7728" s="261">
        <v>78</v>
      </c>
      <c r="D7728" s="244" t="s">
        <v>11</v>
      </c>
      <c r="E7728" s="263">
        <v>35</v>
      </c>
      <c r="F7728" s="294" t="s">
        <v>1360</v>
      </c>
      <c r="G7728" s="294" t="s">
        <v>126</v>
      </c>
      <c r="H7728" s="298">
        <v>1</v>
      </c>
      <c r="M7728" s="274"/>
    </row>
    <row r="7729" spans="2:13" ht="15" customHeight="1" x14ac:dyDescent="0.25">
      <c r="B7729" s="289">
        <v>6870</v>
      </c>
      <c r="C7729" s="261">
        <v>79</v>
      </c>
      <c r="D7729" s="244" t="s">
        <v>11</v>
      </c>
      <c r="E7729" s="263">
        <v>8</v>
      </c>
      <c r="F7729" s="294" t="s">
        <v>1361</v>
      </c>
      <c r="G7729" s="294" t="s">
        <v>126</v>
      </c>
      <c r="H7729" s="298">
        <v>1</v>
      </c>
      <c r="M7729" s="274"/>
    </row>
    <row r="7730" spans="2:13" ht="15" customHeight="1" x14ac:dyDescent="0.25">
      <c r="B7730" s="289">
        <v>6871</v>
      </c>
      <c r="C7730" s="261">
        <v>80</v>
      </c>
      <c r="D7730" s="244" t="s">
        <v>11</v>
      </c>
      <c r="E7730" s="263">
        <v>65</v>
      </c>
      <c r="F7730" s="294" t="s">
        <v>1362</v>
      </c>
      <c r="G7730" s="294" t="s">
        <v>126</v>
      </c>
      <c r="H7730" s="298">
        <v>1</v>
      </c>
      <c r="M7730" s="274"/>
    </row>
    <row r="7731" spans="2:13" ht="15" customHeight="1" x14ac:dyDescent="0.25">
      <c r="B7731" s="289">
        <v>6872</v>
      </c>
      <c r="C7731" s="261">
        <v>80</v>
      </c>
      <c r="D7731" s="244" t="s">
        <v>11</v>
      </c>
      <c r="E7731" s="263">
        <v>10</v>
      </c>
      <c r="F7731" s="294" t="s">
        <v>1363</v>
      </c>
      <c r="G7731" s="294" t="s">
        <v>126</v>
      </c>
      <c r="H7731" s="298">
        <v>1</v>
      </c>
      <c r="M7731" s="274"/>
    </row>
    <row r="7732" spans="2:13" ht="15" customHeight="1" x14ac:dyDescent="0.25">
      <c r="B7732" s="289">
        <v>6873</v>
      </c>
      <c r="C7732" s="261">
        <v>91</v>
      </c>
      <c r="D7732" s="244" t="s">
        <v>11</v>
      </c>
      <c r="E7732" s="263">
        <v>6</v>
      </c>
      <c r="F7732" s="294" t="s">
        <v>1364</v>
      </c>
      <c r="G7732" s="294" t="s">
        <v>126</v>
      </c>
      <c r="H7732" s="298">
        <v>1</v>
      </c>
      <c r="M7732" s="274"/>
    </row>
    <row r="7733" spans="2:13" ht="15" customHeight="1" x14ac:dyDescent="0.25">
      <c r="B7733" s="289">
        <v>6874</v>
      </c>
      <c r="C7733" s="261">
        <v>89</v>
      </c>
      <c r="D7733" s="244" t="s">
        <v>12</v>
      </c>
      <c r="E7733" s="263">
        <v>42</v>
      </c>
      <c r="F7733" s="294" t="s">
        <v>126</v>
      </c>
      <c r="G7733" s="294" t="s">
        <v>1365</v>
      </c>
      <c r="H7733" s="298">
        <v>1</v>
      </c>
      <c r="M7733" s="274"/>
    </row>
    <row r="7734" spans="2:13" ht="15" customHeight="1" x14ac:dyDescent="0.25">
      <c r="B7734" s="289">
        <v>6875</v>
      </c>
      <c r="C7734" s="261">
        <v>89</v>
      </c>
      <c r="D7734" s="244" t="s">
        <v>11</v>
      </c>
      <c r="E7734" s="263">
        <v>5</v>
      </c>
      <c r="F7734" s="294" t="s">
        <v>1174</v>
      </c>
      <c r="G7734" s="294" t="s">
        <v>126</v>
      </c>
      <c r="H7734" s="298">
        <v>1</v>
      </c>
      <c r="M7734" s="274"/>
    </row>
    <row r="7735" spans="2:13" ht="15" customHeight="1" x14ac:dyDescent="0.25">
      <c r="B7735" s="289">
        <v>6876</v>
      </c>
      <c r="C7735" s="261">
        <v>89</v>
      </c>
      <c r="D7735" s="244" t="s">
        <v>12</v>
      </c>
      <c r="E7735" s="263">
        <v>22</v>
      </c>
      <c r="F7735" s="294" t="s">
        <v>126</v>
      </c>
      <c r="G7735" s="294" t="s">
        <v>1366</v>
      </c>
      <c r="H7735" s="298">
        <v>1</v>
      </c>
      <c r="M7735" s="274"/>
    </row>
    <row r="7736" spans="2:13" ht="15" customHeight="1" x14ac:dyDescent="0.25">
      <c r="B7736" s="289">
        <v>6877</v>
      </c>
      <c r="C7736" s="261">
        <v>85</v>
      </c>
      <c r="D7736" s="244" t="s">
        <v>12</v>
      </c>
      <c r="E7736" s="263">
        <v>10</v>
      </c>
      <c r="F7736" s="294" t="s">
        <v>126</v>
      </c>
      <c r="G7736" s="294" t="s">
        <v>1367</v>
      </c>
      <c r="H7736" s="298">
        <v>1</v>
      </c>
      <c r="M7736" s="274"/>
    </row>
    <row r="7737" spans="2:13" ht="15" customHeight="1" x14ac:dyDescent="0.25">
      <c r="B7737" s="289">
        <v>6878</v>
      </c>
      <c r="C7737" s="261">
        <v>82</v>
      </c>
      <c r="D7737" s="244" t="s">
        <v>12</v>
      </c>
      <c r="E7737" s="263">
        <v>1</v>
      </c>
      <c r="F7737" s="294" t="s">
        <v>126</v>
      </c>
      <c r="G7737" s="294" t="s">
        <v>437</v>
      </c>
      <c r="H7737" s="298">
        <v>1</v>
      </c>
      <c r="M7737" s="274"/>
    </row>
    <row r="7738" spans="2:13" ht="15" customHeight="1" x14ac:dyDescent="0.25">
      <c r="B7738" s="289">
        <v>6880</v>
      </c>
      <c r="C7738" s="261">
        <v>89</v>
      </c>
      <c r="D7738" s="244" t="s">
        <v>12</v>
      </c>
      <c r="E7738" s="263">
        <v>9</v>
      </c>
      <c r="F7738" s="294" t="s">
        <v>126</v>
      </c>
      <c r="G7738" s="294" t="s">
        <v>1368</v>
      </c>
      <c r="H7738" s="298">
        <v>1</v>
      </c>
      <c r="M7738" s="274"/>
    </row>
    <row r="7739" spans="2:13" ht="15" customHeight="1" x14ac:dyDescent="0.25">
      <c r="B7739" s="289">
        <v>6883</v>
      </c>
      <c r="C7739" s="261">
        <v>77</v>
      </c>
      <c r="D7739" s="244" t="s">
        <v>11</v>
      </c>
      <c r="E7739" s="263">
        <v>50</v>
      </c>
      <c r="F7739" s="294" t="s">
        <v>1369</v>
      </c>
      <c r="G7739" s="294" t="s">
        <v>126</v>
      </c>
      <c r="H7739" s="298">
        <v>1</v>
      </c>
      <c r="M7739" s="274"/>
    </row>
    <row r="7740" spans="2:13" ht="15" customHeight="1" x14ac:dyDescent="0.25">
      <c r="B7740" s="289">
        <v>6884</v>
      </c>
      <c r="C7740" s="261">
        <v>76</v>
      </c>
      <c r="D7740" s="244" t="s">
        <v>12</v>
      </c>
      <c r="E7740" s="263">
        <v>1</v>
      </c>
      <c r="F7740" s="294" t="s">
        <v>126</v>
      </c>
      <c r="G7740" s="294" t="s">
        <v>426</v>
      </c>
      <c r="H7740" s="298">
        <v>1</v>
      </c>
      <c r="M7740" s="274"/>
    </row>
    <row r="7741" spans="2:13" ht="15" customHeight="1" x14ac:dyDescent="0.25">
      <c r="B7741" s="289">
        <v>6884</v>
      </c>
      <c r="C7741" s="261">
        <v>80</v>
      </c>
      <c r="D7741" s="244" t="s">
        <v>11</v>
      </c>
      <c r="E7741" s="263">
        <v>12</v>
      </c>
      <c r="F7741" s="294" t="s">
        <v>1370</v>
      </c>
      <c r="G7741" s="294" t="s">
        <v>126</v>
      </c>
      <c r="H7741" s="298">
        <v>1</v>
      </c>
      <c r="M7741" s="274"/>
    </row>
    <row r="7742" spans="2:13" ht="15" customHeight="1" x14ac:dyDescent="0.25">
      <c r="B7742" s="289">
        <v>6885</v>
      </c>
      <c r="C7742" s="261">
        <v>83</v>
      </c>
      <c r="D7742" s="244" t="s">
        <v>11</v>
      </c>
      <c r="E7742" s="263">
        <v>12</v>
      </c>
      <c r="F7742" s="294" t="s">
        <v>1371</v>
      </c>
      <c r="G7742" s="294" t="s">
        <v>126</v>
      </c>
      <c r="H7742" s="298">
        <v>1</v>
      </c>
      <c r="M7742" s="274"/>
    </row>
    <row r="7743" spans="2:13" ht="15" customHeight="1" x14ac:dyDescent="0.25">
      <c r="B7743" s="289">
        <v>6886</v>
      </c>
      <c r="C7743" s="261">
        <v>87</v>
      </c>
      <c r="D7743" s="244" t="s">
        <v>11</v>
      </c>
      <c r="E7743" s="263">
        <v>33</v>
      </c>
      <c r="F7743" s="294" t="s">
        <v>1372</v>
      </c>
      <c r="G7743" s="294" t="s">
        <v>126</v>
      </c>
      <c r="H7743" s="298">
        <v>1</v>
      </c>
      <c r="M7743" s="274"/>
    </row>
    <row r="7744" spans="2:13" ht="15" customHeight="1" x14ac:dyDescent="0.25">
      <c r="B7744" s="289">
        <v>6887</v>
      </c>
      <c r="C7744" s="261">
        <v>89</v>
      </c>
      <c r="D7744" s="244" t="s">
        <v>11</v>
      </c>
      <c r="E7744" s="263">
        <v>5</v>
      </c>
      <c r="F7744" s="294" t="s">
        <v>1174</v>
      </c>
      <c r="G7744" s="294" t="s">
        <v>126</v>
      </c>
      <c r="H7744" s="298">
        <v>1</v>
      </c>
      <c r="M7744" s="274"/>
    </row>
    <row r="7745" spans="2:13" ht="15" customHeight="1" x14ac:dyDescent="0.25">
      <c r="B7745" s="289">
        <v>6888</v>
      </c>
      <c r="C7745" s="261">
        <v>89</v>
      </c>
      <c r="D7745" s="244" t="s">
        <v>12</v>
      </c>
      <c r="E7745" s="263">
        <v>4</v>
      </c>
      <c r="F7745" s="294" t="s">
        <v>126</v>
      </c>
      <c r="G7745" s="294" t="s">
        <v>1226</v>
      </c>
      <c r="H7745" s="298">
        <v>1</v>
      </c>
      <c r="M7745" s="274"/>
    </row>
    <row r="7746" spans="2:13" ht="15" customHeight="1" x14ac:dyDescent="0.25">
      <c r="B7746" s="289">
        <v>6890</v>
      </c>
      <c r="C7746" s="261">
        <v>85</v>
      </c>
      <c r="D7746" s="244" t="s">
        <v>11</v>
      </c>
      <c r="E7746" s="263">
        <v>7</v>
      </c>
      <c r="F7746" s="294" t="s">
        <v>1267</v>
      </c>
      <c r="G7746" s="294" t="s">
        <v>126</v>
      </c>
      <c r="H7746" s="298">
        <v>1</v>
      </c>
      <c r="M7746" s="274"/>
    </row>
    <row r="7747" spans="2:13" ht="15" customHeight="1" x14ac:dyDescent="0.25">
      <c r="B7747" s="289">
        <v>6893</v>
      </c>
      <c r="C7747" s="261">
        <v>83</v>
      </c>
      <c r="D7747" s="244" t="s">
        <v>11</v>
      </c>
      <c r="E7747" s="263">
        <v>8</v>
      </c>
      <c r="F7747" s="294" t="s">
        <v>1373</v>
      </c>
      <c r="G7747" s="294" t="s">
        <v>126</v>
      </c>
      <c r="H7747" s="298">
        <v>1</v>
      </c>
      <c r="M7747" s="274"/>
    </row>
    <row r="7748" spans="2:13" ht="15" customHeight="1" x14ac:dyDescent="0.25">
      <c r="B7748" s="289">
        <v>6894</v>
      </c>
      <c r="C7748" s="261">
        <v>76</v>
      </c>
      <c r="D7748" s="244" t="s">
        <v>12</v>
      </c>
      <c r="E7748" s="263">
        <v>8</v>
      </c>
      <c r="F7748" s="294" t="s">
        <v>126</v>
      </c>
      <c r="G7748" s="294" t="s">
        <v>1374</v>
      </c>
      <c r="H7748" s="298">
        <v>1</v>
      </c>
      <c r="M7748" s="274"/>
    </row>
    <row r="7749" spans="2:13" ht="15" customHeight="1" x14ac:dyDescent="0.25">
      <c r="B7749" s="289">
        <v>6894</v>
      </c>
      <c r="C7749" s="261">
        <v>85</v>
      </c>
      <c r="D7749" s="244" t="s">
        <v>11</v>
      </c>
      <c r="E7749" s="263">
        <v>2</v>
      </c>
      <c r="F7749" s="294" t="s">
        <v>233</v>
      </c>
      <c r="G7749" s="294" t="s">
        <v>126</v>
      </c>
      <c r="H7749" s="298">
        <v>1</v>
      </c>
      <c r="M7749" s="274"/>
    </row>
    <row r="7750" spans="2:13" ht="15" customHeight="1" x14ac:dyDescent="0.25">
      <c r="B7750" s="289">
        <v>6895</v>
      </c>
      <c r="C7750" s="261">
        <v>77</v>
      </c>
      <c r="D7750" s="244" t="s">
        <v>11</v>
      </c>
      <c r="E7750" s="263">
        <v>8</v>
      </c>
      <c r="F7750" s="294" t="s">
        <v>1375</v>
      </c>
      <c r="G7750" s="294" t="s">
        <v>126</v>
      </c>
      <c r="H7750" s="298">
        <v>1</v>
      </c>
      <c r="M7750" s="274"/>
    </row>
    <row r="7751" spans="2:13" ht="15" customHeight="1" x14ac:dyDescent="0.25">
      <c r="B7751" s="289">
        <v>6896</v>
      </c>
      <c r="C7751" s="261">
        <v>89</v>
      </c>
      <c r="D7751" s="244" t="s">
        <v>12</v>
      </c>
      <c r="E7751" s="263">
        <v>13</v>
      </c>
      <c r="F7751" s="294" t="s">
        <v>126</v>
      </c>
      <c r="G7751" s="294" t="s">
        <v>1376</v>
      </c>
      <c r="H7751" s="298">
        <v>1</v>
      </c>
      <c r="M7751" s="274"/>
    </row>
    <row r="7752" spans="2:13" ht="15" customHeight="1" x14ac:dyDescent="0.25">
      <c r="B7752" s="289">
        <v>6897</v>
      </c>
      <c r="C7752" s="261">
        <v>78</v>
      </c>
      <c r="D7752" s="244" t="s">
        <v>11</v>
      </c>
      <c r="E7752" s="263">
        <v>32</v>
      </c>
      <c r="F7752" s="294" t="s">
        <v>1377</v>
      </c>
      <c r="G7752" s="294" t="s">
        <v>126</v>
      </c>
      <c r="H7752" s="298">
        <v>1</v>
      </c>
      <c r="M7752" s="274"/>
    </row>
    <row r="7753" spans="2:13" ht="15" customHeight="1" x14ac:dyDescent="0.25">
      <c r="B7753" s="289">
        <v>6898</v>
      </c>
      <c r="C7753" s="261">
        <v>82</v>
      </c>
      <c r="D7753" s="244" t="s">
        <v>11</v>
      </c>
      <c r="E7753" s="263">
        <v>24</v>
      </c>
      <c r="F7753" s="294" t="s">
        <v>1378</v>
      </c>
      <c r="G7753" s="294" t="s">
        <v>126</v>
      </c>
      <c r="H7753" s="298">
        <v>1</v>
      </c>
      <c r="M7753" s="274"/>
    </row>
    <row r="7754" spans="2:13" ht="15" customHeight="1" x14ac:dyDescent="0.25">
      <c r="B7754" s="289">
        <v>6899</v>
      </c>
      <c r="C7754" s="261">
        <v>82</v>
      </c>
      <c r="D7754" s="244" t="s">
        <v>11</v>
      </c>
      <c r="E7754" s="263">
        <v>13</v>
      </c>
      <c r="F7754" s="294" t="s">
        <v>1379</v>
      </c>
      <c r="G7754" s="294" t="s">
        <v>126</v>
      </c>
      <c r="H7754" s="298">
        <v>1</v>
      </c>
      <c r="M7754" s="274"/>
    </row>
    <row r="7755" spans="2:13" ht="15" customHeight="1" x14ac:dyDescent="0.25">
      <c r="B7755" s="289">
        <v>6900</v>
      </c>
      <c r="C7755" s="261">
        <v>82</v>
      </c>
      <c r="D7755" s="244" t="s">
        <v>11</v>
      </c>
      <c r="E7755" s="263">
        <v>7</v>
      </c>
      <c r="F7755" s="294" t="s">
        <v>1380</v>
      </c>
      <c r="G7755" s="294" t="s">
        <v>126</v>
      </c>
      <c r="H7755" s="298">
        <v>1</v>
      </c>
      <c r="M7755" s="274"/>
    </row>
    <row r="7756" spans="2:13" ht="15" customHeight="1" x14ac:dyDescent="0.25">
      <c r="B7756" s="289">
        <v>6901</v>
      </c>
      <c r="C7756" s="261">
        <v>83</v>
      </c>
      <c r="D7756" s="244" t="s">
        <v>11</v>
      </c>
      <c r="E7756" s="263">
        <v>23</v>
      </c>
      <c r="F7756" s="294" t="s">
        <v>1280</v>
      </c>
      <c r="G7756" s="294" t="s">
        <v>126</v>
      </c>
      <c r="H7756" s="298">
        <v>1</v>
      </c>
      <c r="M7756" s="274"/>
    </row>
    <row r="7757" spans="2:13" ht="15" customHeight="1" x14ac:dyDescent="0.25">
      <c r="B7757" s="289">
        <v>6902</v>
      </c>
      <c r="C7757" s="261">
        <v>89</v>
      </c>
      <c r="D7757" s="244" t="s">
        <v>12</v>
      </c>
      <c r="E7757" s="263">
        <v>2</v>
      </c>
      <c r="F7757" s="294" t="s">
        <v>126</v>
      </c>
      <c r="G7757" s="294" t="s">
        <v>511</v>
      </c>
      <c r="H7757" s="298">
        <v>1</v>
      </c>
      <c r="M7757" s="274"/>
    </row>
    <row r="7758" spans="2:13" ht="15" customHeight="1" x14ac:dyDescent="0.25">
      <c r="B7758" s="289">
        <v>6903</v>
      </c>
      <c r="C7758" s="261">
        <v>86</v>
      </c>
      <c r="D7758" s="244" t="s">
        <v>11</v>
      </c>
      <c r="E7758" s="263">
        <v>8</v>
      </c>
      <c r="F7758" s="294" t="s">
        <v>1168</v>
      </c>
      <c r="G7758" s="294" t="s">
        <v>126</v>
      </c>
      <c r="H7758" s="298">
        <v>1</v>
      </c>
      <c r="M7758" s="274"/>
    </row>
    <row r="7759" spans="2:13" ht="15" customHeight="1" x14ac:dyDescent="0.25">
      <c r="B7759" s="289">
        <v>6904</v>
      </c>
      <c r="C7759" s="261">
        <v>79</v>
      </c>
      <c r="D7759" s="244" t="s">
        <v>11</v>
      </c>
      <c r="E7759" s="263">
        <v>30</v>
      </c>
      <c r="F7759" s="294" t="s">
        <v>1381</v>
      </c>
      <c r="G7759" s="294" t="s">
        <v>126</v>
      </c>
      <c r="H7759" s="298">
        <v>1</v>
      </c>
      <c r="M7759" s="274"/>
    </row>
    <row r="7760" spans="2:13" ht="15" customHeight="1" x14ac:dyDescent="0.25">
      <c r="B7760" s="289">
        <v>6905</v>
      </c>
      <c r="C7760" s="261">
        <v>76</v>
      </c>
      <c r="D7760" s="244" t="s">
        <v>12</v>
      </c>
      <c r="E7760" s="263">
        <v>10</v>
      </c>
      <c r="F7760" s="294" t="s">
        <v>126</v>
      </c>
      <c r="G7760" s="294" t="s">
        <v>1382</v>
      </c>
      <c r="H7760" s="298">
        <v>1</v>
      </c>
      <c r="M7760" s="274"/>
    </row>
    <row r="7761" spans="2:13" ht="15" customHeight="1" x14ac:dyDescent="0.25">
      <c r="B7761" s="289">
        <v>6905</v>
      </c>
      <c r="C7761" s="261">
        <v>89</v>
      </c>
      <c r="D7761" s="244" t="s">
        <v>11</v>
      </c>
      <c r="E7761" s="263">
        <v>9</v>
      </c>
      <c r="F7761" s="294" t="s">
        <v>1218</v>
      </c>
      <c r="G7761" s="294" t="s">
        <v>126</v>
      </c>
      <c r="H7761" s="298">
        <v>1</v>
      </c>
      <c r="M7761" s="274"/>
    </row>
    <row r="7762" spans="2:13" ht="15" customHeight="1" x14ac:dyDescent="0.25">
      <c r="B7762" s="289">
        <v>6906</v>
      </c>
      <c r="C7762" s="261">
        <v>75</v>
      </c>
      <c r="D7762" s="244" t="s">
        <v>11</v>
      </c>
      <c r="E7762" s="263">
        <v>23</v>
      </c>
      <c r="F7762" s="294" t="s">
        <v>1383</v>
      </c>
      <c r="G7762" s="294" t="s">
        <v>126</v>
      </c>
      <c r="H7762" s="298">
        <v>1</v>
      </c>
      <c r="M7762" s="274"/>
    </row>
    <row r="7763" spans="2:13" ht="15" customHeight="1" x14ac:dyDescent="0.25">
      <c r="B7763" s="289">
        <v>6907</v>
      </c>
      <c r="C7763" s="261">
        <v>76</v>
      </c>
      <c r="D7763" s="244" t="s">
        <v>11</v>
      </c>
      <c r="E7763" s="263">
        <v>33</v>
      </c>
      <c r="F7763" s="294" t="s">
        <v>1384</v>
      </c>
      <c r="G7763" s="294" t="s">
        <v>126</v>
      </c>
      <c r="H7763" s="298">
        <v>1</v>
      </c>
      <c r="M7763" s="274"/>
    </row>
    <row r="7764" spans="2:13" ht="15" customHeight="1" x14ac:dyDescent="0.25">
      <c r="B7764" s="289">
        <v>6909</v>
      </c>
      <c r="C7764" s="261">
        <v>89</v>
      </c>
      <c r="D7764" s="244" t="s">
        <v>12</v>
      </c>
      <c r="E7764" s="263">
        <v>1</v>
      </c>
      <c r="F7764" s="294" t="s">
        <v>126</v>
      </c>
      <c r="G7764" s="294" t="s">
        <v>426</v>
      </c>
      <c r="H7764" s="298">
        <v>1</v>
      </c>
      <c r="M7764" s="274"/>
    </row>
    <row r="7765" spans="2:13" ht="15" customHeight="1" x14ac:dyDescent="0.25">
      <c r="B7765" s="289">
        <v>6910</v>
      </c>
      <c r="C7765" s="261">
        <v>74</v>
      </c>
      <c r="D7765" s="244" t="s">
        <v>11</v>
      </c>
      <c r="E7765" s="263">
        <v>32</v>
      </c>
      <c r="F7765" s="294" t="s">
        <v>1385</v>
      </c>
      <c r="G7765" s="294" t="s">
        <v>126</v>
      </c>
      <c r="H7765" s="298">
        <v>1</v>
      </c>
      <c r="M7765" s="274"/>
    </row>
    <row r="7766" spans="2:13" ht="15" customHeight="1" x14ac:dyDescent="0.25">
      <c r="B7766" s="289">
        <v>6911</v>
      </c>
      <c r="C7766" s="261">
        <v>74</v>
      </c>
      <c r="D7766" s="244" t="s">
        <v>11</v>
      </c>
      <c r="E7766" s="263">
        <v>21</v>
      </c>
      <c r="F7766" s="294" t="s">
        <v>1386</v>
      </c>
      <c r="G7766" s="294" t="s">
        <v>126</v>
      </c>
      <c r="H7766" s="298">
        <v>1</v>
      </c>
      <c r="M7766" s="274"/>
    </row>
    <row r="7767" spans="2:13" ht="15" customHeight="1" x14ac:dyDescent="0.25">
      <c r="B7767" s="289">
        <v>6912</v>
      </c>
      <c r="C7767" s="261">
        <v>90</v>
      </c>
      <c r="D7767" s="244" t="s">
        <v>12</v>
      </c>
      <c r="E7767" s="263">
        <v>1</v>
      </c>
      <c r="F7767" s="294" t="s">
        <v>126</v>
      </c>
      <c r="G7767" s="294" t="s">
        <v>235</v>
      </c>
      <c r="H7767" s="298">
        <v>1</v>
      </c>
      <c r="M7767" s="274"/>
    </row>
    <row r="7768" spans="2:13" ht="15" customHeight="1" x14ac:dyDescent="0.25">
      <c r="B7768" s="289">
        <v>6913</v>
      </c>
      <c r="C7768" s="261">
        <v>79</v>
      </c>
      <c r="D7768" s="244" t="s">
        <v>11</v>
      </c>
      <c r="E7768" s="263">
        <v>7</v>
      </c>
      <c r="F7768" s="294" t="s">
        <v>1387</v>
      </c>
      <c r="G7768" s="294" t="s">
        <v>126</v>
      </c>
      <c r="H7768" s="298">
        <v>1</v>
      </c>
      <c r="M7768" s="274"/>
    </row>
    <row r="7769" spans="2:13" ht="15" customHeight="1" x14ac:dyDescent="0.25">
      <c r="B7769" s="289">
        <v>6914</v>
      </c>
      <c r="C7769" s="261">
        <v>86</v>
      </c>
      <c r="D7769" s="244" t="s">
        <v>11</v>
      </c>
      <c r="E7769" s="263">
        <v>8</v>
      </c>
      <c r="F7769" s="294" t="s">
        <v>1168</v>
      </c>
      <c r="G7769" s="294" t="s">
        <v>126</v>
      </c>
      <c r="H7769" s="298">
        <v>1</v>
      </c>
      <c r="M7769" s="274"/>
    </row>
    <row r="7770" spans="2:13" ht="15" customHeight="1" x14ac:dyDescent="0.25">
      <c r="B7770" s="289">
        <v>6915</v>
      </c>
      <c r="C7770" s="261">
        <v>87</v>
      </c>
      <c r="D7770" s="244" t="s">
        <v>11</v>
      </c>
      <c r="E7770" s="263">
        <v>33</v>
      </c>
      <c r="F7770" s="294" t="s">
        <v>1372</v>
      </c>
      <c r="G7770" s="294" t="s">
        <v>126</v>
      </c>
      <c r="H7770" s="298">
        <v>1</v>
      </c>
      <c r="M7770" s="274"/>
    </row>
    <row r="7771" spans="2:13" ht="15" customHeight="1" x14ac:dyDescent="0.25">
      <c r="B7771" s="289">
        <v>6916</v>
      </c>
      <c r="C7771" s="261">
        <v>87</v>
      </c>
      <c r="D7771" s="244" t="s">
        <v>11</v>
      </c>
      <c r="E7771" s="263">
        <v>2</v>
      </c>
      <c r="F7771" s="294" t="s">
        <v>587</v>
      </c>
      <c r="G7771" s="294" t="s">
        <v>126</v>
      </c>
      <c r="H7771" s="298">
        <v>1</v>
      </c>
      <c r="M7771" s="274"/>
    </row>
    <row r="7772" spans="2:13" ht="15" customHeight="1" x14ac:dyDescent="0.25">
      <c r="B7772" s="289">
        <v>6917</v>
      </c>
      <c r="C7772" s="261">
        <v>89</v>
      </c>
      <c r="D7772" s="244" t="s">
        <v>12</v>
      </c>
      <c r="E7772" s="263">
        <v>7</v>
      </c>
      <c r="F7772" s="294" t="s">
        <v>126</v>
      </c>
      <c r="G7772" s="294" t="s">
        <v>1388</v>
      </c>
      <c r="H7772" s="298">
        <v>1</v>
      </c>
      <c r="M7772" s="274"/>
    </row>
    <row r="7773" spans="2:13" ht="15" customHeight="1" x14ac:dyDescent="0.25">
      <c r="B7773" s="289">
        <v>6918</v>
      </c>
      <c r="C7773" s="261">
        <v>92</v>
      </c>
      <c r="D7773" s="244" t="s">
        <v>12</v>
      </c>
      <c r="E7773" s="263">
        <v>8</v>
      </c>
      <c r="F7773" s="294" t="s">
        <v>126</v>
      </c>
      <c r="G7773" s="294" t="s">
        <v>1389</v>
      </c>
      <c r="H7773" s="298">
        <v>1</v>
      </c>
      <c r="M7773" s="274"/>
    </row>
    <row r="7774" spans="2:13" ht="15" customHeight="1" x14ac:dyDescent="0.25">
      <c r="B7774" s="289">
        <v>6922</v>
      </c>
      <c r="C7774" s="261">
        <v>83</v>
      </c>
      <c r="D7774" s="244" t="s">
        <v>12</v>
      </c>
      <c r="E7774" s="263">
        <v>2</v>
      </c>
      <c r="F7774" s="294" t="s">
        <v>126</v>
      </c>
      <c r="G7774" s="294" t="s">
        <v>233</v>
      </c>
      <c r="H7774" s="298">
        <v>1</v>
      </c>
      <c r="M7774" s="274"/>
    </row>
    <row r="7775" spans="2:13" ht="15" customHeight="1" x14ac:dyDescent="0.25">
      <c r="B7775" s="289">
        <v>6922</v>
      </c>
      <c r="C7775" s="261">
        <v>89</v>
      </c>
      <c r="D7775" s="244" t="s">
        <v>11</v>
      </c>
      <c r="E7775" s="263">
        <v>10</v>
      </c>
      <c r="F7775" s="294" t="s">
        <v>1259</v>
      </c>
      <c r="G7775" s="294" t="s">
        <v>126</v>
      </c>
      <c r="H7775" s="298">
        <v>1</v>
      </c>
      <c r="M7775" s="274"/>
    </row>
    <row r="7776" spans="2:13" ht="15" customHeight="1" x14ac:dyDescent="0.25">
      <c r="B7776" s="289">
        <v>6923</v>
      </c>
      <c r="C7776" s="261">
        <v>77</v>
      </c>
      <c r="D7776" s="244" t="s">
        <v>11</v>
      </c>
      <c r="E7776" s="263">
        <v>63</v>
      </c>
      <c r="F7776" s="294" t="s">
        <v>1390</v>
      </c>
      <c r="G7776" s="294" t="s">
        <v>126</v>
      </c>
      <c r="H7776" s="298">
        <v>1</v>
      </c>
      <c r="M7776" s="274"/>
    </row>
    <row r="7777" spans="2:13" ht="15" customHeight="1" x14ac:dyDescent="0.25">
      <c r="B7777" s="289">
        <v>6925</v>
      </c>
      <c r="C7777" s="261">
        <v>89</v>
      </c>
      <c r="D7777" s="244" t="s">
        <v>12</v>
      </c>
      <c r="E7777" s="263">
        <v>2</v>
      </c>
      <c r="F7777" s="294" t="s">
        <v>126</v>
      </c>
      <c r="G7777" s="294" t="s">
        <v>136</v>
      </c>
      <c r="H7777" s="298">
        <v>1</v>
      </c>
      <c r="M7777" s="274"/>
    </row>
    <row r="7778" spans="2:13" ht="15" customHeight="1" x14ac:dyDescent="0.25">
      <c r="B7778" s="289">
        <v>6926</v>
      </c>
      <c r="C7778" s="261">
        <v>89</v>
      </c>
      <c r="D7778" s="244" t="s">
        <v>11</v>
      </c>
      <c r="E7778" s="263">
        <v>5</v>
      </c>
      <c r="F7778" s="294" t="s">
        <v>1174</v>
      </c>
      <c r="G7778" s="294" t="s">
        <v>126</v>
      </c>
      <c r="H7778" s="298">
        <v>1</v>
      </c>
      <c r="M7778" s="274"/>
    </row>
    <row r="7779" spans="2:13" ht="15" customHeight="1" x14ac:dyDescent="0.25">
      <c r="B7779" s="289">
        <v>6927</v>
      </c>
      <c r="C7779" s="261">
        <v>89</v>
      </c>
      <c r="D7779" s="244" t="s">
        <v>11</v>
      </c>
      <c r="E7779" s="263">
        <v>1</v>
      </c>
      <c r="F7779" s="294" t="s">
        <v>426</v>
      </c>
      <c r="G7779" s="294" t="s">
        <v>126</v>
      </c>
      <c r="H7779" s="298">
        <v>1</v>
      </c>
      <c r="M7779" s="274"/>
    </row>
    <row r="7780" spans="2:13" ht="15" customHeight="1" x14ac:dyDescent="0.25">
      <c r="B7780" s="289">
        <v>6928</v>
      </c>
      <c r="C7780" s="261">
        <v>89</v>
      </c>
      <c r="D7780" s="244" t="s">
        <v>12</v>
      </c>
      <c r="E7780" s="263">
        <v>1</v>
      </c>
      <c r="F7780" s="294" t="s">
        <v>126</v>
      </c>
      <c r="G7780" s="294" t="s">
        <v>437</v>
      </c>
      <c r="H7780" s="298">
        <v>1</v>
      </c>
      <c r="M7780" s="274"/>
    </row>
    <row r="7781" spans="2:13" ht="15" customHeight="1" x14ac:dyDescent="0.25">
      <c r="B7781" s="289">
        <v>6929</v>
      </c>
      <c r="C7781" s="261">
        <v>89</v>
      </c>
      <c r="D7781" s="244" t="s">
        <v>12</v>
      </c>
      <c r="E7781" s="263">
        <v>7</v>
      </c>
      <c r="F7781" s="294" t="s">
        <v>126</v>
      </c>
      <c r="G7781" s="294" t="s">
        <v>1391</v>
      </c>
      <c r="H7781" s="298">
        <v>1</v>
      </c>
      <c r="M7781" s="274"/>
    </row>
    <row r="7782" spans="2:13" ht="15" customHeight="1" x14ac:dyDescent="0.25">
      <c r="B7782" s="289">
        <v>6930</v>
      </c>
      <c r="C7782" s="261">
        <v>71</v>
      </c>
      <c r="D7782" s="244" t="s">
        <v>11</v>
      </c>
      <c r="E7782" s="263">
        <v>30</v>
      </c>
      <c r="F7782" s="294" t="s">
        <v>1392</v>
      </c>
      <c r="G7782" s="294" t="s">
        <v>126</v>
      </c>
      <c r="H7782" s="298">
        <v>1</v>
      </c>
      <c r="M7782" s="274"/>
    </row>
    <row r="7783" spans="2:13" ht="15" customHeight="1" x14ac:dyDescent="0.25">
      <c r="B7783" s="289">
        <v>6931</v>
      </c>
      <c r="C7783" s="261">
        <v>72</v>
      </c>
      <c r="D7783" s="244" t="s">
        <v>11</v>
      </c>
      <c r="E7783" s="263">
        <v>17</v>
      </c>
      <c r="F7783" s="294" t="s">
        <v>1393</v>
      </c>
      <c r="G7783" s="294" t="s">
        <v>126</v>
      </c>
      <c r="H7783" s="298">
        <v>1</v>
      </c>
      <c r="M7783" s="274"/>
    </row>
    <row r="7784" spans="2:13" ht="15" customHeight="1" x14ac:dyDescent="0.25">
      <c r="B7784" s="289">
        <v>6933</v>
      </c>
      <c r="C7784" s="261">
        <v>70</v>
      </c>
      <c r="D7784" s="244" t="s">
        <v>12</v>
      </c>
      <c r="E7784" s="263">
        <v>12</v>
      </c>
      <c r="F7784" s="294" t="s">
        <v>126</v>
      </c>
      <c r="G7784" s="294" t="s">
        <v>1394</v>
      </c>
      <c r="H7784" s="298">
        <v>1</v>
      </c>
      <c r="M7784" s="274"/>
    </row>
    <row r="7785" spans="2:13" ht="15" customHeight="1" x14ac:dyDescent="0.25">
      <c r="B7785" s="289">
        <v>6933</v>
      </c>
      <c r="C7785" s="261">
        <v>93</v>
      </c>
      <c r="D7785" s="244" t="s">
        <v>12</v>
      </c>
      <c r="E7785" s="263">
        <v>3</v>
      </c>
      <c r="F7785" s="294" t="s">
        <v>126</v>
      </c>
      <c r="G7785" s="294" t="s">
        <v>933</v>
      </c>
      <c r="H7785" s="298">
        <v>1</v>
      </c>
      <c r="M7785" s="274"/>
    </row>
    <row r="7786" spans="2:13" ht="15" customHeight="1" x14ac:dyDescent="0.25">
      <c r="B7786" s="289">
        <v>6934</v>
      </c>
      <c r="C7786" s="261">
        <v>85</v>
      </c>
      <c r="D7786" s="244" t="s">
        <v>11</v>
      </c>
      <c r="E7786" s="263">
        <v>25</v>
      </c>
      <c r="F7786" s="294" t="s">
        <v>1205</v>
      </c>
      <c r="G7786" s="294" t="s">
        <v>126</v>
      </c>
      <c r="H7786" s="298">
        <v>1</v>
      </c>
      <c r="M7786" s="274"/>
    </row>
    <row r="7787" spans="2:13" ht="15" customHeight="1" x14ac:dyDescent="0.25">
      <c r="B7787" s="289">
        <v>6935</v>
      </c>
      <c r="C7787" s="261">
        <v>89</v>
      </c>
      <c r="D7787" s="244" t="s">
        <v>11</v>
      </c>
      <c r="E7787" s="263">
        <v>9</v>
      </c>
      <c r="F7787" s="294" t="s">
        <v>1218</v>
      </c>
      <c r="G7787" s="294" t="s">
        <v>126</v>
      </c>
      <c r="H7787" s="298">
        <v>1</v>
      </c>
      <c r="M7787" s="274"/>
    </row>
    <row r="7788" spans="2:13" ht="15" customHeight="1" x14ac:dyDescent="0.25">
      <c r="B7788" s="289">
        <v>6936</v>
      </c>
      <c r="C7788" s="261">
        <v>89</v>
      </c>
      <c r="D7788" s="244" t="s">
        <v>11</v>
      </c>
      <c r="E7788" s="263">
        <v>5</v>
      </c>
      <c r="F7788" s="294" t="s">
        <v>1174</v>
      </c>
      <c r="G7788" s="294" t="s">
        <v>126</v>
      </c>
      <c r="H7788" s="298">
        <v>1</v>
      </c>
      <c r="M7788" s="274"/>
    </row>
    <row r="7789" spans="2:13" ht="15" customHeight="1" x14ac:dyDescent="0.25">
      <c r="B7789" s="289">
        <v>6937</v>
      </c>
      <c r="C7789" s="261">
        <v>84</v>
      </c>
      <c r="D7789" s="244" t="s">
        <v>11</v>
      </c>
      <c r="E7789" s="263">
        <v>18</v>
      </c>
      <c r="F7789" s="294" t="s">
        <v>1395</v>
      </c>
      <c r="G7789" s="294" t="s">
        <v>126</v>
      </c>
      <c r="H7789" s="298">
        <v>1</v>
      </c>
      <c r="M7789" s="274"/>
    </row>
    <row r="7790" spans="2:13" ht="15" customHeight="1" x14ac:dyDescent="0.25">
      <c r="B7790" s="289">
        <v>6938</v>
      </c>
      <c r="C7790" s="261">
        <v>89</v>
      </c>
      <c r="D7790" s="244" t="s">
        <v>11</v>
      </c>
      <c r="E7790" s="263">
        <v>9</v>
      </c>
      <c r="F7790" s="294" t="s">
        <v>1218</v>
      </c>
      <c r="G7790" s="294" t="s">
        <v>126</v>
      </c>
      <c r="H7790" s="298">
        <v>1</v>
      </c>
      <c r="M7790" s="274"/>
    </row>
    <row r="7791" spans="2:13" ht="15" customHeight="1" x14ac:dyDescent="0.25">
      <c r="B7791" s="289">
        <v>6939</v>
      </c>
      <c r="C7791" s="261">
        <v>86</v>
      </c>
      <c r="D7791" s="244" t="s">
        <v>11</v>
      </c>
      <c r="E7791" s="263">
        <v>8</v>
      </c>
      <c r="F7791" s="294" t="s">
        <v>1168</v>
      </c>
      <c r="G7791" s="294" t="s">
        <v>126</v>
      </c>
      <c r="H7791" s="298">
        <v>1</v>
      </c>
      <c r="M7791" s="274"/>
    </row>
    <row r="7792" spans="2:13" ht="15" customHeight="1" x14ac:dyDescent="0.25">
      <c r="B7792" s="289">
        <v>6940</v>
      </c>
      <c r="C7792" s="261">
        <v>70</v>
      </c>
      <c r="D7792" s="244" t="s">
        <v>11</v>
      </c>
      <c r="E7792" s="263">
        <v>18</v>
      </c>
      <c r="F7792" s="294" t="s">
        <v>1396</v>
      </c>
      <c r="G7792" s="294" t="s">
        <v>126</v>
      </c>
      <c r="H7792" s="298">
        <v>1</v>
      </c>
      <c r="M7792" s="274"/>
    </row>
    <row r="7793" spans="2:13" ht="15" customHeight="1" x14ac:dyDescent="0.25">
      <c r="B7793" s="289">
        <v>6941</v>
      </c>
      <c r="C7793" s="261">
        <v>73</v>
      </c>
      <c r="D7793" s="244" t="s">
        <v>11</v>
      </c>
      <c r="E7793" s="263">
        <v>15</v>
      </c>
      <c r="F7793" s="294" t="s">
        <v>1397</v>
      </c>
      <c r="G7793" s="294" t="s">
        <v>126</v>
      </c>
      <c r="H7793" s="298">
        <v>1</v>
      </c>
      <c r="M7793" s="274"/>
    </row>
    <row r="7794" spans="2:13" ht="15" customHeight="1" x14ac:dyDescent="0.25">
      <c r="B7794" s="289">
        <v>6942</v>
      </c>
      <c r="C7794" s="261">
        <v>69</v>
      </c>
      <c r="D7794" s="244" t="s">
        <v>12</v>
      </c>
      <c r="E7794" s="263">
        <v>1</v>
      </c>
      <c r="F7794" s="294" t="s">
        <v>126</v>
      </c>
      <c r="G7794" s="294" t="s">
        <v>139</v>
      </c>
      <c r="H7794" s="298">
        <v>1</v>
      </c>
      <c r="M7794" s="274"/>
    </row>
    <row r="7795" spans="2:13" ht="15" customHeight="1" x14ac:dyDescent="0.25">
      <c r="B7795" s="289">
        <v>6942</v>
      </c>
      <c r="C7795" s="261">
        <v>80</v>
      </c>
      <c r="D7795" s="244" t="s">
        <v>11</v>
      </c>
      <c r="E7795" s="263">
        <v>21</v>
      </c>
      <c r="F7795" s="294" t="s">
        <v>1353</v>
      </c>
      <c r="G7795" s="294" t="s">
        <v>126</v>
      </c>
      <c r="H7795" s="298">
        <v>1</v>
      </c>
      <c r="M7795" s="274"/>
    </row>
    <row r="7796" spans="2:13" ht="15" customHeight="1" x14ac:dyDescent="0.25">
      <c r="B7796" s="289">
        <v>6943</v>
      </c>
      <c r="C7796" s="261">
        <v>69</v>
      </c>
      <c r="D7796" s="244" t="s">
        <v>12</v>
      </c>
      <c r="E7796" s="263">
        <v>1</v>
      </c>
      <c r="F7796" s="294" t="s">
        <v>126</v>
      </c>
      <c r="G7796" s="294" t="s">
        <v>139</v>
      </c>
      <c r="H7796" s="298">
        <v>1</v>
      </c>
      <c r="M7796" s="274"/>
    </row>
    <row r="7797" spans="2:13" ht="15" customHeight="1" x14ac:dyDescent="0.25">
      <c r="B7797" s="289">
        <v>6943</v>
      </c>
      <c r="C7797" s="261">
        <v>80</v>
      </c>
      <c r="D7797" s="244" t="s">
        <v>11</v>
      </c>
      <c r="E7797" s="263">
        <v>11</v>
      </c>
      <c r="F7797" s="294" t="s">
        <v>1398</v>
      </c>
      <c r="G7797" s="294" t="s">
        <v>126</v>
      </c>
      <c r="H7797" s="298">
        <v>1</v>
      </c>
      <c r="M7797" s="274"/>
    </row>
    <row r="7798" spans="2:13" ht="15" customHeight="1" x14ac:dyDescent="0.25">
      <c r="B7798" s="289">
        <v>6944</v>
      </c>
      <c r="C7798" s="261">
        <v>81</v>
      </c>
      <c r="D7798" s="244" t="s">
        <v>11</v>
      </c>
      <c r="E7798" s="263">
        <v>19</v>
      </c>
      <c r="F7798" s="294" t="s">
        <v>1399</v>
      </c>
      <c r="G7798" s="294" t="s">
        <v>126</v>
      </c>
      <c r="H7798" s="298">
        <v>1</v>
      </c>
      <c r="M7798" s="274"/>
    </row>
    <row r="7799" spans="2:13" ht="15" customHeight="1" x14ac:dyDescent="0.25">
      <c r="B7799" s="289">
        <v>6945</v>
      </c>
      <c r="C7799" s="261">
        <v>81</v>
      </c>
      <c r="D7799" s="244" t="s">
        <v>11</v>
      </c>
      <c r="E7799" s="263">
        <v>19</v>
      </c>
      <c r="F7799" s="294" t="s">
        <v>1399</v>
      </c>
      <c r="G7799" s="294" t="s">
        <v>126</v>
      </c>
      <c r="H7799" s="298">
        <v>1</v>
      </c>
      <c r="M7799" s="274"/>
    </row>
    <row r="7800" spans="2:13" ht="15" customHeight="1" x14ac:dyDescent="0.25">
      <c r="B7800" s="289">
        <v>6946</v>
      </c>
      <c r="C7800" s="261">
        <v>82</v>
      </c>
      <c r="D7800" s="244" t="s">
        <v>11</v>
      </c>
      <c r="E7800" s="263">
        <v>20</v>
      </c>
      <c r="F7800" s="294" t="s">
        <v>1400</v>
      </c>
      <c r="G7800" s="294" t="s">
        <v>126</v>
      </c>
      <c r="H7800" s="298">
        <v>1</v>
      </c>
      <c r="M7800" s="274"/>
    </row>
    <row r="7801" spans="2:13" ht="15" customHeight="1" x14ac:dyDescent="0.25">
      <c r="B7801" s="289">
        <v>6947</v>
      </c>
      <c r="C7801" s="261">
        <v>88</v>
      </c>
      <c r="D7801" s="244" t="s">
        <v>11</v>
      </c>
      <c r="E7801" s="263">
        <v>13</v>
      </c>
      <c r="F7801" s="294" t="s">
        <v>1359</v>
      </c>
      <c r="G7801" s="294" t="s">
        <v>126</v>
      </c>
      <c r="H7801" s="298">
        <v>1</v>
      </c>
      <c r="M7801" s="274"/>
    </row>
    <row r="7802" spans="2:13" ht="15" customHeight="1" x14ac:dyDescent="0.25">
      <c r="B7802" s="289">
        <v>6948</v>
      </c>
      <c r="C7802" s="261">
        <v>89</v>
      </c>
      <c r="D7802" s="244" t="s">
        <v>11</v>
      </c>
      <c r="E7802" s="263">
        <v>17</v>
      </c>
      <c r="F7802" s="294" t="s">
        <v>1401</v>
      </c>
      <c r="G7802" s="294" t="s">
        <v>126</v>
      </c>
      <c r="H7802" s="298">
        <v>1</v>
      </c>
      <c r="M7802" s="274"/>
    </row>
    <row r="7803" spans="2:13" ht="15" customHeight="1" x14ac:dyDescent="0.25">
      <c r="B7803" s="289">
        <v>6949</v>
      </c>
      <c r="C7803" s="261">
        <v>89</v>
      </c>
      <c r="D7803" s="244" t="s">
        <v>11</v>
      </c>
      <c r="E7803" s="263">
        <v>2</v>
      </c>
      <c r="F7803" s="294" t="s">
        <v>454</v>
      </c>
      <c r="G7803" s="294" t="s">
        <v>126</v>
      </c>
      <c r="H7803" s="298">
        <v>1</v>
      </c>
      <c r="M7803" s="274"/>
    </row>
    <row r="7804" spans="2:13" ht="15" customHeight="1" x14ac:dyDescent="0.25">
      <c r="B7804" s="289">
        <v>6951</v>
      </c>
      <c r="C7804" s="261">
        <v>89</v>
      </c>
      <c r="D7804" s="244" t="s">
        <v>12</v>
      </c>
      <c r="E7804" s="263">
        <v>1</v>
      </c>
      <c r="F7804" s="294" t="s">
        <v>126</v>
      </c>
      <c r="G7804" s="294" t="s">
        <v>139</v>
      </c>
      <c r="H7804" s="298">
        <v>1</v>
      </c>
      <c r="M7804" s="274"/>
    </row>
    <row r="7805" spans="2:13" ht="15" customHeight="1" x14ac:dyDescent="0.25">
      <c r="B7805" s="289">
        <v>6953</v>
      </c>
      <c r="C7805" s="261">
        <v>84</v>
      </c>
      <c r="D7805" s="244" t="s">
        <v>11</v>
      </c>
      <c r="E7805" s="263">
        <v>22</v>
      </c>
      <c r="F7805" s="294" t="s">
        <v>1402</v>
      </c>
      <c r="G7805" s="294" t="s">
        <v>126</v>
      </c>
      <c r="H7805" s="298">
        <v>1</v>
      </c>
      <c r="M7805" s="274"/>
    </row>
    <row r="7806" spans="2:13" ht="15" customHeight="1" x14ac:dyDescent="0.25">
      <c r="B7806" s="289">
        <v>6955</v>
      </c>
      <c r="C7806" s="261">
        <v>75</v>
      </c>
      <c r="D7806" s="244" t="s">
        <v>11</v>
      </c>
      <c r="E7806" s="263">
        <v>2</v>
      </c>
      <c r="F7806" s="294" t="s">
        <v>420</v>
      </c>
      <c r="G7806" s="294" t="s">
        <v>126</v>
      </c>
      <c r="H7806" s="298">
        <v>1</v>
      </c>
      <c r="M7806" s="274"/>
    </row>
    <row r="7807" spans="2:13" ht="15" customHeight="1" x14ac:dyDescent="0.25">
      <c r="B7807" s="289">
        <v>6955</v>
      </c>
      <c r="C7807" s="261">
        <v>99</v>
      </c>
      <c r="D7807" s="244" t="s">
        <v>12</v>
      </c>
      <c r="E7807" s="263">
        <v>1</v>
      </c>
      <c r="F7807" s="294" t="s">
        <v>126</v>
      </c>
      <c r="G7807" s="294" t="s">
        <v>235</v>
      </c>
      <c r="H7807" s="298">
        <v>1</v>
      </c>
      <c r="M7807" s="274"/>
    </row>
    <row r="7808" spans="2:13" ht="15" customHeight="1" x14ac:dyDescent="0.25">
      <c r="B7808" s="289">
        <v>6955</v>
      </c>
      <c r="C7808" s="261">
        <v>106</v>
      </c>
      <c r="D7808" s="244" t="s">
        <v>11</v>
      </c>
      <c r="E7808" s="263">
        <v>4</v>
      </c>
      <c r="F7808" s="294" t="s">
        <v>1403</v>
      </c>
      <c r="G7808" s="294" t="s">
        <v>126</v>
      </c>
      <c r="H7808" s="298">
        <v>1</v>
      </c>
      <c r="M7808" s="274"/>
    </row>
    <row r="7809" spans="2:13" ht="15" customHeight="1" x14ac:dyDescent="0.25">
      <c r="B7809" s="289">
        <v>6958</v>
      </c>
      <c r="C7809" s="261">
        <v>89</v>
      </c>
      <c r="D7809" s="244" t="s">
        <v>12</v>
      </c>
      <c r="E7809" s="263">
        <v>2</v>
      </c>
      <c r="F7809" s="294" t="s">
        <v>126</v>
      </c>
      <c r="G7809" s="294" t="s">
        <v>587</v>
      </c>
      <c r="H7809" s="298">
        <v>1</v>
      </c>
      <c r="M7809" s="274"/>
    </row>
    <row r="7810" spans="2:13" ht="15" customHeight="1" x14ac:dyDescent="0.25">
      <c r="B7810" s="289">
        <v>6959</v>
      </c>
      <c r="C7810" s="261">
        <v>89</v>
      </c>
      <c r="D7810" s="244" t="s">
        <v>12</v>
      </c>
      <c r="E7810" s="263">
        <v>1</v>
      </c>
      <c r="F7810" s="294" t="s">
        <v>126</v>
      </c>
      <c r="G7810" s="294" t="s">
        <v>426</v>
      </c>
      <c r="H7810" s="298">
        <v>1</v>
      </c>
      <c r="M7810" s="274"/>
    </row>
    <row r="7811" spans="2:13" ht="15" customHeight="1" x14ac:dyDescent="0.25">
      <c r="B7811" s="289">
        <v>6960</v>
      </c>
      <c r="C7811" s="261">
        <v>89</v>
      </c>
      <c r="D7811" s="244" t="s">
        <v>12</v>
      </c>
      <c r="E7811" s="263">
        <v>1</v>
      </c>
      <c r="F7811" s="294" t="s">
        <v>126</v>
      </c>
      <c r="G7811" s="294" t="s">
        <v>426</v>
      </c>
      <c r="H7811" s="298">
        <v>1</v>
      </c>
      <c r="M7811" s="274"/>
    </row>
    <row r="7812" spans="2:13" ht="15" customHeight="1" x14ac:dyDescent="0.25">
      <c r="B7812" s="289">
        <v>6961</v>
      </c>
      <c r="C7812" s="261">
        <v>84</v>
      </c>
      <c r="D7812" s="244" t="s">
        <v>11</v>
      </c>
      <c r="E7812" s="263">
        <v>5</v>
      </c>
      <c r="F7812" s="294" t="s">
        <v>1297</v>
      </c>
      <c r="G7812" s="294" t="s">
        <v>126</v>
      </c>
      <c r="H7812" s="298">
        <v>1</v>
      </c>
      <c r="M7812" s="274"/>
    </row>
    <row r="7813" spans="2:13" ht="15" customHeight="1" x14ac:dyDescent="0.25">
      <c r="B7813" s="289">
        <v>6964</v>
      </c>
      <c r="C7813" s="261">
        <v>68</v>
      </c>
      <c r="D7813" s="244" t="s">
        <v>12</v>
      </c>
      <c r="E7813" s="263">
        <v>36</v>
      </c>
      <c r="F7813" s="294" t="s">
        <v>126</v>
      </c>
      <c r="G7813" s="294" t="s">
        <v>1404</v>
      </c>
      <c r="H7813" s="298">
        <v>1</v>
      </c>
      <c r="M7813" s="274"/>
    </row>
    <row r="7814" spans="2:13" ht="15" customHeight="1" x14ac:dyDescent="0.25">
      <c r="B7814" s="289">
        <v>6965</v>
      </c>
      <c r="C7814" s="261">
        <v>89</v>
      </c>
      <c r="D7814" s="244" t="s">
        <v>11</v>
      </c>
      <c r="E7814" s="263">
        <v>9</v>
      </c>
      <c r="F7814" s="294" t="s">
        <v>1218</v>
      </c>
      <c r="G7814" s="294" t="s">
        <v>126</v>
      </c>
      <c r="H7814" s="298">
        <v>1</v>
      </c>
      <c r="M7814" s="274"/>
    </row>
    <row r="7815" spans="2:13" ht="15" customHeight="1" x14ac:dyDescent="0.25">
      <c r="B7815" s="289">
        <v>6966</v>
      </c>
      <c r="C7815" s="261">
        <v>89</v>
      </c>
      <c r="D7815" s="244" t="s">
        <v>12</v>
      </c>
      <c r="E7815" s="263">
        <v>28</v>
      </c>
      <c r="F7815" s="294" t="s">
        <v>126</v>
      </c>
      <c r="G7815" s="294" t="s">
        <v>1405</v>
      </c>
      <c r="H7815" s="298">
        <v>1</v>
      </c>
      <c r="M7815" s="274"/>
    </row>
    <row r="7816" spans="2:13" ht="15" customHeight="1" x14ac:dyDescent="0.25">
      <c r="B7816" s="289">
        <v>6967</v>
      </c>
      <c r="C7816" s="261">
        <v>89</v>
      </c>
      <c r="D7816" s="244" t="s">
        <v>11</v>
      </c>
      <c r="E7816" s="263">
        <v>2</v>
      </c>
      <c r="F7816" s="294" t="s">
        <v>454</v>
      </c>
      <c r="G7816" s="294" t="s">
        <v>126</v>
      </c>
      <c r="H7816" s="298">
        <v>1</v>
      </c>
      <c r="M7816" s="274"/>
    </row>
    <row r="7817" spans="2:13" ht="15" customHeight="1" x14ac:dyDescent="0.25">
      <c r="B7817" s="289">
        <v>6968</v>
      </c>
      <c r="C7817" s="261">
        <v>85</v>
      </c>
      <c r="D7817" s="244" t="s">
        <v>11</v>
      </c>
      <c r="E7817" s="263">
        <v>4</v>
      </c>
      <c r="F7817" s="294" t="s">
        <v>471</v>
      </c>
      <c r="G7817" s="294" t="s">
        <v>126</v>
      </c>
      <c r="H7817" s="298">
        <v>1</v>
      </c>
      <c r="M7817" s="274"/>
    </row>
    <row r="7818" spans="2:13" ht="15" customHeight="1" x14ac:dyDescent="0.25">
      <c r="B7818" s="289">
        <v>6969</v>
      </c>
      <c r="C7818" s="261">
        <v>89</v>
      </c>
      <c r="D7818" s="244" t="s">
        <v>11</v>
      </c>
      <c r="E7818" s="263">
        <v>22</v>
      </c>
      <c r="F7818" s="294" t="s">
        <v>1406</v>
      </c>
      <c r="G7818" s="294" t="s">
        <v>126</v>
      </c>
      <c r="H7818" s="298">
        <v>1</v>
      </c>
      <c r="M7818" s="274"/>
    </row>
    <row r="7819" spans="2:13" ht="15" customHeight="1" x14ac:dyDescent="0.25">
      <c r="B7819" s="289">
        <v>6970</v>
      </c>
      <c r="C7819" s="261">
        <v>87</v>
      </c>
      <c r="D7819" s="244" t="s">
        <v>12</v>
      </c>
      <c r="E7819" s="263">
        <v>5</v>
      </c>
      <c r="F7819" s="294" t="s">
        <v>126</v>
      </c>
      <c r="G7819" s="294" t="s">
        <v>1407</v>
      </c>
      <c r="H7819" s="298">
        <v>1</v>
      </c>
      <c r="M7819" s="274"/>
    </row>
    <row r="7820" spans="2:13" ht="15" customHeight="1" x14ac:dyDescent="0.25">
      <c r="B7820" s="289">
        <v>6972</v>
      </c>
      <c r="C7820" s="261">
        <v>52</v>
      </c>
      <c r="D7820" s="244" t="s">
        <v>11</v>
      </c>
      <c r="E7820" s="263">
        <v>20</v>
      </c>
      <c r="F7820" s="294" t="s">
        <v>1408</v>
      </c>
      <c r="G7820" s="294" t="s">
        <v>126</v>
      </c>
      <c r="H7820" s="298">
        <v>1</v>
      </c>
      <c r="M7820" s="274"/>
    </row>
    <row r="7821" spans="2:13" ht="15" customHeight="1" x14ac:dyDescent="0.25">
      <c r="B7821" s="289">
        <v>6972</v>
      </c>
      <c r="C7821" s="261">
        <v>83</v>
      </c>
      <c r="D7821" s="244" t="s">
        <v>11</v>
      </c>
      <c r="E7821" s="263">
        <v>14</v>
      </c>
      <c r="F7821" s="294" t="s">
        <v>1244</v>
      </c>
      <c r="G7821" s="294" t="s">
        <v>126</v>
      </c>
      <c r="H7821" s="298">
        <v>1</v>
      </c>
      <c r="M7821" s="274"/>
    </row>
    <row r="7822" spans="2:13" ht="15" customHeight="1" x14ac:dyDescent="0.25">
      <c r="B7822" s="289">
        <v>6973</v>
      </c>
      <c r="C7822" s="261">
        <v>68</v>
      </c>
      <c r="D7822" s="244" t="s">
        <v>11</v>
      </c>
      <c r="E7822" s="263">
        <v>1</v>
      </c>
      <c r="F7822" s="294" t="s">
        <v>139</v>
      </c>
      <c r="G7822" s="294" t="s">
        <v>126</v>
      </c>
      <c r="H7822" s="298">
        <v>1</v>
      </c>
      <c r="M7822" s="274"/>
    </row>
    <row r="7823" spans="2:13" ht="15" customHeight="1" x14ac:dyDescent="0.25">
      <c r="B7823" s="289">
        <v>6973</v>
      </c>
      <c r="C7823" s="261">
        <v>89</v>
      </c>
      <c r="D7823" s="244" t="s">
        <v>12</v>
      </c>
      <c r="E7823" s="263">
        <v>1</v>
      </c>
      <c r="F7823" s="294" t="s">
        <v>126</v>
      </c>
      <c r="G7823" s="294" t="s">
        <v>437</v>
      </c>
      <c r="H7823" s="298">
        <v>1</v>
      </c>
      <c r="M7823" s="274"/>
    </row>
    <row r="7824" spans="2:13" ht="15" customHeight="1" x14ac:dyDescent="0.25">
      <c r="B7824" s="289">
        <v>6974</v>
      </c>
      <c r="C7824" s="261">
        <v>89</v>
      </c>
      <c r="D7824" s="244" t="s">
        <v>11</v>
      </c>
      <c r="E7824" s="263">
        <v>1</v>
      </c>
      <c r="F7824" s="294" t="s">
        <v>426</v>
      </c>
      <c r="G7824" s="294" t="s">
        <v>126</v>
      </c>
      <c r="H7824" s="298">
        <v>1</v>
      </c>
      <c r="M7824" s="274"/>
    </row>
    <row r="7825" spans="2:13" ht="15" customHeight="1" x14ac:dyDescent="0.25">
      <c r="B7825" s="289">
        <v>6975</v>
      </c>
      <c r="C7825" s="261">
        <v>89</v>
      </c>
      <c r="D7825" s="244" t="s">
        <v>11</v>
      </c>
      <c r="E7825" s="263">
        <v>5</v>
      </c>
      <c r="F7825" s="294" t="s">
        <v>1174</v>
      </c>
      <c r="G7825" s="294" t="s">
        <v>126</v>
      </c>
      <c r="H7825" s="298">
        <v>1</v>
      </c>
      <c r="M7825" s="274"/>
    </row>
    <row r="7826" spans="2:13" ht="15" customHeight="1" x14ac:dyDescent="0.25">
      <c r="B7826" s="289">
        <v>6976</v>
      </c>
      <c r="C7826" s="261">
        <v>89</v>
      </c>
      <c r="D7826" s="244" t="s">
        <v>11</v>
      </c>
      <c r="E7826" s="263">
        <v>6</v>
      </c>
      <c r="F7826" s="294" t="s">
        <v>1298</v>
      </c>
      <c r="G7826" s="294" t="s">
        <v>126</v>
      </c>
      <c r="H7826" s="298">
        <v>1</v>
      </c>
      <c r="M7826" s="274"/>
    </row>
    <row r="7827" spans="2:13" ht="15" customHeight="1" x14ac:dyDescent="0.25">
      <c r="B7827" s="289">
        <v>6976</v>
      </c>
      <c r="C7827" s="261">
        <v>100</v>
      </c>
      <c r="D7827" s="244" t="s">
        <v>11</v>
      </c>
      <c r="E7827" s="263">
        <v>25</v>
      </c>
      <c r="F7827" s="294" t="s">
        <v>1409</v>
      </c>
      <c r="G7827" s="294" t="s">
        <v>126</v>
      </c>
      <c r="H7827" s="298">
        <v>1</v>
      </c>
      <c r="M7827" s="274"/>
    </row>
    <row r="7828" spans="2:13" ht="15" customHeight="1" x14ac:dyDescent="0.25">
      <c r="B7828" s="289">
        <v>6978</v>
      </c>
      <c r="C7828" s="261">
        <v>78</v>
      </c>
      <c r="D7828" s="244" t="s">
        <v>11</v>
      </c>
      <c r="E7828" s="263">
        <v>1</v>
      </c>
      <c r="F7828" s="294" t="s">
        <v>139</v>
      </c>
      <c r="G7828" s="294" t="s">
        <v>126</v>
      </c>
      <c r="H7828" s="298">
        <v>1</v>
      </c>
      <c r="M7828" s="274"/>
    </row>
    <row r="7829" spans="2:13" ht="15" customHeight="1" x14ac:dyDescent="0.25">
      <c r="B7829" s="289">
        <v>6978</v>
      </c>
      <c r="C7829" s="261">
        <v>89</v>
      </c>
      <c r="D7829" s="244" t="s">
        <v>12</v>
      </c>
      <c r="E7829" s="263">
        <v>50</v>
      </c>
      <c r="F7829" s="294" t="s">
        <v>126</v>
      </c>
      <c r="G7829" s="294" t="s">
        <v>1410</v>
      </c>
      <c r="H7829" s="298">
        <v>1</v>
      </c>
      <c r="M7829" s="274"/>
    </row>
    <row r="7830" spans="2:13" ht="15" customHeight="1" x14ac:dyDescent="0.25">
      <c r="B7830" s="289">
        <v>6978</v>
      </c>
      <c r="C7830" s="261">
        <v>94</v>
      </c>
      <c r="D7830" s="244" t="s">
        <v>12</v>
      </c>
      <c r="E7830" s="263">
        <v>4</v>
      </c>
      <c r="F7830" s="294" t="s">
        <v>126</v>
      </c>
      <c r="G7830" s="294" t="s">
        <v>292</v>
      </c>
      <c r="H7830" s="298">
        <v>1</v>
      </c>
      <c r="M7830" s="274"/>
    </row>
    <row r="7831" spans="2:13" ht="15" customHeight="1" x14ac:dyDescent="0.25">
      <c r="B7831" s="289">
        <v>6979</v>
      </c>
      <c r="C7831" s="261">
        <v>89</v>
      </c>
      <c r="D7831" s="244" t="s">
        <v>11</v>
      </c>
      <c r="E7831" s="263">
        <v>3</v>
      </c>
      <c r="F7831" s="294" t="s">
        <v>591</v>
      </c>
      <c r="G7831" s="294" t="s">
        <v>126</v>
      </c>
      <c r="H7831" s="298">
        <v>1</v>
      </c>
      <c r="M7831" s="274"/>
    </row>
    <row r="7832" spans="2:13" ht="15" customHeight="1" x14ac:dyDescent="0.25">
      <c r="B7832" s="289">
        <v>6979</v>
      </c>
      <c r="C7832" s="261">
        <v>94</v>
      </c>
      <c r="D7832" s="244" t="s">
        <v>11</v>
      </c>
      <c r="E7832" s="263">
        <v>3</v>
      </c>
      <c r="F7832" s="294" t="s">
        <v>648</v>
      </c>
      <c r="G7832" s="294" t="s">
        <v>126</v>
      </c>
      <c r="H7832" s="298">
        <v>1</v>
      </c>
      <c r="M7832" s="274"/>
    </row>
    <row r="7833" spans="2:13" ht="15" customHeight="1" x14ac:dyDescent="0.25">
      <c r="B7833" s="289">
        <v>6982</v>
      </c>
      <c r="C7833" s="261">
        <v>86</v>
      </c>
      <c r="D7833" s="244" t="s">
        <v>11</v>
      </c>
      <c r="E7833" s="263">
        <v>5</v>
      </c>
      <c r="F7833" s="294" t="s">
        <v>1197</v>
      </c>
      <c r="G7833" s="294" t="s">
        <v>126</v>
      </c>
      <c r="H7833" s="298">
        <v>1</v>
      </c>
      <c r="M7833" s="274"/>
    </row>
    <row r="7834" spans="2:13" ht="15" customHeight="1" x14ac:dyDescent="0.25">
      <c r="B7834" s="289">
        <v>6983</v>
      </c>
      <c r="C7834" s="261">
        <v>89</v>
      </c>
      <c r="D7834" s="244" t="s">
        <v>12</v>
      </c>
      <c r="E7834" s="263">
        <v>1</v>
      </c>
      <c r="F7834" s="294" t="s">
        <v>126</v>
      </c>
      <c r="G7834" s="294" t="s">
        <v>426</v>
      </c>
      <c r="H7834" s="298">
        <v>1</v>
      </c>
      <c r="M7834" s="274"/>
    </row>
    <row r="7835" spans="2:13" ht="15" customHeight="1" x14ac:dyDescent="0.25">
      <c r="B7835" s="289">
        <v>6984</v>
      </c>
      <c r="C7835" s="261">
        <v>83</v>
      </c>
      <c r="D7835" s="244" t="s">
        <v>11</v>
      </c>
      <c r="E7835" s="263">
        <v>6</v>
      </c>
      <c r="F7835" s="294" t="s">
        <v>1411</v>
      </c>
      <c r="G7835" s="294" t="s">
        <v>126</v>
      </c>
      <c r="H7835" s="298">
        <v>1</v>
      </c>
      <c r="M7835" s="274"/>
    </row>
    <row r="7836" spans="2:13" ht="15" customHeight="1" x14ac:dyDescent="0.25">
      <c r="B7836" s="289">
        <v>6988</v>
      </c>
      <c r="C7836" s="261">
        <v>89</v>
      </c>
      <c r="D7836" s="244" t="s">
        <v>11</v>
      </c>
      <c r="E7836" s="263">
        <v>10</v>
      </c>
      <c r="F7836" s="294" t="s">
        <v>1259</v>
      </c>
      <c r="G7836" s="294" t="s">
        <v>126</v>
      </c>
      <c r="H7836" s="298">
        <v>1</v>
      </c>
      <c r="M7836" s="274"/>
    </row>
    <row r="7837" spans="2:13" ht="15" customHeight="1" x14ac:dyDescent="0.25">
      <c r="B7837" s="289">
        <v>6989</v>
      </c>
      <c r="C7837" s="261">
        <v>86</v>
      </c>
      <c r="D7837" s="244" t="s">
        <v>11</v>
      </c>
      <c r="E7837" s="263">
        <v>1</v>
      </c>
      <c r="F7837" s="294" t="s">
        <v>139</v>
      </c>
      <c r="G7837" s="294" t="s">
        <v>126</v>
      </c>
      <c r="H7837" s="298">
        <v>1</v>
      </c>
      <c r="M7837" s="274"/>
    </row>
    <row r="7838" spans="2:13" ht="15" customHeight="1" x14ac:dyDescent="0.25">
      <c r="B7838" s="289">
        <v>6990</v>
      </c>
      <c r="C7838" s="261">
        <v>49</v>
      </c>
      <c r="D7838" s="244" t="s">
        <v>11</v>
      </c>
      <c r="E7838" s="263">
        <v>27</v>
      </c>
      <c r="F7838" s="294" t="s">
        <v>1412</v>
      </c>
      <c r="G7838" s="294" t="s">
        <v>126</v>
      </c>
      <c r="H7838" s="298">
        <v>1</v>
      </c>
      <c r="M7838" s="274"/>
    </row>
    <row r="7839" spans="2:13" ht="15" customHeight="1" x14ac:dyDescent="0.25">
      <c r="B7839" s="289">
        <v>6990</v>
      </c>
      <c r="C7839" s="261">
        <v>82</v>
      </c>
      <c r="D7839" s="244" t="s">
        <v>11</v>
      </c>
      <c r="E7839" s="263">
        <v>11</v>
      </c>
      <c r="F7839" s="294" t="s">
        <v>1413</v>
      </c>
      <c r="G7839" s="294" t="s">
        <v>126</v>
      </c>
      <c r="H7839" s="298">
        <v>1</v>
      </c>
      <c r="M7839" s="274"/>
    </row>
    <row r="7840" spans="2:13" ht="15" customHeight="1" x14ac:dyDescent="0.25">
      <c r="B7840" s="289">
        <v>6991</v>
      </c>
      <c r="C7840" s="261">
        <v>44</v>
      </c>
      <c r="D7840" s="244" t="s">
        <v>11</v>
      </c>
      <c r="E7840" s="263">
        <v>63</v>
      </c>
      <c r="F7840" s="294" t="s">
        <v>1414</v>
      </c>
      <c r="G7840" s="294" t="s">
        <v>126</v>
      </c>
      <c r="H7840" s="298">
        <v>1</v>
      </c>
      <c r="M7840" s="274"/>
    </row>
    <row r="7841" spans="2:13" ht="15" customHeight="1" x14ac:dyDescent="0.25">
      <c r="B7841" s="289">
        <v>6992</v>
      </c>
      <c r="C7841" s="261">
        <v>91</v>
      </c>
      <c r="D7841" s="244" t="s">
        <v>11</v>
      </c>
      <c r="E7841" s="263">
        <v>4</v>
      </c>
      <c r="F7841" s="294" t="s">
        <v>1415</v>
      </c>
      <c r="G7841" s="294" t="s">
        <v>126</v>
      </c>
      <c r="H7841" s="298">
        <v>1</v>
      </c>
      <c r="M7841" s="274"/>
    </row>
    <row r="7842" spans="2:13" ht="15" customHeight="1" x14ac:dyDescent="0.25">
      <c r="B7842" s="289">
        <v>6993</v>
      </c>
      <c r="C7842" s="261">
        <v>89</v>
      </c>
      <c r="D7842" s="244" t="s">
        <v>12</v>
      </c>
      <c r="E7842" s="263">
        <v>16</v>
      </c>
      <c r="F7842" s="294" t="s">
        <v>126</v>
      </c>
      <c r="G7842" s="294" t="s">
        <v>1416</v>
      </c>
      <c r="H7842" s="298">
        <v>1</v>
      </c>
      <c r="M7842" s="274"/>
    </row>
    <row r="7843" spans="2:13" ht="15" customHeight="1" x14ac:dyDescent="0.25">
      <c r="B7843" s="289">
        <v>6994</v>
      </c>
      <c r="C7843" s="261">
        <v>43</v>
      </c>
      <c r="D7843" s="244" t="s">
        <v>11</v>
      </c>
      <c r="E7843" s="263">
        <v>47</v>
      </c>
      <c r="F7843" s="294" t="s">
        <v>1417</v>
      </c>
      <c r="G7843" s="294" t="s">
        <v>126</v>
      </c>
      <c r="H7843" s="298">
        <v>1</v>
      </c>
      <c r="M7843" s="274"/>
    </row>
    <row r="7844" spans="2:13" ht="15" customHeight="1" x14ac:dyDescent="0.25">
      <c r="B7844" s="289">
        <v>6995</v>
      </c>
      <c r="C7844" s="261">
        <v>88</v>
      </c>
      <c r="D7844" s="244" t="s">
        <v>11</v>
      </c>
      <c r="E7844" s="263">
        <v>3</v>
      </c>
      <c r="F7844" s="294" t="s">
        <v>269</v>
      </c>
      <c r="G7844" s="294" t="s">
        <v>126</v>
      </c>
      <c r="H7844" s="298">
        <v>1</v>
      </c>
      <c r="M7844" s="274"/>
    </row>
    <row r="7845" spans="2:13" ht="15" customHeight="1" x14ac:dyDescent="0.25">
      <c r="B7845" s="289">
        <v>6996</v>
      </c>
      <c r="C7845" s="261">
        <v>80</v>
      </c>
      <c r="D7845" s="244" t="s">
        <v>11</v>
      </c>
      <c r="E7845" s="263">
        <v>24</v>
      </c>
      <c r="F7845" s="294" t="s">
        <v>1352</v>
      </c>
      <c r="G7845" s="294" t="s">
        <v>126</v>
      </c>
      <c r="H7845" s="298">
        <v>1</v>
      </c>
      <c r="M7845" s="274"/>
    </row>
    <row r="7846" spans="2:13" ht="15" customHeight="1" x14ac:dyDescent="0.25">
      <c r="B7846" s="289">
        <v>6997</v>
      </c>
      <c r="C7846" s="261">
        <v>95</v>
      </c>
      <c r="D7846" s="244" t="s">
        <v>12</v>
      </c>
      <c r="E7846" s="263">
        <v>4</v>
      </c>
      <c r="F7846" s="294" t="s">
        <v>126</v>
      </c>
      <c r="G7846" s="294" t="s">
        <v>660</v>
      </c>
      <c r="H7846" s="298">
        <v>1</v>
      </c>
      <c r="M7846" s="274"/>
    </row>
    <row r="7847" spans="2:13" ht="15" customHeight="1" x14ac:dyDescent="0.25">
      <c r="B7847" s="289">
        <v>6998</v>
      </c>
      <c r="C7847" s="261">
        <v>37</v>
      </c>
      <c r="D7847" s="244" t="s">
        <v>11</v>
      </c>
      <c r="E7847" s="263">
        <v>54</v>
      </c>
      <c r="F7847" s="294" t="s">
        <v>1418</v>
      </c>
      <c r="G7847" s="294" t="s">
        <v>126</v>
      </c>
      <c r="H7847" s="298">
        <v>1</v>
      </c>
      <c r="M7847" s="274"/>
    </row>
    <row r="7848" spans="2:13" ht="15" customHeight="1" x14ac:dyDescent="0.25">
      <c r="B7848" s="289">
        <v>6999</v>
      </c>
      <c r="C7848" s="261">
        <v>76</v>
      </c>
      <c r="D7848" s="244" t="s">
        <v>11</v>
      </c>
      <c r="E7848" s="263">
        <v>1</v>
      </c>
      <c r="F7848" s="294" t="s">
        <v>437</v>
      </c>
      <c r="G7848" s="294" t="s">
        <v>126</v>
      </c>
      <c r="H7848" s="298">
        <v>1</v>
      </c>
      <c r="M7848" s="274"/>
    </row>
    <row r="7849" spans="2:13" ht="15" customHeight="1" x14ac:dyDescent="0.25">
      <c r="B7849" s="289">
        <v>6999</v>
      </c>
      <c r="C7849" s="261">
        <v>89</v>
      </c>
      <c r="D7849" s="244" t="s">
        <v>12</v>
      </c>
      <c r="E7849" s="263">
        <v>42</v>
      </c>
      <c r="F7849" s="294" t="s">
        <v>126</v>
      </c>
      <c r="G7849" s="294" t="s">
        <v>1419</v>
      </c>
      <c r="H7849" s="298">
        <v>1</v>
      </c>
      <c r="M7849" s="274"/>
    </row>
    <row r="7850" spans="2:13" ht="15" customHeight="1" x14ac:dyDescent="0.25">
      <c r="B7850" s="289">
        <v>7000</v>
      </c>
      <c r="C7850" s="261">
        <v>89</v>
      </c>
      <c r="D7850" s="244" t="s">
        <v>12</v>
      </c>
      <c r="E7850" s="263">
        <v>24</v>
      </c>
      <c r="F7850" s="294" t="s">
        <v>126</v>
      </c>
      <c r="G7850" s="294" t="s">
        <v>1420</v>
      </c>
      <c r="H7850" s="298">
        <v>1</v>
      </c>
      <c r="M7850" s="274"/>
    </row>
    <row r="7851" spans="2:13" ht="15" customHeight="1" x14ac:dyDescent="0.25">
      <c r="B7851" s="289">
        <v>7001</v>
      </c>
      <c r="C7851" s="261">
        <v>82</v>
      </c>
      <c r="D7851" s="244" t="s">
        <v>11</v>
      </c>
      <c r="E7851" s="263">
        <v>11</v>
      </c>
      <c r="F7851" s="294" t="s">
        <v>1413</v>
      </c>
      <c r="G7851" s="294" t="s">
        <v>126</v>
      </c>
      <c r="H7851" s="298">
        <v>1</v>
      </c>
      <c r="M7851" s="274"/>
    </row>
    <row r="7852" spans="2:13" ht="15" customHeight="1" x14ac:dyDescent="0.25">
      <c r="B7852" s="289">
        <v>7002</v>
      </c>
      <c r="C7852" s="261">
        <v>89</v>
      </c>
      <c r="D7852" s="244" t="s">
        <v>11</v>
      </c>
      <c r="E7852" s="263">
        <v>1</v>
      </c>
      <c r="F7852" s="294" t="s">
        <v>426</v>
      </c>
      <c r="G7852" s="294" t="s">
        <v>126</v>
      </c>
      <c r="H7852" s="298">
        <v>1</v>
      </c>
      <c r="M7852" s="274"/>
    </row>
    <row r="7853" spans="2:13" ht="15" customHeight="1" x14ac:dyDescent="0.25">
      <c r="B7853" s="289">
        <v>7003</v>
      </c>
      <c r="C7853" s="261">
        <v>36</v>
      </c>
      <c r="D7853" s="244" t="s">
        <v>11</v>
      </c>
      <c r="E7853" s="263">
        <v>53</v>
      </c>
      <c r="F7853" s="294" t="s">
        <v>1421</v>
      </c>
      <c r="G7853" s="294" t="s">
        <v>126</v>
      </c>
      <c r="H7853" s="298">
        <v>1</v>
      </c>
      <c r="M7853" s="274"/>
    </row>
    <row r="7854" spans="2:13" ht="15" customHeight="1" x14ac:dyDescent="0.25">
      <c r="B7854" s="289">
        <v>7004</v>
      </c>
      <c r="C7854" s="261">
        <v>35</v>
      </c>
      <c r="D7854" s="244" t="s">
        <v>11</v>
      </c>
      <c r="E7854" s="263">
        <v>56</v>
      </c>
      <c r="F7854" s="294" t="s">
        <v>1422</v>
      </c>
      <c r="G7854" s="294" t="s">
        <v>126</v>
      </c>
      <c r="H7854" s="298">
        <v>1</v>
      </c>
      <c r="M7854" s="274"/>
    </row>
    <row r="7855" spans="2:13" ht="15" customHeight="1" x14ac:dyDescent="0.25">
      <c r="B7855" s="289">
        <v>7005</v>
      </c>
      <c r="C7855" s="261">
        <v>38</v>
      </c>
      <c r="D7855" s="244" t="s">
        <v>11</v>
      </c>
      <c r="E7855" s="263">
        <v>60</v>
      </c>
      <c r="F7855" s="294" t="s">
        <v>1423</v>
      </c>
      <c r="G7855" s="294" t="s">
        <v>126</v>
      </c>
      <c r="H7855" s="298">
        <v>1</v>
      </c>
      <c r="M7855" s="274"/>
    </row>
    <row r="7856" spans="2:13" ht="15" customHeight="1" x14ac:dyDescent="0.25">
      <c r="B7856" s="289">
        <v>7007</v>
      </c>
      <c r="C7856" s="261">
        <v>86</v>
      </c>
      <c r="D7856" s="244" t="s">
        <v>11</v>
      </c>
      <c r="E7856" s="263">
        <v>12</v>
      </c>
      <c r="F7856" s="294" t="s">
        <v>1342</v>
      </c>
      <c r="G7856" s="294" t="s">
        <v>126</v>
      </c>
      <c r="H7856" s="298">
        <v>1</v>
      </c>
      <c r="M7856" s="274"/>
    </row>
    <row r="7857" spans="2:13" ht="15" customHeight="1" x14ac:dyDescent="0.25">
      <c r="B7857" s="289">
        <v>7009</v>
      </c>
      <c r="C7857" s="261">
        <v>75</v>
      </c>
      <c r="D7857" s="244" t="s">
        <v>11</v>
      </c>
      <c r="E7857" s="263">
        <v>1</v>
      </c>
      <c r="F7857" s="294" t="s">
        <v>139</v>
      </c>
      <c r="G7857" s="294" t="s">
        <v>126</v>
      </c>
      <c r="H7857" s="298">
        <v>1</v>
      </c>
      <c r="M7857" s="274"/>
    </row>
    <row r="7858" spans="2:13" ht="15" customHeight="1" x14ac:dyDescent="0.25">
      <c r="B7858" s="289">
        <v>7010</v>
      </c>
      <c r="C7858" s="261">
        <v>88</v>
      </c>
      <c r="D7858" s="244" t="s">
        <v>11</v>
      </c>
      <c r="E7858" s="263">
        <v>1</v>
      </c>
      <c r="F7858" s="294" t="s">
        <v>139</v>
      </c>
      <c r="G7858" s="294" t="s">
        <v>126</v>
      </c>
      <c r="H7858" s="298">
        <v>1</v>
      </c>
      <c r="M7858" s="274"/>
    </row>
    <row r="7859" spans="2:13" ht="15" customHeight="1" x14ac:dyDescent="0.25">
      <c r="B7859" s="289">
        <v>7013</v>
      </c>
      <c r="C7859" s="261">
        <v>88</v>
      </c>
      <c r="D7859" s="244" t="s">
        <v>11</v>
      </c>
      <c r="E7859" s="263">
        <v>4</v>
      </c>
      <c r="F7859" s="294" t="s">
        <v>1424</v>
      </c>
      <c r="G7859" s="294" t="s">
        <v>126</v>
      </c>
      <c r="H7859" s="298">
        <v>1</v>
      </c>
      <c r="M7859" s="274"/>
    </row>
    <row r="7860" spans="2:13" ht="15" customHeight="1" x14ac:dyDescent="0.25">
      <c r="B7860" s="289">
        <v>7014</v>
      </c>
      <c r="C7860" s="261">
        <v>32</v>
      </c>
      <c r="D7860" s="244" t="s">
        <v>11</v>
      </c>
      <c r="E7860" s="263">
        <v>58</v>
      </c>
      <c r="F7860" s="294" t="s">
        <v>1425</v>
      </c>
      <c r="G7860" s="294" t="s">
        <v>126</v>
      </c>
      <c r="H7860" s="298">
        <v>1</v>
      </c>
      <c r="M7860" s="274"/>
    </row>
    <row r="7861" spans="2:13" ht="15" customHeight="1" x14ac:dyDescent="0.25">
      <c r="B7861" s="289">
        <v>7015</v>
      </c>
      <c r="C7861" s="261">
        <v>67</v>
      </c>
      <c r="D7861" s="244" t="s">
        <v>11</v>
      </c>
      <c r="E7861" s="263">
        <v>41</v>
      </c>
      <c r="F7861" s="294" t="s">
        <v>1426</v>
      </c>
      <c r="G7861" s="294" t="s">
        <v>126</v>
      </c>
      <c r="H7861" s="298">
        <v>1</v>
      </c>
      <c r="M7861" s="274"/>
    </row>
    <row r="7862" spans="2:13" ht="15" customHeight="1" x14ac:dyDescent="0.25">
      <c r="B7862" s="289">
        <v>7016</v>
      </c>
      <c r="C7862" s="261">
        <v>89</v>
      </c>
      <c r="D7862" s="244" t="s">
        <v>12</v>
      </c>
      <c r="E7862" s="263">
        <v>13</v>
      </c>
      <c r="F7862" s="294" t="s">
        <v>126</v>
      </c>
      <c r="G7862" s="294" t="s">
        <v>1427</v>
      </c>
      <c r="H7862" s="298">
        <v>1</v>
      </c>
      <c r="M7862" s="274"/>
    </row>
    <row r="7863" spans="2:13" ht="15" customHeight="1" x14ac:dyDescent="0.25">
      <c r="B7863" s="289">
        <v>7018</v>
      </c>
      <c r="C7863" s="261">
        <v>86</v>
      </c>
      <c r="D7863" s="244" t="s">
        <v>11</v>
      </c>
      <c r="E7863" s="263">
        <v>12</v>
      </c>
      <c r="F7863" s="294" t="s">
        <v>1342</v>
      </c>
      <c r="G7863" s="294" t="s">
        <v>126</v>
      </c>
      <c r="H7863" s="298">
        <v>1</v>
      </c>
      <c r="M7863" s="274"/>
    </row>
    <row r="7864" spans="2:13" ht="15" customHeight="1" x14ac:dyDescent="0.25">
      <c r="B7864" s="289">
        <v>7019</v>
      </c>
      <c r="C7864" s="261">
        <v>88</v>
      </c>
      <c r="D7864" s="244" t="s">
        <v>11</v>
      </c>
      <c r="E7864" s="263">
        <v>3</v>
      </c>
      <c r="F7864" s="294" t="s">
        <v>269</v>
      </c>
      <c r="G7864" s="294" t="s">
        <v>126</v>
      </c>
      <c r="H7864" s="298">
        <v>1</v>
      </c>
      <c r="M7864" s="274"/>
    </row>
    <row r="7865" spans="2:13" ht="15" customHeight="1" x14ac:dyDescent="0.25">
      <c r="B7865" s="289">
        <v>7020</v>
      </c>
      <c r="C7865" s="261">
        <v>89</v>
      </c>
      <c r="D7865" s="244" t="s">
        <v>11</v>
      </c>
      <c r="E7865" s="263">
        <v>1</v>
      </c>
      <c r="F7865" s="294" t="s">
        <v>426</v>
      </c>
      <c r="G7865" s="294" t="s">
        <v>126</v>
      </c>
      <c r="H7865" s="298">
        <v>1</v>
      </c>
      <c r="M7865" s="274"/>
    </row>
    <row r="7866" spans="2:13" ht="15" customHeight="1" x14ac:dyDescent="0.25">
      <c r="B7866" s="289">
        <v>7021</v>
      </c>
      <c r="C7866" s="261">
        <v>86</v>
      </c>
      <c r="D7866" s="244" t="s">
        <v>11</v>
      </c>
      <c r="E7866" s="263">
        <v>8</v>
      </c>
      <c r="F7866" s="294" t="s">
        <v>1168</v>
      </c>
      <c r="G7866" s="294" t="s">
        <v>126</v>
      </c>
      <c r="H7866" s="298">
        <v>1</v>
      </c>
      <c r="M7866" s="274"/>
    </row>
    <row r="7867" spans="2:13" ht="15" customHeight="1" x14ac:dyDescent="0.25">
      <c r="B7867" s="289">
        <v>7024</v>
      </c>
      <c r="C7867" s="261">
        <v>89</v>
      </c>
      <c r="D7867" s="244" t="s">
        <v>11</v>
      </c>
      <c r="E7867" s="263">
        <v>9</v>
      </c>
      <c r="F7867" s="294" t="s">
        <v>1218</v>
      </c>
      <c r="G7867" s="294" t="s">
        <v>126</v>
      </c>
      <c r="H7867" s="298">
        <v>1</v>
      </c>
      <c r="M7867" s="274"/>
    </row>
    <row r="7868" spans="2:13" ht="15" customHeight="1" x14ac:dyDescent="0.25">
      <c r="B7868" s="289">
        <v>7025</v>
      </c>
      <c r="C7868" s="261">
        <v>76</v>
      </c>
      <c r="D7868" s="244" t="s">
        <v>11</v>
      </c>
      <c r="E7868" s="263">
        <v>44</v>
      </c>
      <c r="F7868" s="294" t="s">
        <v>1428</v>
      </c>
      <c r="G7868" s="294" t="s">
        <v>126</v>
      </c>
      <c r="H7868" s="298">
        <v>1</v>
      </c>
      <c r="M7868" s="274"/>
    </row>
    <row r="7869" spans="2:13" ht="15" customHeight="1" x14ac:dyDescent="0.25">
      <c r="B7869" s="289">
        <v>7026</v>
      </c>
      <c r="C7869" s="261">
        <v>85</v>
      </c>
      <c r="D7869" s="244" t="s">
        <v>11</v>
      </c>
      <c r="E7869" s="263">
        <v>10</v>
      </c>
      <c r="F7869" s="294" t="s">
        <v>1157</v>
      </c>
      <c r="G7869" s="294" t="s">
        <v>126</v>
      </c>
      <c r="H7869" s="298">
        <v>1</v>
      </c>
      <c r="M7869" s="274"/>
    </row>
    <row r="7870" spans="2:13" ht="15" customHeight="1" x14ac:dyDescent="0.25">
      <c r="B7870" s="289">
        <v>7026</v>
      </c>
      <c r="C7870" s="261">
        <v>101</v>
      </c>
      <c r="D7870" s="244" t="s">
        <v>11</v>
      </c>
      <c r="E7870" s="263">
        <v>14</v>
      </c>
      <c r="F7870" s="294" t="s">
        <v>1429</v>
      </c>
      <c r="G7870" s="294" t="s">
        <v>126</v>
      </c>
      <c r="H7870" s="298">
        <v>1</v>
      </c>
      <c r="M7870" s="274"/>
    </row>
    <row r="7871" spans="2:13" ht="15" customHeight="1" x14ac:dyDescent="0.25">
      <c r="B7871" s="289">
        <v>7027</v>
      </c>
      <c r="C7871" s="261">
        <v>86</v>
      </c>
      <c r="D7871" s="244" t="s">
        <v>11</v>
      </c>
      <c r="E7871" s="263">
        <v>3</v>
      </c>
      <c r="F7871" s="294" t="s">
        <v>825</v>
      </c>
      <c r="G7871" s="294" t="s">
        <v>126</v>
      </c>
      <c r="H7871" s="298">
        <v>1</v>
      </c>
      <c r="M7871" s="274"/>
    </row>
    <row r="7872" spans="2:13" ht="15" customHeight="1" x14ac:dyDescent="0.25">
      <c r="B7872" s="289">
        <v>7028</v>
      </c>
      <c r="C7872" s="261">
        <v>83</v>
      </c>
      <c r="D7872" s="244" t="s">
        <v>11</v>
      </c>
      <c r="E7872" s="263">
        <v>2</v>
      </c>
      <c r="F7872" s="294" t="s">
        <v>431</v>
      </c>
      <c r="G7872" s="294" t="s">
        <v>126</v>
      </c>
      <c r="H7872" s="298">
        <v>1</v>
      </c>
      <c r="M7872" s="274"/>
    </row>
    <row r="7873" spans="2:13" ht="15" customHeight="1" x14ac:dyDescent="0.25">
      <c r="B7873" s="289">
        <v>7028</v>
      </c>
      <c r="C7873" s="261">
        <v>89</v>
      </c>
      <c r="D7873" s="244" t="s">
        <v>11</v>
      </c>
      <c r="E7873" s="263">
        <v>13</v>
      </c>
      <c r="F7873" s="294" t="s">
        <v>1430</v>
      </c>
      <c r="G7873" s="294" t="s">
        <v>126</v>
      </c>
      <c r="H7873" s="298">
        <v>1</v>
      </c>
      <c r="M7873" s="274"/>
    </row>
    <row r="7874" spans="2:13" ht="15" customHeight="1" x14ac:dyDescent="0.25">
      <c r="B7874" s="289">
        <v>7029</v>
      </c>
      <c r="C7874" s="261">
        <v>100</v>
      </c>
      <c r="D7874" s="244" t="s">
        <v>12</v>
      </c>
      <c r="E7874" s="263">
        <v>7</v>
      </c>
      <c r="F7874" s="294" t="s">
        <v>126</v>
      </c>
      <c r="G7874" s="294" t="s">
        <v>1240</v>
      </c>
      <c r="H7874" s="298">
        <v>1</v>
      </c>
      <c r="M7874" s="274"/>
    </row>
    <row r="7875" spans="2:13" ht="15" customHeight="1" x14ac:dyDescent="0.25">
      <c r="B7875" s="289">
        <v>7030</v>
      </c>
      <c r="C7875" s="261">
        <v>89</v>
      </c>
      <c r="D7875" s="244" t="s">
        <v>12</v>
      </c>
      <c r="E7875" s="263">
        <v>1</v>
      </c>
      <c r="F7875" s="294" t="s">
        <v>126</v>
      </c>
      <c r="G7875" s="294" t="s">
        <v>437</v>
      </c>
      <c r="H7875" s="298">
        <v>1</v>
      </c>
      <c r="M7875" s="274"/>
    </row>
    <row r="7876" spans="2:13" ht="15" customHeight="1" x14ac:dyDescent="0.25">
      <c r="B7876" s="289">
        <v>7031</v>
      </c>
      <c r="C7876" s="261">
        <v>89</v>
      </c>
      <c r="D7876" s="244" t="s">
        <v>12</v>
      </c>
      <c r="E7876" s="263">
        <v>4</v>
      </c>
      <c r="F7876" s="294" t="s">
        <v>126</v>
      </c>
      <c r="G7876" s="294" t="s">
        <v>1226</v>
      </c>
      <c r="H7876" s="298">
        <v>1</v>
      </c>
      <c r="M7876" s="274"/>
    </row>
    <row r="7877" spans="2:13" ht="15" customHeight="1" x14ac:dyDescent="0.25">
      <c r="B7877" s="289">
        <v>7032</v>
      </c>
      <c r="C7877" s="261">
        <v>81</v>
      </c>
      <c r="D7877" s="244" t="s">
        <v>11</v>
      </c>
      <c r="E7877" s="263">
        <v>8</v>
      </c>
      <c r="F7877" s="294" t="s">
        <v>1340</v>
      </c>
      <c r="G7877" s="294" t="s">
        <v>126</v>
      </c>
      <c r="H7877" s="298">
        <v>1</v>
      </c>
      <c r="M7877" s="274"/>
    </row>
    <row r="7878" spans="2:13" ht="15" customHeight="1" x14ac:dyDescent="0.25">
      <c r="B7878" s="289">
        <v>7033</v>
      </c>
      <c r="C7878" s="261">
        <v>89</v>
      </c>
      <c r="D7878" s="244" t="s">
        <v>11</v>
      </c>
      <c r="E7878" s="263">
        <v>9</v>
      </c>
      <c r="F7878" s="294" t="s">
        <v>1218</v>
      </c>
      <c r="G7878" s="294" t="s">
        <v>126</v>
      </c>
      <c r="H7878" s="298">
        <v>1</v>
      </c>
      <c r="M7878" s="274"/>
    </row>
    <row r="7879" spans="2:13" ht="15" customHeight="1" x14ac:dyDescent="0.25">
      <c r="B7879" s="289">
        <v>7034</v>
      </c>
      <c r="C7879" s="261">
        <v>89</v>
      </c>
      <c r="D7879" s="244" t="s">
        <v>12</v>
      </c>
      <c r="E7879" s="263">
        <v>10</v>
      </c>
      <c r="F7879" s="294" t="s">
        <v>126</v>
      </c>
      <c r="G7879" s="294" t="s">
        <v>1431</v>
      </c>
      <c r="H7879" s="298">
        <v>1</v>
      </c>
      <c r="M7879" s="274"/>
    </row>
    <row r="7880" spans="2:13" ht="15" customHeight="1" x14ac:dyDescent="0.25">
      <c r="B7880" s="289">
        <v>7035</v>
      </c>
      <c r="C7880" s="261">
        <v>89</v>
      </c>
      <c r="D7880" s="244" t="s">
        <v>12</v>
      </c>
      <c r="E7880" s="263">
        <v>17</v>
      </c>
      <c r="F7880" s="294" t="s">
        <v>126</v>
      </c>
      <c r="G7880" s="294" t="s">
        <v>1432</v>
      </c>
      <c r="H7880" s="298">
        <v>1</v>
      </c>
      <c r="M7880" s="274"/>
    </row>
    <row r="7881" spans="2:13" ht="15" customHeight="1" x14ac:dyDescent="0.25">
      <c r="B7881" s="289">
        <v>7037</v>
      </c>
      <c r="C7881" s="261">
        <v>89</v>
      </c>
      <c r="D7881" s="244" t="s">
        <v>12</v>
      </c>
      <c r="E7881" s="263">
        <v>11</v>
      </c>
      <c r="F7881" s="294" t="s">
        <v>126</v>
      </c>
      <c r="G7881" s="294" t="s">
        <v>1433</v>
      </c>
      <c r="H7881" s="298">
        <v>1</v>
      </c>
      <c r="M7881" s="274"/>
    </row>
    <row r="7882" spans="2:13" ht="15" customHeight="1" x14ac:dyDescent="0.25">
      <c r="B7882" s="289">
        <v>7038</v>
      </c>
      <c r="C7882" s="261">
        <v>89</v>
      </c>
      <c r="D7882" s="244" t="s">
        <v>12</v>
      </c>
      <c r="E7882" s="263">
        <v>40</v>
      </c>
      <c r="F7882" s="294" t="s">
        <v>126</v>
      </c>
      <c r="G7882" s="294" t="s">
        <v>1434</v>
      </c>
      <c r="H7882" s="298">
        <v>1</v>
      </c>
      <c r="M7882" s="274"/>
    </row>
    <row r="7883" spans="2:13" ht="15" customHeight="1" x14ac:dyDescent="0.25">
      <c r="B7883" s="289">
        <v>7039</v>
      </c>
      <c r="C7883" s="261">
        <v>89</v>
      </c>
      <c r="D7883" s="244" t="s">
        <v>12</v>
      </c>
      <c r="E7883" s="263">
        <v>6</v>
      </c>
      <c r="F7883" s="294" t="s">
        <v>126</v>
      </c>
      <c r="G7883" s="294" t="s">
        <v>1435</v>
      </c>
      <c r="H7883" s="298">
        <v>1</v>
      </c>
      <c r="M7883" s="274"/>
    </row>
    <row r="7884" spans="2:13" ht="15" customHeight="1" x14ac:dyDescent="0.25">
      <c r="B7884" s="289">
        <v>7040</v>
      </c>
      <c r="C7884" s="261">
        <v>83</v>
      </c>
      <c r="D7884" s="244" t="s">
        <v>11</v>
      </c>
      <c r="E7884" s="263">
        <v>6</v>
      </c>
      <c r="F7884" s="294" t="s">
        <v>1411</v>
      </c>
      <c r="G7884" s="294" t="s">
        <v>126</v>
      </c>
      <c r="H7884" s="298">
        <v>1</v>
      </c>
      <c r="M7884" s="274"/>
    </row>
    <row r="7885" spans="2:13" ht="15" customHeight="1" x14ac:dyDescent="0.25">
      <c r="B7885" s="289">
        <v>7041</v>
      </c>
      <c r="C7885" s="261">
        <v>68</v>
      </c>
      <c r="D7885" s="244" t="s">
        <v>11</v>
      </c>
      <c r="E7885" s="263">
        <v>1</v>
      </c>
      <c r="F7885" s="294" t="s">
        <v>139</v>
      </c>
      <c r="G7885" s="294" t="s">
        <v>126</v>
      </c>
      <c r="H7885" s="298">
        <v>1</v>
      </c>
      <c r="M7885" s="274"/>
    </row>
    <row r="7886" spans="2:13" ht="15" customHeight="1" x14ac:dyDescent="0.25">
      <c r="B7886" s="289">
        <v>7043</v>
      </c>
      <c r="C7886" s="261">
        <v>89</v>
      </c>
      <c r="D7886" s="244" t="s">
        <v>12</v>
      </c>
      <c r="E7886" s="263">
        <v>3</v>
      </c>
      <c r="F7886" s="294" t="s">
        <v>126</v>
      </c>
      <c r="G7886" s="294" t="s">
        <v>1225</v>
      </c>
      <c r="H7886" s="298">
        <v>1</v>
      </c>
      <c r="M7886" s="274"/>
    </row>
    <row r="7887" spans="2:13" ht="15" customHeight="1" x14ac:dyDescent="0.25">
      <c r="B7887" s="289">
        <v>7045</v>
      </c>
      <c r="C7887" s="261">
        <v>87</v>
      </c>
      <c r="D7887" s="244" t="s">
        <v>11</v>
      </c>
      <c r="E7887" s="263">
        <v>2</v>
      </c>
      <c r="F7887" s="294" t="s">
        <v>587</v>
      </c>
      <c r="G7887" s="294" t="s">
        <v>126</v>
      </c>
      <c r="H7887" s="298">
        <v>1</v>
      </c>
      <c r="M7887" s="274"/>
    </row>
    <row r="7888" spans="2:13" ht="15" customHeight="1" x14ac:dyDescent="0.25">
      <c r="B7888" s="289">
        <v>7048</v>
      </c>
      <c r="C7888" s="261">
        <v>89</v>
      </c>
      <c r="D7888" s="244" t="s">
        <v>11</v>
      </c>
      <c r="E7888" s="263">
        <v>24</v>
      </c>
      <c r="F7888" s="294" t="s">
        <v>1241</v>
      </c>
      <c r="G7888" s="294" t="s">
        <v>126</v>
      </c>
      <c r="H7888" s="298">
        <v>1</v>
      </c>
      <c r="M7888" s="274"/>
    </row>
    <row r="7889" spans="2:13" ht="15" customHeight="1" x14ac:dyDescent="0.25">
      <c r="B7889" s="289">
        <v>7049</v>
      </c>
      <c r="C7889" s="261">
        <v>92</v>
      </c>
      <c r="D7889" s="244" t="s">
        <v>12</v>
      </c>
      <c r="E7889" s="263">
        <v>8</v>
      </c>
      <c r="F7889" s="294" t="s">
        <v>126</v>
      </c>
      <c r="G7889" s="294" t="s">
        <v>1436</v>
      </c>
      <c r="H7889" s="298">
        <v>1</v>
      </c>
      <c r="M7889" s="274"/>
    </row>
    <row r="7890" spans="2:13" ht="15" customHeight="1" x14ac:dyDescent="0.25">
      <c r="B7890" s="289">
        <v>7051</v>
      </c>
      <c r="C7890" s="261">
        <v>89</v>
      </c>
      <c r="D7890" s="244" t="s">
        <v>12</v>
      </c>
      <c r="E7890" s="263">
        <v>18</v>
      </c>
      <c r="F7890" s="294" t="s">
        <v>126</v>
      </c>
      <c r="G7890" s="294" t="s">
        <v>1437</v>
      </c>
      <c r="H7890" s="298">
        <v>1</v>
      </c>
      <c r="M7890" s="274"/>
    </row>
    <row r="7891" spans="2:13" ht="15" customHeight="1" x14ac:dyDescent="0.25">
      <c r="B7891" s="289">
        <v>7052</v>
      </c>
      <c r="C7891" s="261">
        <v>93</v>
      </c>
      <c r="D7891" s="244" t="s">
        <v>12</v>
      </c>
      <c r="E7891" s="263">
        <v>5</v>
      </c>
      <c r="F7891" s="294" t="s">
        <v>126</v>
      </c>
      <c r="G7891" s="294" t="s">
        <v>1438</v>
      </c>
      <c r="H7891" s="298">
        <v>1</v>
      </c>
      <c r="M7891" s="274"/>
    </row>
    <row r="7892" spans="2:13" ht="15" customHeight="1" x14ac:dyDescent="0.25">
      <c r="B7892" s="289">
        <v>7052</v>
      </c>
      <c r="C7892" s="261">
        <v>99</v>
      </c>
      <c r="D7892" s="244" t="s">
        <v>12</v>
      </c>
      <c r="E7892" s="263">
        <v>29</v>
      </c>
      <c r="F7892" s="294" t="s">
        <v>126</v>
      </c>
      <c r="G7892" s="294" t="s">
        <v>1439</v>
      </c>
      <c r="H7892" s="298">
        <v>1</v>
      </c>
      <c r="M7892" s="274"/>
    </row>
    <row r="7893" spans="2:13" ht="15" customHeight="1" x14ac:dyDescent="0.25">
      <c r="B7893" s="289">
        <v>7053</v>
      </c>
      <c r="C7893" s="261">
        <v>91</v>
      </c>
      <c r="D7893" s="244" t="s">
        <v>11</v>
      </c>
      <c r="E7893" s="263">
        <v>5</v>
      </c>
      <c r="F7893" s="294" t="s">
        <v>1164</v>
      </c>
      <c r="G7893" s="294" t="s">
        <v>126</v>
      </c>
      <c r="H7893" s="298">
        <v>1</v>
      </c>
      <c r="M7893" s="274"/>
    </row>
    <row r="7894" spans="2:13" ht="15" customHeight="1" x14ac:dyDescent="0.25">
      <c r="B7894" s="289">
        <v>7054</v>
      </c>
      <c r="C7894" s="261">
        <v>97</v>
      </c>
      <c r="D7894" s="244" t="s">
        <v>12</v>
      </c>
      <c r="E7894" s="263">
        <v>10</v>
      </c>
      <c r="F7894" s="294" t="s">
        <v>126</v>
      </c>
      <c r="G7894" s="294" t="s">
        <v>1440</v>
      </c>
      <c r="H7894" s="298">
        <v>1</v>
      </c>
      <c r="M7894" s="274"/>
    </row>
    <row r="7895" spans="2:13" ht="15" customHeight="1" x14ac:dyDescent="0.25">
      <c r="B7895" s="289">
        <v>7055</v>
      </c>
      <c r="C7895" s="261">
        <v>89</v>
      </c>
      <c r="D7895" s="244" t="s">
        <v>11</v>
      </c>
      <c r="E7895" s="263">
        <v>1</v>
      </c>
      <c r="F7895" s="294" t="s">
        <v>426</v>
      </c>
      <c r="G7895" s="294" t="s">
        <v>126</v>
      </c>
      <c r="H7895" s="298">
        <v>1</v>
      </c>
      <c r="M7895" s="274"/>
    </row>
    <row r="7896" spans="2:13" ht="15" customHeight="1" x14ac:dyDescent="0.25">
      <c r="B7896" s="289">
        <v>7056</v>
      </c>
      <c r="C7896" s="261">
        <v>89</v>
      </c>
      <c r="D7896" s="244" t="s">
        <v>12</v>
      </c>
      <c r="E7896" s="263">
        <v>22</v>
      </c>
      <c r="F7896" s="294" t="s">
        <v>126</v>
      </c>
      <c r="G7896" s="294" t="s">
        <v>1441</v>
      </c>
      <c r="H7896" s="298">
        <v>1</v>
      </c>
      <c r="M7896" s="274"/>
    </row>
    <row r="7897" spans="2:13" ht="15" customHeight="1" x14ac:dyDescent="0.25">
      <c r="B7897" s="289">
        <v>7057</v>
      </c>
      <c r="C7897" s="261">
        <v>89</v>
      </c>
      <c r="D7897" s="244" t="s">
        <v>12</v>
      </c>
      <c r="E7897" s="263">
        <v>14</v>
      </c>
      <c r="F7897" s="294" t="s">
        <v>126</v>
      </c>
      <c r="G7897" s="294" t="s">
        <v>1442</v>
      </c>
      <c r="H7897" s="298">
        <v>1</v>
      </c>
      <c r="M7897" s="274"/>
    </row>
    <row r="7898" spans="2:13" ht="15" customHeight="1" x14ac:dyDescent="0.25">
      <c r="B7898" s="289">
        <v>7058</v>
      </c>
      <c r="C7898" s="261">
        <v>89</v>
      </c>
      <c r="D7898" s="244" t="s">
        <v>12</v>
      </c>
      <c r="E7898" s="263">
        <v>1</v>
      </c>
      <c r="F7898" s="294" t="s">
        <v>126</v>
      </c>
      <c r="G7898" s="294" t="s">
        <v>437</v>
      </c>
      <c r="H7898" s="298">
        <v>1</v>
      </c>
      <c r="M7898" s="274"/>
    </row>
    <row r="7899" spans="2:13" ht="15" customHeight="1" x14ac:dyDescent="0.25">
      <c r="B7899" s="289">
        <v>7059</v>
      </c>
      <c r="C7899" s="261">
        <v>89</v>
      </c>
      <c r="D7899" s="244" t="s">
        <v>11</v>
      </c>
      <c r="E7899" s="263">
        <v>10</v>
      </c>
      <c r="F7899" s="294" t="s">
        <v>1259</v>
      </c>
      <c r="G7899" s="294" t="s">
        <v>126</v>
      </c>
      <c r="H7899" s="298">
        <v>1</v>
      </c>
      <c r="M7899" s="274"/>
    </row>
    <row r="7900" spans="2:13" ht="15" customHeight="1" x14ac:dyDescent="0.25">
      <c r="B7900" s="289">
        <v>7060</v>
      </c>
      <c r="C7900" s="261">
        <v>94</v>
      </c>
      <c r="D7900" s="244" t="s">
        <v>12</v>
      </c>
      <c r="E7900" s="263">
        <v>2</v>
      </c>
      <c r="F7900" s="294" t="s">
        <v>126</v>
      </c>
      <c r="G7900" s="294" t="s">
        <v>341</v>
      </c>
      <c r="H7900" s="298">
        <v>1</v>
      </c>
      <c r="M7900" s="274"/>
    </row>
    <row r="7901" spans="2:13" ht="15" customHeight="1" x14ac:dyDescent="0.25">
      <c r="B7901" s="289">
        <v>7062</v>
      </c>
      <c r="C7901" s="261">
        <v>86</v>
      </c>
      <c r="D7901" s="244" t="s">
        <v>11</v>
      </c>
      <c r="E7901" s="263">
        <v>12</v>
      </c>
      <c r="F7901" s="294" t="s">
        <v>1342</v>
      </c>
      <c r="G7901" s="294" t="s">
        <v>126</v>
      </c>
      <c r="H7901" s="298">
        <v>1</v>
      </c>
      <c r="M7901" s="274"/>
    </row>
    <row r="7902" spans="2:13" ht="15" customHeight="1" x14ac:dyDescent="0.25">
      <c r="B7902" s="289">
        <v>7063</v>
      </c>
      <c r="C7902" s="261">
        <v>89</v>
      </c>
      <c r="D7902" s="244" t="s">
        <v>12</v>
      </c>
      <c r="E7902" s="263">
        <v>1</v>
      </c>
      <c r="F7902" s="294" t="s">
        <v>126</v>
      </c>
      <c r="G7902" s="294" t="s">
        <v>426</v>
      </c>
      <c r="H7902" s="298">
        <v>1</v>
      </c>
      <c r="M7902" s="274"/>
    </row>
    <row r="7903" spans="2:13" ht="15" customHeight="1" x14ac:dyDescent="0.25">
      <c r="B7903" s="289">
        <v>7065</v>
      </c>
      <c r="C7903" s="261">
        <v>89</v>
      </c>
      <c r="D7903" s="244" t="s">
        <v>11</v>
      </c>
      <c r="E7903" s="263">
        <v>1</v>
      </c>
      <c r="F7903" s="294" t="s">
        <v>426</v>
      </c>
      <c r="G7903" s="294" t="s">
        <v>126</v>
      </c>
      <c r="H7903" s="298">
        <v>1</v>
      </c>
      <c r="M7903" s="274"/>
    </row>
    <row r="7904" spans="2:13" ht="15" customHeight="1" x14ac:dyDescent="0.25">
      <c r="B7904" s="289">
        <v>7066</v>
      </c>
      <c r="C7904" s="261">
        <v>83</v>
      </c>
      <c r="D7904" s="244" t="s">
        <v>11</v>
      </c>
      <c r="E7904" s="263">
        <v>2</v>
      </c>
      <c r="F7904" s="294" t="s">
        <v>431</v>
      </c>
      <c r="G7904" s="294" t="s">
        <v>126</v>
      </c>
      <c r="H7904" s="298">
        <v>1</v>
      </c>
      <c r="M7904" s="274"/>
    </row>
    <row r="7905" spans="2:13" ht="15" customHeight="1" x14ac:dyDescent="0.25">
      <c r="B7905" s="289">
        <v>7066</v>
      </c>
      <c r="C7905" s="261">
        <v>89</v>
      </c>
      <c r="D7905" s="244" t="s">
        <v>11</v>
      </c>
      <c r="E7905" s="263">
        <v>5</v>
      </c>
      <c r="F7905" s="294" t="s">
        <v>1174</v>
      </c>
      <c r="G7905" s="294" t="s">
        <v>126</v>
      </c>
      <c r="H7905" s="298">
        <v>1</v>
      </c>
      <c r="M7905" s="274"/>
    </row>
    <row r="7906" spans="2:13" ht="15" customHeight="1" x14ac:dyDescent="0.25">
      <c r="B7906" s="289">
        <v>7068</v>
      </c>
      <c r="C7906" s="261">
        <v>84</v>
      </c>
      <c r="D7906" s="244" t="s">
        <v>12</v>
      </c>
      <c r="E7906" s="263">
        <v>1</v>
      </c>
      <c r="F7906" s="294" t="s">
        <v>126</v>
      </c>
      <c r="G7906" s="294" t="s">
        <v>437</v>
      </c>
      <c r="H7906" s="298">
        <v>1</v>
      </c>
      <c r="M7906" s="274"/>
    </row>
    <row r="7907" spans="2:13" ht="15" customHeight="1" x14ac:dyDescent="0.25">
      <c r="B7907" s="289">
        <v>7068</v>
      </c>
      <c r="C7907" s="261">
        <v>89</v>
      </c>
      <c r="D7907" s="244" t="s">
        <v>12</v>
      </c>
      <c r="E7907" s="263">
        <v>37</v>
      </c>
      <c r="F7907" s="294" t="s">
        <v>126</v>
      </c>
      <c r="G7907" s="294" t="s">
        <v>1443</v>
      </c>
      <c r="H7907" s="298">
        <v>1</v>
      </c>
      <c r="M7907" s="274"/>
    </row>
    <row r="7908" spans="2:13" ht="15" customHeight="1" x14ac:dyDescent="0.25">
      <c r="B7908" s="289">
        <v>7068</v>
      </c>
      <c r="C7908" s="261">
        <v>99</v>
      </c>
      <c r="D7908" s="244" t="s">
        <v>12</v>
      </c>
      <c r="E7908" s="263">
        <v>2</v>
      </c>
      <c r="F7908" s="294" t="s">
        <v>126</v>
      </c>
      <c r="G7908" s="294" t="s">
        <v>587</v>
      </c>
      <c r="H7908" s="298">
        <v>1</v>
      </c>
      <c r="M7908" s="274"/>
    </row>
    <row r="7909" spans="2:13" ht="15" customHeight="1" x14ac:dyDescent="0.25">
      <c r="B7909" s="289">
        <v>7069</v>
      </c>
      <c r="C7909" s="261">
        <v>88</v>
      </c>
      <c r="D7909" s="244" t="s">
        <v>11</v>
      </c>
      <c r="E7909" s="263">
        <v>12</v>
      </c>
      <c r="F7909" s="294" t="s">
        <v>1444</v>
      </c>
      <c r="G7909" s="294" t="s">
        <v>126</v>
      </c>
      <c r="H7909" s="298">
        <v>1</v>
      </c>
      <c r="M7909" s="274"/>
    </row>
    <row r="7910" spans="2:13" ht="15" customHeight="1" x14ac:dyDescent="0.25">
      <c r="B7910" s="289">
        <v>7070</v>
      </c>
      <c r="C7910" s="261">
        <v>87</v>
      </c>
      <c r="D7910" s="244" t="s">
        <v>12</v>
      </c>
      <c r="E7910" s="263">
        <v>5</v>
      </c>
      <c r="F7910" s="294" t="s">
        <v>126</v>
      </c>
      <c r="G7910" s="294" t="s">
        <v>1164</v>
      </c>
      <c r="H7910" s="298">
        <v>1</v>
      </c>
      <c r="M7910" s="274"/>
    </row>
    <row r="7911" spans="2:13" ht="15" customHeight="1" x14ac:dyDescent="0.25">
      <c r="B7911" s="289">
        <v>7071</v>
      </c>
      <c r="C7911" s="261">
        <v>90</v>
      </c>
      <c r="D7911" s="244" t="s">
        <v>11</v>
      </c>
      <c r="E7911" s="263">
        <v>5</v>
      </c>
      <c r="F7911" s="294" t="s">
        <v>1219</v>
      </c>
      <c r="G7911" s="294" t="s">
        <v>126</v>
      </c>
      <c r="H7911" s="298">
        <v>1</v>
      </c>
      <c r="M7911" s="274"/>
    </row>
    <row r="7912" spans="2:13" ht="15" customHeight="1" x14ac:dyDescent="0.25">
      <c r="B7912" s="289">
        <v>7072</v>
      </c>
      <c r="C7912" s="261">
        <v>80</v>
      </c>
      <c r="D7912" s="244" t="s">
        <v>11</v>
      </c>
      <c r="E7912" s="263">
        <v>24</v>
      </c>
      <c r="F7912" s="294" t="s">
        <v>1352</v>
      </c>
      <c r="G7912" s="294" t="s">
        <v>126</v>
      </c>
      <c r="H7912" s="298">
        <v>1</v>
      </c>
      <c r="M7912" s="274"/>
    </row>
    <row r="7913" spans="2:13" ht="15" customHeight="1" x14ac:dyDescent="0.25">
      <c r="B7913" s="289">
        <v>7074</v>
      </c>
      <c r="C7913" s="261">
        <v>89</v>
      </c>
      <c r="D7913" s="244" t="s">
        <v>11</v>
      </c>
      <c r="E7913" s="263">
        <v>1</v>
      </c>
      <c r="F7913" s="294" t="s">
        <v>426</v>
      </c>
      <c r="G7913" s="294" t="s">
        <v>126</v>
      </c>
      <c r="H7913" s="298">
        <v>1</v>
      </c>
      <c r="M7913" s="274"/>
    </row>
    <row r="7914" spans="2:13" ht="15" customHeight="1" x14ac:dyDescent="0.25">
      <c r="B7914" s="289">
        <v>7078</v>
      </c>
      <c r="C7914" s="261">
        <v>47</v>
      </c>
      <c r="D7914" s="244" t="s">
        <v>11</v>
      </c>
      <c r="E7914" s="263">
        <v>48</v>
      </c>
      <c r="F7914" s="294" t="s">
        <v>1445</v>
      </c>
      <c r="G7914" s="294" t="s">
        <v>126</v>
      </c>
      <c r="H7914" s="298">
        <v>1</v>
      </c>
      <c r="M7914" s="274"/>
    </row>
    <row r="7915" spans="2:13" ht="15" customHeight="1" x14ac:dyDescent="0.25">
      <c r="B7915" s="289">
        <v>7079</v>
      </c>
      <c r="C7915" s="261">
        <v>73</v>
      </c>
      <c r="D7915" s="244" t="s">
        <v>12</v>
      </c>
      <c r="E7915" s="263">
        <v>2</v>
      </c>
      <c r="F7915" s="294" t="s">
        <v>126</v>
      </c>
      <c r="G7915" s="294" t="s">
        <v>789</v>
      </c>
      <c r="H7915" s="298">
        <v>1</v>
      </c>
      <c r="M7915" s="274"/>
    </row>
    <row r="7916" spans="2:13" ht="15" customHeight="1" x14ac:dyDescent="0.25">
      <c r="B7916" s="289">
        <v>7079</v>
      </c>
      <c r="C7916" s="261">
        <v>81</v>
      </c>
      <c r="D7916" s="244" t="s">
        <v>11</v>
      </c>
      <c r="E7916" s="263">
        <v>10</v>
      </c>
      <c r="F7916" s="294" t="s">
        <v>1446</v>
      </c>
      <c r="G7916" s="294" t="s">
        <v>126</v>
      </c>
      <c r="H7916" s="298">
        <v>1</v>
      </c>
      <c r="M7916" s="274"/>
    </row>
    <row r="7917" spans="2:13" ht="15" customHeight="1" x14ac:dyDescent="0.25">
      <c r="B7917" s="289">
        <v>7080</v>
      </c>
      <c r="C7917" s="261">
        <v>87</v>
      </c>
      <c r="D7917" s="244" t="s">
        <v>12</v>
      </c>
      <c r="E7917" s="263">
        <v>2</v>
      </c>
      <c r="F7917" s="294" t="s">
        <v>126</v>
      </c>
      <c r="G7917" s="294" t="s">
        <v>420</v>
      </c>
      <c r="H7917" s="298">
        <v>1</v>
      </c>
      <c r="M7917" s="274"/>
    </row>
    <row r="7918" spans="2:13" ht="15" customHeight="1" x14ac:dyDescent="0.25">
      <c r="B7918" s="289">
        <v>7080</v>
      </c>
      <c r="C7918" s="261">
        <v>90</v>
      </c>
      <c r="D7918" s="244" t="s">
        <v>11</v>
      </c>
      <c r="E7918" s="263">
        <v>3</v>
      </c>
      <c r="F7918" s="294" t="s">
        <v>933</v>
      </c>
      <c r="G7918" s="294" t="s">
        <v>126</v>
      </c>
      <c r="H7918" s="298">
        <v>1</v>
      </c>
      <c r="M7918" s="274"/>
    </row>
    <row r="7919" spans="2:13" ht="15" customHeight="1" x14ac:dyDescent="0.25">
      <c r="B7919" s="289">
        <v>7081</v>
      </c>
      <c r="C7919" s="261">
        <v>89</v>
      </c>
      <c r="D7919" s="244" t="s">
        <v>12</v>
      </c>
      <c r="E7919" s="263">
        <v>1</v>
      </c>
      <c r="F7919" s="294" t="s">
        <v>126</v>
      </c>
      <c r="G7919" s="294" t="s">
        <v>139</v>
      </c>
      <c r="H7919" s="298">
        <v>1</v>
      </c>
      <c r="M7919" s="274"/>
    </row>
    <row r="7920" spans="2:13" ht="15" customHeight="1" x14ac:dyDescent="0.25">
      <c r="B7920" s="289">
        <v>7082</v>
      </c>
      <c r="C7920" s="261">
        <v>87</v>
      </c>
      <c r="D7920" s="244" t="s">
        <v>12</v>
      </c>
      <c r="E7920" s="263">
        <v>2</v>
      </c>
      <c r="F7920" s="294" t="s">
        <v>126</v>
      </c>
      <c r="G7920" s="294" t="s">
        <v>420</v>
      </c>
      <c r="H7920" s="298">
        <v>1</v>
      </c>
      <c r="M7920" s="274"/>
    </row>
    <row r="7921" spans="2:13" ht="15" customHeight="1" x14ac:dyDescent="0.25">
      <c r="B7921" s="289">
        <v>7082</v>
      </c>
      <c r="C7921" s="261">
        <v>90</v>
      </c>
      <c r="D7921" s="244" t="s">
        <v>11</v>
      </c>
      <c r="E7921" s="263">
        <v>3</v>
      </c>
      <c r="F7921" s="294" t="s">
        <v>933</v>
      </c>
      <c r="G7921" s="294" t="s">
        <v>126</v>
      </c>
      <c r="H7921" s="298">
        <v>1</v>
      </c>
      <c r="M7921" s="274"/>
    </row>
    <row r="7922" spans="2:13" ht="15" customHeight="1" x14ac:dyDescent="0.25">
      <c r="B7922" s="289">
        <v>7083</v>
      </c>
      <c r="C7922" s="261">
        <v>89</v>
      </c>
      <c r="D7922" s="244" t="s">
        <v>12</v>
      </c>
      <c r="E7922" s="263">
        <v>1</v>
      </c>
      <c r="F7922" s="294" t="s">
        <v>126</v>
      </c>
      <c r="G7922" s="294" t="s">
        <v>139</v>
      </c>
      <c r="H7922" s="298">
        <v>1</v>
      </c>
      <c r="M7922" s="274"/>
    </row>
    <row r="7923" spans="2:13" ht="15" customHeight="1" x14ac:dyDescent="0.25">
      <c r="B7923" s="289">
        <v>7084</v>
      </c>
      <c r="C7923" s="261">
        <v>93</v>
      </c>
      <c r="D7923" s="244" t="s">
        <v>12</v>
      </c>
      <c r="E7923" s="263">
        <v>10</v>
      </c>
      <c r="F7923" s="294" t="s">
        <v>126</v>
      </c>
      <c r="G7923" s="294" t="s">
        <v>1447</v>
      </c>
      <c r="H7923" s="298">
        <v>1</v>
      </c>
      <c r="M7923" s="274"/>
    </row>
    <row r="7924" spans="2:13" ht="15" customHeight="1" x14ac:dyDescent="0.25">
      <c r="B7924" s="289">
        <v>7085</v>
      </c>
      <c r="C7924" s="261">
        <v>89</v>
      </c>
      <c r="D7924" s="244" t="s">
        <v>11</v>
      </c>
      <c r="E7924" s="263">
        <v>9</v>
      </c>
      <c r="F7924" s="294" t="s">
        <v>1218</v>
      </c>
      <c r="G7924" s="294" t="s">
        <v>126</v>
      </c>
      <c r="H7924" s="298">
        <v>1</v>
      </c>
      <c r="M7924" s="274"/>
    </row>
    <row r="7925" spans="2:13" ht="15" customHeight="1" x14ac:dyDescent="0.25">
      <c r="B7925" s="289">
        <v>7086</v>
      </c>
      <c r="C7925" s="261">
        <v>89</v>
      </c>
      <c r="D7925" s="244" t="s">
        <v>12</v>
      </c>
      <c r="E7925" s="263">
        <v>11</v>
      </c>
      <c r="F7925" s="294" t="s">
        <v>126</v>
      </c>
      <c r="G7925" s="294" t="s">
        <v>1448</v>
      </c>
      <c r="H7925" s="298">
        <v>1</v>
      </c>
      <c r="M7925" s="274"/>
    </row>
    <row r="7926" spans="2:13" ht="15" customHeight="1" x14ac:dyDescent="0.25">
      <c r="B7926" s="289">
        <v>7087</v>
      </c>
      <c r="C7926" s="261">
        <v>89</v>
      </c>
      <c r="D7926" s="244" t="s">
        <v>12</v>
      </c>
      <c r="E7926" s="263">
        <v>4</v>
      </c>
      <c r="F7926" s="294" t="s">
        <v>126</v>
      </c>
      <c r="G7926" s="294" t="s">
        <v>1226</v>
      </c>
      <c r="H7926" s="298">
        <v>1</v>
      </c>
      <c r="M7926" s="274"/>
    </row>
    <row r="7927" spans="2:13" ht="15" customHeight="1" x14ac:dyDescent="0.25">
      <c r="B7927" s="289">
        <v>7088</v>
      </c>
      <c r="C7927" s="261">
        <v>87</v>
      </c>
      <c r="D7927" s="244" t="s">
        <v>11</v>
      </c>
      <c r="E7927" s="263">
        <v>4</v>
      </c>
      <c r="F7927" s="294" t="s">
        <v>1449</v>
      </c>
      <c r="G7927" s="294" t="s">
        <v>126</v>
      </c>
      <c r="H7927" s="298">
        <v>1</v>
      </c>
      <c r="M7927" s="274"/>
    </row>
    <row r="7928" spans="2:13" ht="15" customHeight="1" x14ac:dyDescent="0.25">
      <c r="B7928" s="289">
        <v>7089</v>
      </c>
      <c r="C7928" s="261">
        <v>89</v>
      </c>
      <c r="D7928" s="244" t="s">
        <v>12</v>
      </c>
      <c r="E7928" s="263">
        <v>26</v>
      </c>
      <c r="F7928" s="294" t="s">
        <v>126</v>
      </c>
      <c r="G7928" s="294" t="s">
        <v>1450</v>
      </c>
      <c r="H7928" s="298">
        <v>1</v>
      </c>
      <c r="M7928" s="274"/>
    </row>
    <row r="7929" spans="2:13" ht="15" customHeight="1" x14ac:dyDescent="0.25">
      <c r="B7929" s="289">
        <v>7090</v>
      </c>
      <c r="C7929" s="261">
        <v>89</v>
      </c>
      <c r="D7929" s="244" t="s">
        <v>12</v>
      </c>
      <c r="E7929" s="263">
        <v>1</v>
      </c>
      <c r="F7929" s="294" t="s">
        <v>126</v>
      </c>
      <c r="G7929" s="294" t="s">
        <v>426</v>
      </c>
      <c r="H7929" s="298">
        <v>1</v>
      </c>
      <c r="M7929" s="274"/>
    </row>
    <row r="7930" spans="2:13" ht="15" customHeight="1" x14ac:dyDescent="0.25">
      <c r="B7930" s="289">
        <v>7091</v>
      </c>
      <c r="C7930" s="261">
        <v>68</v>
      </c>
      <c r="D7930" s="244" t="s">
        <v>11</v>
      </c>
      <c r="E7930" s="263">
        <v>48</v>
      </c>
      <c r="F7930" s="294" t="s">
        <v>1451</v>
      </c>
      <c r="G7930" s="294" t="s">
        <v>126</v>
      </c>
      <c r="H7930" s="298">
        <v>1</v>
      </c>
      <c r="M7930" s="274"/>
    </row>
    <row r="7931" spans="2:13" ht="15" customHeight="1" x14ac:dyDescent="0.25">
      <c r="B7931" s="289">
        <v>7092</v>
      </c>
      <c r="C7931" s="261">
        <v>89</v>
      </c>
      <c r="D7931" s="244" t="s">
        <v>12</v>
      </c>
      <c r="E7931" s="263">
        <v>1</v>
      </c>
      <c r="F7931" s="294" t="s">
        <v>126</v>
      </c>
      <c r="G7931" s="294" t="s">
        <v>426</v>
      </c>
      <c r="H7931" s="298">
        <v>1</v>
      </c>
      <c r="M7931" s="274"/>
    </row>
    <row r="7932" spans="2:13" ht="15" customHeight="1" x14ac:dyDescent="0.25">
      <c r="B7932" s="289">
        <v>7094</v>
      </c>
      <c r="C7932" s="261">
        <v>85</v>
      </c>
      <c r="D7932" s="244" t="s">
        <v>11</v>
      </c>
      <c r="E7932" s="263">
        <v>21</v>
      </c>
      <c r="F7932" s="294" t="s">
        <v>1255</v>
      </c>
      <c r="G7932" s="294" t="s">
        <v>126</v>
      </c>
      <c r="H7932" s="298">
        <v>1</v>
      </c>
      <c r="M7932" s="274"/>
    </row>
    <row r="7933" spans="2:13" ht="15" customHeight="1" x14ac:dyDescent="0.25">
      <c r="B7933" s="289">
        <v>7095</v>
      </c>
      <c r="C7933" s="261">
        <v>83</v>
      </c>
      <c r="D7933" s="244" t="s">
        <v>11</v>
      </c>
      <c r="E7933" s="263">
        <v>37</v>
      </c>
      <c r="F7933" s="294" t="s">
        <v>1452</v>
      </c>
      <c r="G7933" s="294" t="s">
        <v>126</v>
      </c>
      <c r="H7933" s="298">
        <v>1</v>
      </c>
      <c r="M7933" s="274"/>
    </row>
    <row r="7934" spans="2:13" ht="15" customHeight="1" x14ac:dyDescent="0.25">
      <c r="B7934" s="289">
        <v>7097</v>
      </c>
      <c r="C7934" s="261">
        <v>83</v>
      </c>
      <c r="D7934" s="244" t="s">
        <v>12</v>
      </c>
      <c r="E7934" s="263">
        <v>7</v>
      </c>
      <c r="F7934" s="294" t="s">
        <v>126</v>
      </c>
      <c r="G7934" s="294" t="s">
        <v>1453</v>
      </c>
      <c r="H7934" s="298">
        <v>1</v>
      </c>
      <c r="M7934" s="274"/>
    </row>
    <row r="7935" spans="2:13" ht="15" customHeight="1" x14ac:dyDescent="0.25">
      <c r="B7935" s="289">
        <v>7097</v>
      </c>
      <c r="C7935" s="261">
        <v>89</v>
      </c>
      <c r="D7935" s="244" t="s">
        <v>12</v>
      </c>
      <c r="E7935" s="263">
        <v>42</v>
      </c>
      <c r="F7935" s="294" t="s">
        <v>126</v>
      </c>
      <c r="G7935" s="294" t="s">
        <v>1454</v>
      </c>
      <c r="H7935" s="298">
        <v>1</v>
      </c>
      <c r="M7935" s="274"/>
    </row>
    <row r="7936" spans="2:13" ht="15" customHeight="1" x14ac:dyDescent="0.25">
      <c r="B7936" s="289">
        <v>7098</v>
      </c>
      <c r="C7936" s="261">
        <v>100</v>
      </c>
      <c r="D7936" s="244" t="s">
        <v>12</v>
      </c>
      <c r="E7936" s="263">
        <v>3</v>
      </c>
      <c r="F7936" s="294" t="s">
        <v>126</v>
      </c>
      <c r="G7936" s="294" t="s">
        <v>499</v>
      </c>
      <c r="H7936" s="298">
        <v>1</v>
      </c>
      <c r="M7936" s="274"/>
    </row>
    <row r="7937" spans="2:13" ht="15" customHeight="1" x14ac:dyDescent="0.25">
      <c r="B7937" s="289">
        <v>7100</v>
      </c>
      <c r="C7937" s="261">
        <v>89</v>
      </c>
      <c r="D7937" s="244" t="s">
        <v>11</v>
      </c>
      <c r="E7937" s="263">
        <v>5</v>
      </c>
      <c r="F7937" s="294" t="s">
        <v>1174</v>
      </c>
      <c r="G7937" s="294" t="s">
        <v>126</v>
      </c>
      <c r="H7937" s="298">
        <v>1</v>
      </c>
      <c r="M7937" s="274"/>
    </row>
    <row r="7938" spans="2:13" ht="15" customHeight="1" x14ac:dyDescent="0.25">
      <c r="B7938" s="289">
        <v>7101</v>
      </c>
      <c r="C7938" s="261">
        <v>96</v>
      </c>
      <c r="D7938" s="244" t="s">
        <v>12</v>
      </c>
      <c r="E7938" s="263">
        <v>6</v>
      </c>
      <c r="F7938" s="294" t="s">
        <v>126</v>
      </c>
      <c r="G7938" s="294" t="s">
        <v>1455</v>
      </c>
      <c r="H7938" s="298">
        <v>1</v>
      </c>
      <c r="M7938" s="274"/>
    </row>
    <row r="7939" spans="2:13" ht="15" customHeight="1" x14ac:dyDescent="0.25">
      <c r="B7939" s="289">
        <v>7102</v>
      </c>
      <c r="C7939" s="261">
        <v>86</v>
      </c>
      <c r="D7939" s="244" t="s">
        <v>11</v>
      </c>
      <c r="E7939" s="263">
        <v>14</v>
      </c>
      <c r="F7939" s="294" t="s">
        <v>1215</v>
      </c>
      <c r="G7939" s="294" t="s">
        <v>126</v>
      </c>
      <c r="H7939" s="298">
        <v>1</v>
      </c>
      <c r="M7939" s="274"/>
    </row>
    <row r="7940" spans="2:13" ht="15" customHeight="1" x14ac:dyDescent="0.25">
      <c r="B7940" s="289">
        <v>7103</v>
      </c>
      <c r="C7940" s="261">
        <v>89</v>
      </c>
      <c r="D7940" s="244" t="s">
        <v>11</v>
      </c>
      <c r="E7940" s="263">
        <v>4</v>
      </c>
      <c r="F7940" s="294" t="s">
        <v>315</v>
      </c>
      <c r="G7940" s="294" t="s">
        <v>126</v>
      </c>
      <c r="H7940" s="298">
        <v>1</v>
      </c>
      <c r="M7940" s="274"/>
    </row>
    <row r="7941" spans="2:13" ht="15" customHeight="1" x14ac:dyDescent="0.25">
      <c r="B7941" s="289">
        <v>7103</v>
      </c>
      <c r="C7941" s="261">
        <v>96</v>
      </c>
      <c r="D7941" s="244" t="s">
        <v>11</v>
      </c>
      <c r="E7941" s="263">
        <v>39</v>
      </c>
      <c r="F7941" s="294" t="s">
        <v>1456</v>
      </c>
      <c r="G7941" s="294" t="s">
        <v>126</v>
      </c>
      <c r="H7941" s="298">
        <v>1</v>
      </c>
      <c r="M7941" s="274"/>
    </row>
    <row r="7942" spans="2:13" ht="15" customHeight="1" x14ac:dyDescent="0.25">
      <c r="B7942" s="289">
        <v>7104</v>
      </c>
      <c r="C7942" s="261">
        <v>84</v>
      </c>
      <c r="D7942" s="244" t="s">
        <v>11</v>
      </c>
      <c r="E7942" s="263">
        <v>7</v>
      </c>
      <c r="F7942" s="294" t="s">
        <v>1330</v>
      </c>
      <c r="G7942" s="294" t="s">
        <v>126</v>
      </c>
      <c r="H7942" s="298">
        <v>1</v>
      </c>
      <c r="M7942" s="274"/>
    </row>
    <row r="7943" spans="2:13" ht="15" customHeight="1" x14ac:dyDescent="0.25">
      <c r="B7943" s="289">
        <v>7105</v>
      </c>
      <c r="C7943" s="261">
        <v>89</v>
      </c>
      <c r="D7943" s="244" t="s">
        <v>11</v>
      </c>
      <c r="E7943" s="263">
        <v>1</v>
      </c>
      <c r="F7943" s="294" t="s">
        <v>426</v>
      </c>
      <c r="G7943" s="294" t="s">
        <v>126</v>
      </c>
      <c r="H7943" s="298">
        <v>1</v>
      </c>
      <c r="M7943" s="274"/>
    </row>
    <row r="7944" spans="2:13" ht="15" customHeight="1" x14ac:dyDescent="0.25">
      <c r="B7944" s="289">
        <v>7106</v>
      </c>
      <c r="C7944" s="261">
        <v>79</v>
      </c>
      <c r="D7944" s="244" t="s">
        <v>11</v>
      </c>
      <c r="E7944" s="263">
        <v>88</v>
      </c>
      <c r="F7944" s="294" t="s">
        <v>1457</v>
      </c>
      <c r="G7944" s="294" t="s">
        <v>126</v>
      </c>
      <c r="H7944" s="298">
        <v>1</v>
      </c>
      <c r="M7944" s="274"/>
    </row>
    <row r="7945" spans="2:13" ht="15" customHeight="1" x14ac:dyDescent="0.25">
      <c r="B7945" s="289">
        <v>7107</v>
      </c>
      <c r="C7945" s="261">
        <v>80</v>
      </c>
      <c r="D7945" s="244" t="s">
        <v>11</v>
      </c>
      <c r="E7945" s="263">
        <v>15</v>
      </c>
      <c r="F7945" s="294" t="s">
        <v>1458</v>
      </c>
      <c r="G7945" s="294" t="s">
        <v>126</v>
      </c>
      <c r="H7945" s="298">
        <v>1</v>
      </c>
      <c r="M7945" s="274"/>
    </row>
    <row r="7946" spans="2:13" ht="15" customHeight="1" x14ac:dyDescent="0.25">
      <c r="B7946" s="289">
        <v>7107</v>
      </c>
      <c r="C7946" s="261">
        <v>104</v>
      </c>
      <c r="D7946" s="244" t="s">
        <v>11</v>
      </c>
      <c r="E7946" s="263">
        <v>73</v>
      </c>
      <c r="F7946" s="294" t="s">
        <v>1459</v>
      </c>
      <c r="G7946" s="294" t="s">
        <v>126</v>
      </c>
      <c r="H7946" s="298">
        <v>1</v>
      </c>
      <c r="M7946" s="274"/>
    </row>
    <row r="7947" spans="2:13" ht="15" customHeight="1" x14ac:dyDescent="0.25">
      <c r="B7947" s="289">
        <v>7108</v>
      </c>
      <c r="C7947" s="261">
        <v>89</v>
      </c>
      <c r="D7947" s="244" t="s">
        <v>12</v>
      </c>
      <c r="E7947" s="263">
        <v>40</v>
      </c>
      <c r="F7947" s="294" t="s">
        <v>126</v>
      </c>
      <c r="G7947" s="294" t="s">
        <v>1460</v>
      </c>
      <c r="H7947" s="298">
        <v>1</v>
      </c>
      <c r="M7947" s="274"/>
    </row>
    <row r="7948" spans="2:13" ht="15" customHeight="1" x14ac:dyDescent="0.25">
      <c r="B7948" s="289">
        <v>7110</v>
      </c>
      <c r="C7948" s="261">
        <v>57</v>
      </c>
      <c r="D7948" s="244" t="s">
        <v>11</v>
      </c>
      <c r="E7948" s="263">
        <v>90</v>
      </c>
      <c r="F7948" s="294" t="s">
        <v>1461</v>
      </c>
      <c r="G7948" s="294" t="s">
        <v>126</v>
      </c>
      <c r="H7948" s="298">
        <v>1</v>
      </c>
      <c r="M7948" s="274"/>
    </row>
    <row r="7949" spans="2:13" ht="15" customHeight="1" x14ac:dyDescent="0.25">
      <c r="B7949" s="289">
        <v>7111</v>
      </c>
      <c r="C7949" s="261">
        <v>63</v>
      </c>
      <c r="D7949" s="244" t="s">
        <v>11</v>
      </c>
      <c r="E7949" s="263">
        <v>90</v>
      </c>
      <c r="F7949" s="294" t="s">
        <v>1462</v>
      </c>
      <c r="G7949" s="294" t="s">
        <v>126</v>
      </c>
      <c r="H7949" s="298">
        <v>1</v>
      </c>
      <c r="M7949" s="274"/>
    </row>
    <row r="7950" spans="2:13" ht="15" customHeight="1" x14ac:dyDescent="0.25">
      <c r="B7950" s="289">
        <v>7112</v>
      </c>
      <c r="C7950" s="261">
        <v>84</v>
      </c>
      <c r="D7950" s="244" t="s">
        <v>11</v>
      </c>
      <c r="E7950" s="263">
        <v>90</v>
      </c>
      <c r="F7950" s="294" t="s">
        <v>1463</v>
      </c>
      <c r="G7950" s="294" t="s">
        <v>126</v>
      </c>
      <c r="H7950" s="298">
        <v>1</v>
      </c>
      <c r="M7950" s="274"/>
    </row>
    <row r="7951" spans="2:13" ht="15" customHeight="1" x14ac:dyDescent="0.25">
      <c r="M7951" s="274"/>
    </row>
    <row r="7952" spans="2:13" ht="15" customHeight="1" x14ac:dyDescent="0.25">
      <c r="M7952" s="274"/>
    </row>
    <row r="7953" spans="13:13" ht="15" customHeight="1" x14ac:dyDescent="0.25">
      <c r="M7953" s="274"/>
    </row>
    <row r="7954" spans="13:13" ht="15" customHeight="1" x14ac:dyDescent="0.25">
      <c r="M7954" s="274"/>
    </row>
    <row r="7955" spans="13:13" ht="15" customHeight="1" x14ac:dyDescent="0.25">
      <c r="M7955" s="274"/>
    </row>
    <row r="7956" spans="13:13" ht="15" customHeight="1" x14ac:dyDescent="0.25">
      <c r="M7956" s="274"/>
    </row>
    <row r="7957" spans="13:13" ht="15" customHeight="1" x14ac:dyDescent="0.25">
      <c r="M7957" s="274"/>
    </row>
    <row r="7958" spans="13:13" ht="15" customHeight="1" x14ac:dyDescent="0.25">
      <c r="M7958" s="274"/>
    </row>
    <row r="7959" spans="13:13" ht="15" customHeight="1" x14ac:dyDescent="0.25">
      <c r="M7959" s="274"/>
    </row>
    <row r="7960" spans="13:13" ht="15" customHeight="1" x14ac:dyDescent="0.25">
      <c r="M7960" s="274"/>
    </row>
    <row r="7961" spans="13:13" ht="15" customHeight="1" x14ac:dyDescent="0.25">
      <c r="M7961" s="274"/>
    </row>
    <row r="7962" spans="13:13" ht="15" customHeight="1" x14ac:dyDescent="0.25">
      <c r="M7962" s="274"/>
    </row>
    <row r="7963" spans="13:13" ht="15" customHeight="1" x14ac:dyDescent="0.25">
      <c r="M7963" s="274"/>
    </row>
    <row r="7964" spans="13:13" ht="15" customHeight="1" x14ac:dyDescent="0.25">
      <c r="M7964" s="274"/>
    </row>
    <row r="7965" spans="13:13" ht="15" customHeight="1" x14ac:dyDescent="0.25">
      <c r="M7965" s="274"/>
    </row>
    <row r="7966" spans="13:13" ht="15" customHeight="1" x14ac:dyDescent="0.25">
      <c r="M7966" s="274"/>
    </row>
    <row r="7967" spans="13:13" ht="15" customHeight="1" x14ac:dyDescent="0.25">
      <c r="M7967" s="274"/>
    </row>
    <row r="7968" spans="13:13" ht="15" customHeight="1" x14ac:dyDescent="0.25">
      <c r="M7968" s="274"/>
    </row>
    <row r="7969" spans="13:13" ht="15" customHeight="1" x14ac:dyDescent="0.25">
      <c r="M7969" s="274"/>
    </row>
    <row r="7970" spans="13:13" ht="15" customHeight="1" x14ac:dyDescent="0.25">
      <c r="M7970" s="274"/>
    </row>
    <row r="7971" spans="13:13" ht="15" customHeight="1" x14ac:dyDescent="0.25">
      <c r="M7971" s="274"/>
    </row>
    <row r="7972" spans="13:13" ht="15" customHeight="1" x14ac:dyDescent="0.25">
      <c r="M7972" s="274"/>
    </row>
    <row r="7973" spans="13:13" ht="15" customHeight="1" x14ac:dyDescent="0.25">
      <c r="M7973" s="274"/>
    </row>
    <row r="7974" spans="13:13" ht="15" customHeight="1" x14ac:dyDescent="0.25">
      <c r="M7974" s="274"/>
    </row>
    <row r="7975" spans="13:13" ht="15" customHeight="1" x14ac:dyDescent="0.25">
      <c r="M7975" s="274"/>
    </row>
    <row r="7976" spans="13:13" ht="15" customHeight="1" x14ac:dyDescent="0.25">
      <c r="M7976" s="274"/>
    </row>
    <row r="7977" spans="13:13" ht="15" customHeight="1" x14ac:dyDescent="0.25">
      <c r="M7977" s="274"/>
    </row>
    <row r="7978" spans="13:13" ht="15" customHeight="1" x14ac:dyDescent="0.25">
      <c r="M7978" s="274"/>
    </row>
    <row r="7979" spans="13:13" ht="15" customHeight="1" x14ac:dyDescent="0.25">
      <c r="M7979" s="274"/>
    </row>
    <row r="7980" spans="13:13" ht="15" customHeight="1" x14ac:dyDescent="0.25">
      <c r="M7980" s="274"/>
    </row>
    <row r="7981" spans="13:13" ht="15" customHeight="1" x14ac:dyDescent="0.25">
      <c r="M7981" s="274"/>
    </row>
    <row r="7982" spans="13:13" ht="15" customHeight="1" x14ac:dyDescent="0.25">
      <c r="M7982" s="274"/>
    </row>
    <row r="7983" spans="13:13" ht="15" customHeight="1" x14ac:dyDescent="0.25">
      <c r="M7983" s="274"/>
    </row>
    <row r="7984" spans="13:13" ht="15" customHeight="1" x14ac:dyDescent="0.25">
      <c r="M7984" s="274"/>
    </row>
    <row r="7985" spans="13:13" ht="15" customHeight="1" x14ac:dyDescent="0.25">
      <c r="M7985" s="274"/>
    </row>
    <row r="7986" spans="13:13" ht="15" customHeight="1" x14ac:dyDescent="0.25">
      <c r="M7986" s="274"/>
    </row>
    <row r="7987" spans="13:13" ht="15" customHeight="1" x14ac:dyDescent="0.25">
      <c r="M7987" s="274"/>
    </row>
    <row r="7988" spans="13:13" ht="15" customHeight="1" x14ac:dyDescent="0.25">
      <c r="M7988" s="274"/>
    </row>
    <row r="7989" spans="13:13" ht="15" customHeight="1" x14ac:dyDescent="0.25">
      <c r="M7989" s="274"/>
    </row>
    <row r="7990" spans="13:13" ht="15" customHeight="1" x14ac:dyDescent="0.25">
      <c r="M7990" s="274"/>
    </row>
    <row r="7991" spans="13:13" ht="15" customHeight="1" x14ac:dyDescent="0.25">
      <c r="M7991" s="274"/>
    </row>
    <row r="7992" spans="13:13" ht="15" customHeight="1" x14ac:dyDescent="0.25">
      <c r="M7992" s="274"/>
    </row>
    <row r="7993" spans="13:13" ht="15" customHeight="1" x14ac:dyDescent="0.25">
      <c r="M7993" s="274"/>
    </row>
    <row r="7994" spans="13:13" ht="15" customHeight="1" x14ac:dyDescent="0.25">
      <c r="M7994" s="274"/>
    </row>
    <row r="7995" spans="13:13" ht="15" customHeight="1" x14ac:dyDescent="0.25">
      <c r="M7995" s="274"/>
    </row>
    <row r="7996" spans="13:13" ht="15" customHeight="1" x14ac:dyDescent="0.25">
      <c r="M7996" s="274"/>
    </row>
    <row r="7997" spans="13:13" ht="15" customHeight="1" x14ac:dyDescent="0.25">
      <c r="M7997" s="274"/>
    </row>
    <row r="7998" spans="13:13" ht="15" customHeight="1" x14ac:dyDescent="0.25">
      <c r="M7998" s="274"/>
    </row>
    <row r="7999" spans="13:13" ht="15" customHeight="1" x14ac:dyDescent="0.25">
      <c r="M7999" s="274"/>
    </row>
    <row r="8000" spans="13:13" ht="15" customHeight="1" x14ac:dyDescent="0.25">
      <c r="M8000" s="274"/>
    </row>
    <row r="8001" spans="13:13" ht="15" customHeight="1" x14ac:dyDescent="0.25">
      <c r="M8001" s="274"/>
    </row>
    <row r="8002" spans="13:13" ht="15" customHeight="1" x14ac:dyDescent="0.25">
      <c r="M8002" s="274"/>
    </row>
    <row r="8003" spans="13:13" ht="15" customHeight="1" x14ac:dyDescent="0.25">
      <c r="M8003" s="274"/>
    </row>
    <row r="8004" spans="13:13" ht="15" customHeight="1" x14ac:dyDescent="0.25">
      <c r="M8004" s="274"/>
    </row>
    <row r="8005" spans="13:13" ht="15" customHeight="1" x14ac:dyDescent="0.25">
      <c r="M8005" s="274"/>
    </row>
    <row r="8006" spans="13:13" ht="15" customHeight="1" x14ac:dyDescent="0.25">
      <c r="M8006" s="274"/>
    </row>
    <row r="8007" spans="13:13" ht="15" customHeight="1" x14ac:dyDescent="0.25">
      <c r="M8007" s="274"/>
    </row>
    <row r="8008" spans="13:13" ht="15" customHeight="1" x14ac:dyDescent="0.25">
      <c r="M8008" s="274"/>
    </row>
    <row r="8009" spans="13:13" ht="15" customHeight="1" x14ac:dyDescent="0.25">
      <c r="M8009" s="274"/>
    </row>
    <row r="8010" spans="13:13" ht="15" customHeight="1" x14ac:dyDescent="0.25">
      <c r="M8010" s="274"/>
    </row>
    <row r="8011" spans="13:13" ht="15" customHeight="1" x14ac:dyDescent="0.25">
      <c r="M8011" s="274"/>
    </row>
    <row r="8012" spans="13:13" ht="15" customHeight="1" x14ac:dyDescent="0.25">
      <c r="M8012" s="274"/>
    </row>
    <row r="8013" spans="13:13" ht="15" customHeight="1" x14ac:dyDescent="0.25">
      <c r="M8013" s="274"/>
    </row>
    <row r="8014" spans="13:13" ht="15" customHeight="1" x14ac:dyDescent="0.25">
      <c r="M8014" s="274"/>
    </row>
    <row r="8015" spans="13:13" ht="15" customHeight="1" x14ac:dyDescent="0.25">
      <c r="M8015" s="274"/>
    </row>
    <row r="8016" spans="13:13" ht="15" customHeight="1" x14ac:dyDescent="0.25">
      <c r="M8016" s="274"/>
    </row>
    <row r="8017" spans="13:13" ht="15" customHeight="1" x14ac:dyDescent="0.25">
      <c r="M8017" s="274"/>
    </row>
    <row r="8018" spans="13:13" ht="15" customHeight="1" x14ac:dyDescent="0.25">
      <c r="M8018" s="274"/>
    </row>
    <row r="8019" spans="13:13" ht="15" customHeight="1" x14ac:dyDescent="0.25">
      <c r="M8019" s="274"/>
    </row>
    <row r="8020" spans="13:13" ht="15" customHeight="1" x14ac:dyDescent="0.25">
      <c r="M8020" s="274"/>
    </row>
    <row r="8021" spans="13:13" ht="15" customHeight="1" x14ac:dyDescent="0.25">
      <c r="M8021" s="274"/>
    </row>
    <row r="8022" spans="13:13" ht="15" customHeight="1" x14ac:dyDescent="0.25">
      <c r="M8022" s="274"/>
    </row>
    <row r="8023" spans="13:13" ht="15" customHeight="1" x14ac:dyDescent="0.25">
      <c r="M8023" s="274"/>
    </row>
    <row r="8024" spans="13:13" ht="15" customHeight="1" x14ac:dyDescent="0.25">
      <c r="M8024" s="274"/>
    </row>
    <row r="8025" spans="13:13" ht="15" customHeight="1" x14ac:dyDescent="0.25">
      <c r="M8025" s="274"/>
    </row>
    <row r="8026" spans="13:13" ht="15" customHeight="1" x14ac:dyDescent="0.25">
      <c r="M8026" s="274"/>
    </row>
    <row r="8027" spans="13:13" ht="15" customHeight="1" x14ac:dyDescent="0.25">
      <c r="M8027" s="274"/>
    </row>
    <row r="8028" spans="13:13" ht="15" customHeight="1" x14ac:dyDescent="0.25">
      <c r="M8028" s="274"/>
    </row>
    <row r="8029" spans="13:13" ht="15" customHeight="1" x14ac:dyDescent="0.25">
      <c r="M8029" s="274"/>
    </row>
    <row r="8030" spans="13:13" ht="15" customHeight="1" x14ac:dyDescent="0.25">
      <c r="M8030" s="274"/>
    </row>
    <row r="8031" spans="13:13" ht="15" customHeight="1" x14ac:dyDescent="0.25">
      <c r="M8031" s="274"/>
    </row>
    <row r="8032" spans="13:13" ht="15" customHeight="1" x14ac:dyDescent="0.25">
      <c r="M8032" s="274"/>
    </row>
    <row r="8033" spans="13:13" ht="15" customHeight="1" x14ac:dyDescent="0.25">
      <c r="M8033" s="274"/>
    </row>
    <row r="8034" spans="13:13" ht="15" customHeight="1" x14ac:dyDescent="0.25">
      <c r="M8034" s="274"/>
    </row>
    <row r="8035" spans="13:13" ht="15" customHeight="1" x14ac:dyDescent="0.25">
      <c r="M8035" s="274"/>
    </row>
    <row r="8036" spans="13:13" ht="15" customHeight="1" x14ac:dyDescent="0.25">
      <c r="M8036" s="274"/>
    </row>
    <row r="8037" spans="13:13" ht="15" customHeight="1" x14ac:dyDescent="0.25">
      <c r="M8037" s="274"/>
    </row>
    <row r="8038" spans="13:13" ht="15" customHeight="1" x14ac:dyDescent="0.25">
      <c r="M8038" s="274"/>
    </row>
    <row r="8039" spans="13:13" ht="15" customHeight="1" x14ac:dyDescent="0.25">
      <c r="M8039" s="274"/>
    </row>
    <row r="8040" spans="13:13" ht="15" customHeight="1" x14ac:dyDescent="0.25">
      <c r="M8040" s="274"/>
    </row>
    <row r="8041" spans="13:13" ht="15" customHeight="1" x14ac:dyDescent="0.25">
      <c r="M8041" s="274"/>
    </row>
    <row r="8042" spans="13:13" ht="15" customHeight="1" x14ac:dyDescent="0.25">
      <c r="M8042" s="274"/>
    </row>
    <row r="8043" spans="13:13" ht="15" customHeight="1" x14ac:dyDescent="0.25">
      <c r="M8043" s="274"/>
    </row>
    <row r="8044" spans="13:13" ht="15" customHeight="1" x14ac:dyDescent="0.25">
      <c r="M8044" s="274"/>
    </row>
    <row r="8045" spans="13:13" ht="15" customHeight="1" x14ac:dyDescent="0.25">
      <c r="M8045" s="274"/>
    </row>
    <row r="8046" spans="13:13" ht="15" customHeight="1" x14ac:dyDescent="0.25">
      <c r="M8046" s="274"/>
    </row>
    <row r="8047" spans="13:13" ht="15" customHeight="1" x14ac:dyDescent="0.25">
      <c r="M8047" s="274"/>
    </row>
    <row r="8048" spans="13:13" ht="15" customHeight="1" x14ac:dyDescent="0.25">
      <c r="M8048" s="274"/>
    </row>
    <row r="8049" spans="13:13" ht="15" customHeight="1" x14ac:dyDescent="0.25">
      <c r="M8049" s="274"/>
    </row>
    <row r="8050" spans="13:13" ht="15" customHeight="1" x14ac:dyDescent="0.25">
      <c r="M8050" s="274"/>
    </row>
    <row r="8051" spans="13:13" ht="15" customHeight="1" x14ac:dyDescent="0.25">
      <c r="M8051" s="274"/>
    </row>
    <row r="8052" spans="13:13" ht="15" customHeight="1" x14ac:dyDescent="0.25">
      <c r="M8052" s="274"/>
    </row>
    <row r="8053" spans="13:13" ht="15" customHeight="1" x14ac:dyDescent="0.25">
      <c r="M8053" s="274"/>
    </row>
    <row r="8054" spans="13:13" ht="15" customHeight="1" x14ac:dyDescent="0.25">
      <c r="M8054" s="274"/>
    </row>
    <row r="8055" spans="13:13" ht="15" customHeight="1" x14ac:dyDescent="0.25">
      <c r="M8055" s="274"/>
    </row>
    <row r="8056" spans="13:13" ht="15" customHeight="1" x14ac:dyDescent="0.25">
      <c r="M8056" s="274"/>
    </row>
    <row r="8057" spans="13:13" ht="15" customHeight="1" x14ac:dyDescent="0.25">
      <c r="M8057" s="274"/>
    </row>
    <row r="8058" spans="13:13" ht="15" customHeight="1" x14ac:dyDescent="0.25">
      <c r="M8058" s="274"/>
    </row>
    <row r="8059" spans="13:13" ht="15" customHeight="1" x14ac:dyDescent="0.25">
      <c r="M8059" s="274"/>
    </row>
    <row r="8060" spans="13:13" ht="15" customHeight="1" x14ac:dyDescent="0.25">
      <c r="M8060" s="274"/>
    </row>
    <row r="8061" spans="13:13" ht="15" customHeight="1" x14ac:dyDescent="0.25">
      <c r="M8061" s="274"/>
    </row>
    <row r="8062" spans="13:13" ht="15" customHeight="1" x14ac:dyDescent="0.25">
      <c r="M8062" s="274"/>
    </row>
    <row r="8063" spans="13:13" ht="15" customHeight="1" x14ac:dyDescent="0.25">
      <c r="M8063" s="274"/>
    </row>
    <row r="8064" spans="13:13" ht="15" customHeight="1" x14ac:dyDescent="0.25">
      <c r="M8064" s="274"/>
    </row>
    <row r="8065" spans="13:13" ht="15" customHeight="1" x14ac:dyDescent="0.25">
      <c r="M8065" s="274"/>
    </row>
    <row r="8066" spans="13:13" ht="15" customHeight="1" x14ac:dyDescent="0.25">
      <c r="M8066" s="274"/>
    </row>
    <row r="8067" spans="13:13" ht="15" customHeight="1" x14ac:dyDescent="0.25">
      <c r="M8067" s="274"/>
    </row>
    <row r="8068" spans="13:13" ht="15" customHeight="1" x14ac:dyDescent="0.25">
      <c r="M8068" s="274"/>
    </row>
    <row r="8069" spans="13:13" ht="15" customHeight="1" x14ac:dyDescent="0.25">
      <c r="M8069" s="274"/>
    </row>
    <row r="8070" spans="13:13" ht="15" customHeight="1" x14ac:dyDescent="0.25">
      <c r="M8070" s="274"/>
    </row>
    <row r="8071" spans="13:13" ht="15" customHeight="1" x14ac:dyDescent="0.25">
      <c r="M8071" s="274"/>
    </row>
    <row r="8072" spans="13:13" ht="15" customHeight="1" x14ac:dyDescent="0.25">
      <c r="M8072" s="274"/>
    </row>
    <row r="8073" spans="13:13" ht="15" customHeight="1" x14ac:dyDescent="0.25">
      <c r="M8073" s="274"/>
    </row>
    <row r="8074" spans="13:13" ht="15" customHeight="1" x14ac:dyDescent="0.25">
      <c r="M8074" s="274"/>
    </row>
    <row r="8075" spans="13:13" ht="15" customHeight="1" x14ac:dyDescent="0.25">
      <c r="M8075" s="274"/>
    </row>
    <row r="8076" spans="13:13" ht="15" customHeight="1" x14ac:dyDescent="0.25">
      <c r="M8076" s="274"/>
    </row>
    <row r="8077" spans="13:13" ht="15" customHeight="1" x14ac:dyDescent="0.25">
      <c r="M8077" s="274"/>
    </row>
    <row r="8078" spans="13:13" ht="15" customHeight="1" x14ac:dyDescent="0.25">
      <c r="M8078" s="274"/>
    </row>
    <row r="8079" spans="13:13" ht="15" customHeight="1" x14ac:dyDescent="0.25">
      <c r="M8079" s="274"/>
    </row>
    <row r="8080" spans="13:13" ht="15" customHeight="1" x14ac:dyDescent="0.25">
      <c r="M8080" s="274"/>
    </row>
    <row r="8081" spans="13:13" ht="15" customHeight="1" x14ac:dyDescent="0.25">
      <c r="M8081" s="274"/>
    </row>
    <row r="8082" spans="13:13" ht="15" customHeight="1" x14ac:dyDescent="0.25">
      <c r="M8082" s="274"/>
    </row>
    <row r="8083" spans="13:13" ht="15" customHeight="1" x14ac:dyDescent="0.25">
      <c r="M8083" s="274"/>
    </row>
    <row r="8084" spans="13:13" ht="15" customHeight="1" x14ac:dyDescent="0.25">
      <c r="M8084" s="274"/>
    </row>
    <row r="8085" spans="13:13" ht="15" customHeight="1" x14ac:dyDescent="0.25">
      <c r="M8085" s="274"/>
    </row>
    <row r="8086" spans="13:13" ht="15" customHeight="1" x14ac:dyDescent="0.25">
      <c r="M8086" s="274"/>
    </row>
    <row r="8087" spans="13:13" ht="15" customHeight="1" x14ac:dyDescent="0.25">
      <c r="M8087" s="274"/>
    </row>
    <row r="8088" spans="13:13" ht="15" customHeight="1" x14ac:dyDescent="0.25">
      <c r="M8088" s="274"/>
    </row>
    <row r="8089" spans="13:13" ht="15" customHeight="1" x14ac:dyDescent="0.25">
      <c r="M8089" s="274"/>
    </row>
    <row r="8090" spans="13:13" ht="15" customHeight="1" x14ac:dyDescent="0.25">
      <c r="M8090" s="274"/>
    </row>
    <row r="8091" spans="13:13" ht="15" customHeight="1" x14ac:dyDescent="0.25">
      <c r="M8091" s="274"/>
    </row>
    <row r="8092" spans="13:13" ht="15" customHeight="1" x14ac:dyDescent="0.25">
      <c r="M8092" s="274"/>
    </row>
    <row r="8093" spans="13:13" ht="15" customHeight="1" x14ac:dyDescent="0.25">
      <c r="M8093" s="274"/>
    </row>
    <row r="8094" spans="13:13" ht="15" customHeight="1" x14ac:dyDescent="0.25">
      <c r="M8094" s="274"/>
    </row>
    <row r="8095" spans="13:13" ht="15" customHeight="1" x14ac:dyDescent="0.25">
      <c r="M8095" s="274"/>
    </row>
    <row r="8096" spans="13:13" ht="15" customHeight="1" x14ac:dyDescent="0.25">
      <c r="M8096" s="274"/>
    </row>
    <row r="8097" spans="13:13" ht="15" customHeight="1" x14ac:dyDescent="0.25">
      <c r="M8097" s="274"/>
    </row>
    <row r="8098" spans="13:13" ht="15" customHeight="1" x14ac:dyDescent="0.25">
      <c r="M8098" s="274"/>
    </row>
    <row r="8099" spans="13:13" ht="15" customHeight="1" x14ac:dyDescent="0.25">
      <c r="M8099" s="274"/>
    </row>
    <row r="8100" spans="13:13" ht="15" customHeight="1" x14ac:dyDescent="0.25">
      <c r="M8100" s="274"/>
    </row>
    <row r="8101" spans="13:13" ht="15" customHeight="1" x14ac:dyDescent="0.25">
      <c r="M8101" s="274"/>
    </row>
    <row r="8102" spans="13:13" ht="15" customHeight="1" x14ac:dyDescent="0.25">
      <c r="M8102" s="274"/>
    </row>
    <row r="8103" spans="13:13" ht="15" customHeight="1" x14ac:dyDescent="0.25">
      <c r="M8103" s="274"/>
    </row>
    <row r="8104" spans="13:13" ht="15" customHeight="1" x14ac:dyDescent="0.25">
      <c r="M8104" s="274"/>
    </row>
    <row r="8105" spans="13:13" ht="15" customHeight="1" x14ac:dyDescent="0.25">
      <c r="M8105" s="274"/>
    </row>
    <row r="8106" spans="13:13" ht="15" customHeight="1" x14ac:dyDescent="0.25">
      <c r="M8106" s="274"/>
    </row>
    <row r="8107" spans="13:13" ht="15" customHeight="1" x14ac:dyDescent="0.25">
      <c r="M8107" s="274"/>
    </row>
    <row r="8108" spans="13:13" ht="15" customHeight="1" x14ac:dyDescent="0.25">
      <c r="M8108" s="274"/>
    </row>
    <row r="8109" spans="13:13" ht="15" customHeight="1" x14ac:dyDescent="0.25">
      <c r="M8109" s="274"/>
    </row>
    <row r="8110" spans="13:13" ht="15" customHeight="1" x14ac:dyDescent="0.25">
      <c r="M8110" s="274"/>
    </row>
    <row r="8111" spans="13:13" ht="15" customHeight="1" x14ac:dyDescent="0.25">
      <c r="M8111" s="274"/>
    </row>
    <row r="8112" spans="13:13" ht="15" customHeight="1" x14ac:dyDescent="0.25">
      <c r="M8112" s="274"/>
    </row>
    <row r="8113" spans="13:13" ht="15" customHeight="1" x14ac:dyDescent="0.25">
      <c r="M8113" s="274"/>
    </row>
    <row r="8114" spans="13:13" ht="15" customHeight="1" x14ac:dyDescent="0.25">
      <c r="M8114" s="274"/>
    </row>
    <row r="8115" spans="13:13" ht="15" customHeight="1" x14ac:dyDescent="0.25">
      <c r="M8115" s="274"/>
    </row>
    <row r="8116" spans="13:13" ht="15" customHeight="1" x14ac:dyDescent="0.25">
      <c r="M8116" s="274"/>
    </row>
    <row r="8117" spans="13:13" ht="15" customHeight="1" x14ac:dyDescent="0.25">
      <c r="M8117" s="274"/>
    </row>
    <row r="8118" spans="13:13" ht="15" customHeight="1" x14ac:dyDescent="0.25">
      <c r="M8118" s="274"/>
    </row>
    <row r="8119" spans="13:13" ht="15" customHeight="1" x14ac:dyDescent="0.25">
      <c r="M8119" s="274"/>
    </row>
    <row r="8120" spans="13:13" ht="15" customHeight="1" x14ac:dyDescent="0.25">
      <c r="M8120" s="274"/>
    </row>
    <row r="8121" spans="13:13" ht="15" customHeight="1" x14ac:dyDescent="0.25">
      <c r="M8121" s="274"/>
    </row>
    <row r="8122" spans="13:13" ht="15" customHeight="1" x14ac:dyDescent="0.25">
      <c r="M8122" s="274"/>
    </row>
    <row r="8123" spans="13:13" ht="15" customHeight="1" x14ac:dyDescent="0.25">
      <c r="M8123" s="274"/>
    </row>
    <row r="8124" spans="13:13" ht="15" customHeight="1" x14ac:dyDescent="0.25">
      <c r="M8124" s="274"/>
    </row>
    <row r="8125" spans="13:13" ht="15" customHeight="1" x14ac:dyDescent="0.25">
      <c r="M8125" s="274"/>
    </row>
    <row r="8126" spans="13:13" ht="15" customHeight="1" x14ac:dyDescent="0.25">
      <c r="M8126" s="274"/>
    </row>
    <row r="8127" spans="13:13" ht="15" customHeight="1" x14ac:dyDescent="0.25">
      <c r="M8127" s="274"/>
    </row>
    <row r="8128" spans="13:13" ht="15" customHeight="1" x14ac:dyDescent="0.25">
      <c r="M8128" s="274"/>
    </row>
    <row r="8129" spans="13:13" ht="15" customHeight="1" x14ac:dyDescent="0.25">
      <c r="M8129" s="274"/>
    </row>
    <row r="8130" spans="13:13" ht="15" customHeight="1" x14ac:dyDescent="0.25">
      <c r="M8130" s="274"/>
    </row>
    <row r="8131" spans="13:13" ht="15" customHeight="1" x14ac:dyDescent="0.25">
      <c r="M8131" s="274"/>
    </row>
    <row r="8132" spans="13:13" ht="15" customHeight="1" x14ac:dyDescent="0.25">
      <c r="M8132" s="274"/>
    </row>
    <row r="8133" spans="13:13" ht="15" customHeight="1" x14ac:dyDescent="0.25">
      <c r="M8133" s="274"/>
    </row>
    <row r="8134" spans="13:13" ht="15" customHeight="1" x14ac:dyDescent="0.25">
      <c r="M8134" s="274"/>
    </row>
    <row r="8135" spans="13:13" ht="15" customHeight="1" x14ac:dyDescent="0.25">
      <c r="M8135" s="274"/>
    </row>
    <row r="8136" spans="13:13" ht="15" customHeight="1" x14ac:dyDescent="0.25">
      <c r="M8136" s="274"/>
    </row>
    <row r="8137" spans="13:13" ht="15" customHeight="1" x14ac:dyDescent="0.25">
      <c r="M8137" s="274"/>
    </row>
    <row r="8138" spans="13:13" ht="15" customHeight="1" x14ac:dyDescent="0.25">
      <c r="M8138" s="274"/>
    </row>
    <row r="8139" spans="13:13" ht="15" customHeight="1" x14ac:dyDescent="0.25">
      <c r="M8139" s="274"/>
    </row>
    <row r="8140" spans="13:13" ht="15" customHeight="1" x14ac:dyDescent="0.25">
      <c r="M8140" s="274"/>
    </row>
    <row r="8141" spans="13:13" ht="15" customHeight="1" x14ac:dyDescent="0.25">
      <c r="M8141" s="274"/>
    </row>
    <row r="8142" spans="13:13" ht="15" customHeight="1" x14ac:dyDescent="0.25">
      <c r="M8142" s="274"/>
    </row>
    <row r="8143" spans="13:13" ht="15" customHeight="1" x14ac:dyDescent="0.25">
      <c r="M8143" s="274"/>
    </row>
    <row r="8144" spans="13:13" ht="15" customHeight="1" x14ac:dyDescent="0.25">
      <c r="M8144" s="274"/>
    </row>
    <row r="8145" spans="13:13" ht="15" customHeight="1" x14ac:dyDescent="0.25">
      <c r="M8145" s="274"/>
    </row>
    <row r="8146" spans="13:13" ht="15" customHeight="1" x14ac:dyDescent="0.25">
      <c r="M8146" s="274"/>
    </row>
    <row r="8147" spans="13:13" ht="15" customHeight="1" x14ac:dyDescent="0.25">
      <c r="M8147" s="274"/>
    </row>
    <row r="8148" spans="13:13" ht="15" customHeight="1" x14ac:dyDescent="0.25">
      <c r="M8148" s="274"/>
    </row>
    <row r="8149" spans="13:13" ht="15" customHeight="1" x14ac:dyDescent="0.25">
      <c r="M8149" s="274"/>
    </row>
    <row r="8150" spans="13:13" ht="15" customHeight="1" x14ac:dyDescent="0.25">
      <c r="M8150" s="274"/>
    </row>
    <row r="8151" spans="13:13" ht="15" customHeight="1" x14ac:dyDescent="0.25">
      <c r="M8151" s="274"/>
    </row>
    <row r="8152" spans="13:13" ht="15" customHeight="1" x14ac:dyDescent="0.25">
      <c r="M8152" s="274"/>
    </row>
    <row r="8153" spans="13:13" ht="15" customHeight="1" x14ac:dyDescent="0.25">
      <c r="M8153" s="274"/>
    </row>
    <row r="8154" spans="13:13" ht="15" customHeight="1" x14ac:dyDescent="0.25">
      <c r="M8154" s="274"/>
    </row>
    <row r="8155" spans="13:13" ht="15" customHeight="1" x14ac:dyDescent="0.25">
      <c r="M8155" s="274"/>
    </row>
    <row r="8156" spans="13:13" ht="15" customHeight="1" x14ac:dyDescent="0.25">
      <c r="M8156" s="274"/>
    </row>
    <row r="8157" spans="13:13" ht="15" customHeight="1" x14ac:dyDescent="0.25">
      <c r="M8157" s="274"/>
    </row>
    <row r="8158" spans="13:13" ht="15" customHeight="1" x14ac:dyDescent="0.25">
      <c r="M8158" s="274"/>
    </row>
    <row r="8159" spans="13:13" ht="15" customHeight="1" x14ac:dyDescent="0.25">
      <c r="M8159" s="274"/>
    </row>
    <row r="8160" spans="13:13" ht="15" customHeight="1" x14ac:dyDescent="0.25">
      <c r="M8160" s="274"/>
    </row>
    <row r="8161" spans="13:13" ht="15" customHeight="1" x14ac:dyDescent="0.25">
      <c r="M8161" s="274"/>
    </row>
    <row r="8162" spans="13:13" ht="15" customHeight="1" x14ac:dyDescent="0.25">
      <c r="M8162" s="274"/>
    </row>
    <row r="8163" spans="13:13" ht="15" customHeight="1" x14ac:dyDescent="0.25">
      <c r="M8163" s="274"/>
    </row>
    <row r="8164" spans="13:13" ht="15" customHeight="1" x14ac:dyDescent="0.25">
      <c r="M8164" s="274"/>
    </row>
    <row r="8165" spans="13:13" ht="15" customHeight="1" x14ac:dyDescent="0.25">
      <c r="M8165" s="274"/>
    </row>
    <row r="8166" spans="13:13" ht="15" customHeight="1" x14ac:dyDescent="0.25">
      <c r="M8166" s="274"/>
    </row>
    <row r="8167" spans="13:13" ht="15" customHeight="1" x14ac:dyDescent="0.25">
      <c r="M8167" s="274"/>
    </row>
    <row r="8168" spans="13:13" ht="15" customHeight="1" x14ac:dyDescent="0.25">
      <c r="M8168" s="274"/>
    </row>
    <row r="8169" spans="13:13" ht="15" customHeight="1" x14ac:dyDescent="0.25">
      <c r="M8169" s="274"/>
    </row>
    <row r="8170" spans="13:13" ht="15" customHeight="1" x14ac:dyDescent="0.25">
      <c r="M8170" s="274"/>
    </row>
    <row r="8171" spans="13:13" ht="15" customHeight="1" x14ac:dyDescent="0.25">
      <c r="M8171" s="274"/>
    </row>
    <row r="8172" spans="13:13" ht="15" customHeight="1" x14ac:dyDescent="0.25">
      <c r="M8172" s="274"/>
    </row>
    <row r="8173" spans="13:13" ht="15" customHeight="1" x14ac:dyDescent="0.25">
      <c r="M8173" s="274"/>
    </row>
    <row r="8174" spans="13:13" ht="15" customHeight="1" x14ac:dyDescent="0.25">
      <c r="M8174" s="274"/>
    </row>
    <row r="8175" spans="13:13" ht="15" customHeight="1" x14ac:dyDescent="0.25">
      <c r="M8175" s="274"/>
    </row>
    <row r="8176" spans="13:13" ht="15" customHeight="1" x14ac:dyDescent="0.25">
      <c r="M8176" s="274"/>
    </row>
    <row r="8177" spans="13:13" ht="15" customHeight="1" x14ac:dyDescent="0.25">
      <c r="M8177" s="274"/>
    </row>
    <row r="8178" spans="13:13" ht="15" customHeight="1" x14ac:dyDescent="0.25">
      <c r="M8178" s="274"/>
    </row>
    <row r="8179" spans="13:13" ht="15" customHeight="1" x14ac:dyDescent="0.25">
      <c r="M8179" s="274"/>
    </row>
    <row r="8180" spans="13:13" ht="15" customHeight="1" x14ac:dyDescent="0.25">
      <c r="M8180" s="274"/>
    </row>
    <row r="8181" spans="13:13" ht="15" customHeight="1" x14ac:dyDescent="0.25">
      <c r="M8181" s="274"/>
    </row>
    <row r="8182" spans="13:13" ht="15" customHeight="1" x14ac:dyDescent="0.25">
      <c r="M8182" s="274"/>
    </row>
    <row r="8183" spans="13:13" ht="15" customHeight="1" x14ac:dyDescent="0.25">
      <c r="M8183" s="274"/>
    </row>
    <row r="8184" spans="13:13" ht="15" customHeight="1" x14ac:dyDescent="0.25">
      <c r="M8184" s="274"/>
    </row>
    <row r="8185" spans="13:13" ht="15" customHeight="1" x14ac:dyDescent="0.25">
      <c r="M8185" s="274"/>
    </row>
    <row r="8186" spans="13:13" ht="15" customHeight="1" x14ac:dyDescent="0.25">
      <c r="M8186" s="274"/>
    </row>
    <row r="8187" spans="13:13" ht="15" customHeight="1" x14ac:dyDescent="0.25">
      <c r="M8187" s="274"/>
    </row>
    <row r="8188" spans="13:13" ht="15" customHeight="1" x14ac:dyDescent="0.25">
      <c r="M8188" s="274"/>
    </row>
    <row r="8189" spans="13:13" ht="15" customHeight="1" x14ac:dyDescent="0.25">
      <c r="M8189" s="274"/>
    </row>
    <row r="8190" spans="13:13" ht="15" customHeight="1" x14ac:dyDescent="0.25">
      <c r="M8190" s="274"/>
    </row>
    <row r="8191" spans="13:13" ht="15" customHeight="1" x14ac:dyDescent="0.25">
      <c r="M8191" s="274"/>
    </row>
    <row r="8192" spans="13:13" ht="15" customHeight="1" x14ac:dyDescent="0.25">
      <c r="M8192" s="274"/>
    </row>
    <row r="8193" spans="13:13" ht="15" customHeight="1" x14ac:dyDescent="0.25">
      <c r="M8193" s="274"/>
    </row>
    <row r="8194" spans="13:13" ht="15" customHeight="1" x14ac:dyDescent="0.25">
      <c r="M8194" s="274"/>
    </row>
    <row r="8195" spans="13:13" ht="15" customHeight="1" x14ac:dyDescent="0.25">
      <c r="M8195" s="274"/>
    </row>
    <row r="8196" spans="13:13" ht="15" customHeight="1" x14ac:dyDescent="0.25">
      <c r="M8196" s="274"/>
    </row>
    <row r="8197" spans="13:13" ht="15" customHeight="1" x14ac:dyDescent="0.25">
      <c r="M8197" s="274"/>
    </row>
    <row r="8198" spans="13:13" ht="15" customHeight="1" x14ac:dyDescent="0.25">
      <c r="M8198" s="274"/>
    </row>
    <row r="8199" spans="13:13" ht="15" customHeight="1" x14ac:dyDescent="0.25">
      <c r="M8199" s="274"/>
    </row>
    <row r="8200" spans="13:13" ht="15" customHeight="1" x14ac:dyDescent="0.25">
      <c r="M8200" s="274"/>
    </row>
    <row r="8201" spans="13:13" ht="15" customHeight="1" x14ac:dyDescent="0.25">
      <c r="M8201" s="274"/>
    </row>
    <row r="8202" spans="13:13" ht="15" customHeight="1" x14ac:dyDescent="0.25">
      <c r="M8202" s="274"/>
    </row>
    <row r="8203" spans="13:13" ht="15" customHeight="1" x14ac:dyDescent="0.25">
      <c r="M8203" s="274"/>
    </row>
    <row r="8204" spans="13:13" ht="15" customHeight="1" x14ac:dyDescent="0.25">
      <c r="M8204" s="274"/>
    </row>
    <row r="8205" spans="13:13" ht="15" customHeight="1" x14ac:dyDescent="0.25">
      <c r="M8205" s="274"/>
    </row>
    <row r="8206" spans="13:13" ht="15" customHeight="1" x14ac:dyDescent="0.25">
      <c r="M8206" s="274"/>
    </row>
    <row r="8207" spans="13:13" ht="15" customHeight="1" x14ac:dyDescent="0.25">
      <c r="M8207" s="274"/>
    </row>
    <row r="8208" spans="13:13" ht="15" customHeight="1" x14ac:dyDescent="0.25">
      <c r="M8208" s="274"/>
    </row>
    <row r="8209" spans="13:13" ht="15" customHeight="1" x14ac:dyDescent="0.25">
      <c r="M8209" s="274"/>
    </row>
    <row r="8210" spans="13:13" ht="15" customHeight="1" x14ac:dyDescent="0.25">
      <c r="M8210" s="274"/>
    </row>
    <row r="8211" spans="13:13" ht="15" customHeight="1" x14ac:dyDescent="0.25">
      <c r="M8211" s="274"/>
    </row>
    <row r="8212" spans="13:13" ht="15" customHeight="1" x14ac:dyDescent="0.25">
      <c r="M8212" s="274"/>
    </row>
    <row r="8213" spans="13:13" ht="15" customHeight="1" x14ac:dyDescent="0.25">
      <c r="M8213" s="274"/>
    </row>
    <row r="8214" spans="13:13" ht="15" customHeight="1" x14ac:dyDescent="0.25">
      <c r="M8214" s="274"/>
    </row>
    <row r="8215" spans="13:13" ht="15" customHeight="1" x14ac:dyDescent="0.25">
      <c r="M8215" s="274"/>
    </row>
    <row r="8216" spans="13:13" ht="15" customHeight="1" x14ac:dyDescent="0.25">
      <c r="M8216" s="274"/>
    </row>
    <row r="8217" spans="13:13" ht="15" customHeight="1" x14ac:dyDescent="0.25">
      <c r="M8217" s="274"/>
    </row>
    <row r="8218" spans="13:13" ht="15" customHeight="1" x14ac:dyDescent="0.25">
      <c r="M8218" s="274"/>
    </row>
    <row r="8219" spans="13:13" ht="15" customHeight="1" x14ac:dyDescent="0.25">
      <c r="M8219" s="274"/>
    </row>
    <row r="8220" spans="13:13" ht="15" customHeight="1" x14ac:dyDescent="0.25">
      <c r="M8220" s="274"/>
    </row>
    <row r="8221" spans="13:13" ht="15" customHeight="1" x14ac:dyDescent="0.25">
      <c r="M8221" s="274"/>
    </row>
    <row r="8222" spans="13:13" ht="15" customHeight="1" x14ac:dyDescent="0.25">
      <c r="M8222" s="274"/>
    </row>
    <row r="8223" spans="13:13" ht="15" customHeight="1" x14ac:dyDescent="0.25">
      <c r="M8223" s="274"/>
    </row>
    <row r="8224" spans="13:13" ht="15" customHeight="1" x14ac:dyDescent="0.25">
      <c r="M8224" s="274"/>
    </row>
    <row r="8225" spans="13:13" ht="15" customHeight="1" x14ac:dyDescent="0.25">
      <c r="M8225" s="274"/>
    </row>
    <row r="8226" spans="13:13" ht="15" customHeight="1" x14ac:dyDescent="0.25">
      <c r="M8226" s="274"/>
    </row>
    <row r="8227" spans="13:13" ht="15" customHeight="1" x14ac:dyDescent="0.25">
      <c r="M8227" s="274"/>
    </row>
    <row r="8228" spans="13:13" ht="15" customHeight="1" x14ac:dyDescent="0.25">
      <c r="M8228" s="274"/>
    </row>
    <row r="8229" spans="13:13" ht="15" customHeight="1" x14ac:dyDescent="0.25">
      <c r="M8229" s="274"/>
    </row>
    <row r="8230" spans="13:13" ht="15" customHeight="1" x14ac:dyDescent="0.25">
      <c r="M8230" s="274"/>
    </row>
    <row r="8231" spans="13:13" ht="15" customHeight="1" x14ac:dyDescent="0.25">
      <c r="M8231" s="274"/>
    </row>
    <row r="8232" spans="13:13" ht="15" customHeight="1" x14ac:dyDescent="0.25">
      <c r="M8232" s="274"/>
    </row>
    <row r="8233" spans="13:13" ht="15" customHeight="1" x14ac:dyDescent="0.25">
      <c r="M8233" s="274"/>
    </row>
    <row r="8234" spans="13:13" ht="15" customHeight="1" x14ac:dyDescent="0.25">
      <c r="M8234" s="274"/>
    </row>
    <row r="8235" spans="13:13" ht="15" customHeight="1" x14ac:dyDescent="0.25">
      <c r="M8235" s="274"/>
    </row>
    <row r="8236" spans="13:13" ht="15" customHeight="1" x14ac:dyDescent="0.25">
      <c r="M8236" s="274"/>
    </row>
    <row r="8237" spans="13:13" ht="15" customHeight="1" x14ac:dyDescent="0.25">
      <c r="M8237" s="274"/>
    </row>
    <row r="8238" spans="13:13" ht="15" customHeight="1" x14ac:dyDescent="0.25">
      <c r="M8238" s="274"/>
    </row>
    <row r="8239" spans="13:13" ht="15" customHeight="1" x14ac:dyDescent="0.25">
      <c r="M8239" s="274"/>
    </row>
    <row r="8240" spans="13:13" ht="15" customHeight="1" x14ac:dyDescent="0.25">
      <c r="M8240" s="274"/>
    </row>
    <row r="8241" spans="13:13" ht="15" customHeight="1" x14ac:dyDescent="0.25">
      <c r="M8241" s="274"/>
    </row>
    <row r="8242" spans="13:13" ht="15" customHeight="1" x14ac:dyDescent="0.25">
      <c r="M8242" s="274"/>
    </row>
    <row r="8243" spans="13:13" ht="15" customHeight="1" x14ac:dyDescent="0.25">
      <c r="M8243" s="274"/>
    </row>
    <row r="8244" spans="13:13" ht="15" customHeight="1" x14ac:dyDescent="0.25">
      <c r="M8244" s="274"/>
    </row>
    <row r="8245" spans="13:13" ht="15" customHeight="1" x14ac:dyDescent="0.25">
      <c r="M8245" s="274"/>
    </row>
    <row r="8246" spans="13:13" ht="15" customHeight="1" x14ac:dyDescent="0.25">
      <c r="M8246" s="274"/>
    </row>
    <row r="8247" spans="13:13" ht="15" customHeight="1" x14ac:dyDescent="0.25">
      <c r="M8247" s="274"/>
    </row>
    <row r="8248" spans="13:13" ht="15" customHeight="1" x14ac:dyDescent="0.25">
      <c r="M8248" s="274"/>
    </row>
    <row r="8249" spans="13:13" ht="15" customHeight="1" x14ac:dyDescent="0.25">
      <c r="M8249" s="274"/>
    </row>
    <row r="8250" spans="13:13" ht="15" customHeight="1" x14ac:dyDescent="0.25">
      <c r="M8250" s="274"/>
    </row>
    <row r="8251" spans="13:13" ht="15" customHeight="1" x14ac:dyDescent="0.25">
      <c r="M8251" s="274"/>
    </row>
    <row r="8252" spans="13:13" ht="15" customHeight="1" x14ac:dyDescent="0.25">
      <c r="M8252" s="274"/>
    </row>
    <row r="8253" spans="13:13" ht="15" customHeight="1" x14ac:dyDescent="0.25">
      <c r="M8253" s="274"/>
    </row>
    <row r="8254" spans="13:13" ht="15" customHeight="1" x14ac:dyDescent="0.25">
      <c r="M8254" s="274"/>
    </row>
    <row r="8255" spans="13:13" ht="15" customHeight="1" x14ac:dyDescent="0.25">
      <c r="M8255" s="274"/>
    </row>
    <row r="8256" spans="13:13" ht="15" customHeight="1" x14ac:dyDescent="0.25">
      <c r="M8256" s="274"/>
    </row>
    <row r="8257" spans="13:13" ht="15" customHeight="1" x14ac:dyDescent="0.25">
      <c r="M8257" s="274"/>
    </row>
    <row r="8258" spans="13:13" ht="15" customHeight="1" x14ac:dyDescent="0.25">
      <c r="M8258" s="274"/>
    </row>
    <row r="8259" spans="13:13" ht="15" customHeight="1" x14ac:dyDescent="0.25">
      <c r="M8259" s="274"/>
    </row>
    <row r="8260" spans="13:13" ht="15" customHeight="1" x14ac:dyDescent="0.25">
      <c r="M8260" s="274"/>
    </row>
    <row r="8261" spans="13:13" ht="15" customHeight="1" x14ac:dyDescent="0.25">
      <c r="M8261" s="274"/>
    </row>
    <row r="8262" spans="13:13" ht="15" customHeight="1" x14ac:dyDescent="0.25">
      <c r="M8262" s="274"/>
    </row>
    <row r="8263" spans="13:13" ht="15" customHeight="1" x14ac:dyDescent="0.25">
      <c r="M8263" s="274"/>
    </row>
    <row r="8264" spans="13:13" ht="15" customHeight="1" x14ac:dyDescent="0.25">
      <c r="M8264" s="274"/>
    </row>
    <row r="8265" spans="13:13" ht="15" customHeight="1" x14ac:dyDescent="0.25">
      <c r="M8265" s="274"/>
    </row>
    <row r="8266" spans="13:13" ht="15" customHeight="1" x14ac:dyDescent="0.25">
      <c r="M8266" s="274"/>
    </row>
    <row r="8267" spans="13:13" ht="15" customHeight="1" x14ac:dyDescent="0.25">
      <c r="M8267" s="274"/>
    </row>
    <row r="8268" spans="13:13" ht="15" customHeight="1" x14ac:dyDescent="0.25">
      <c r="M8268" s="274"/>
    </row>
    <row r="8269" spans="13:13" ht="15" customHeight="1" x14ac:dyDescent="0.25">
      <c r="M8269" s="274"/>
    </row>
    <row r="8270" spans="13:13" ht="15" customHeight="1" x14ac:dyDescent="0.25">
      <c r="M8270" s="274"/>
    </row>
    <row r="8271" spans="13:13" ht="15" customHeight="1" x14ac:dyDescent="0.25">
      <c r="M8271" s="274"/>
    </row>
    <row r="8272" spans="13:13" ht="15" customHeight="1" x14ac:dyDescent="0.25">
      <c r="M8272" s="274"/>
    </row>
    <row r="8273" spans="2:13" ht="15" customHeight="1" x14ac:dyDescent="0.25">
      <c r="M8273" s="274"/>
    </row>
    <row r="8274" spans="2:13" ht="15" customHeight="1" x14ac:dyDescent="0.25">
      <c r="M8274" s="274"/>
    </row>
    <row r="8275" spans="2:13" ht="15" customHeight="1" x14ac:dyDescent="0.25">
      <c r="M8275" s="274"/>
    </row>
    <row r="8276" spans="2:13" ht="15" customHeight="1" x14ac:dyDescent="0.25">
      <c r="M8276" s="274"/>
    </row>
    <row r="8277" spans="2:13" ht="15" customHeight="1" x14ac:dyDescent="0.25">
      <c r="M8277" s="274"/>
    </row>
    <row r="8278" spans="2:13" ht="15" customHeight="1" x14ac:dyDescent="0.25">
      <c r="M8278" s="274"/>
    </row>
    <row r="8279" spans="2:13" ht="15" customHeight="1" x14ac:dyDescent="0.25">
      <c r="M8279" s="274"/>
    </row>
    <row r="8280" spans="2:13" ht="15" customHeight="1" x14ac:dyDescent="0.25">
      <c r="M8280" s="274"/>
    </row>
    <row r="8281" spans="2:13" ht="15" customHeight="1" x14ac:dyDescent="0.25">
      <c r="M8281" s="274"/>
    </row>
    <row r="8282" spans="2:13" ht="15" customHeight="1" x14ac:dyDescent="0.25">
      <c r="M8282" s="274"/>
    </row>
    <row r="8283" spans="2:13" ht="15" customHeight="1" x14ac:dyDescent="0.25">
      <c r="M8283" s="274"/>
    </row>
    <row r="8284" spans="2:13" ht="15" customHeight="1" x14ac:dyDescent="0.25">
      <c r="M8284" s="274"/>
    </row>
    <row r="8285" spans="2:13" ht="15" customHeight="1" x14ac:dyDescent="0.25">
      <c r="M8285" s="274"/>
    </row>
    <row r="8286" spans="2:13" ht="15" customHeight="1" x14ac:dyDescent="0.25">
      <c r="B8286" s="289">
        <v>6390</v>
      </c>
      <c r="C8286" s="261">
        <v>105</v>
      </c>
      <c r="D8286" s="244" t="s">
        <v>12</v>
      </c>
      <c r="E8286" s="263">
        <v>1</v>
      </c>
      <c r="F8286" s="294" t="s">
        <v>126</v>
      </c>
      <c r="G8286" s="294" t="s">
        <v>437</v>
      </c>
      <c r="H8286" s="298">
        <v>1</v>
      </c>
      <c r="M8286" s="274"/>
    </row>
    <row r="8287" spans="2:13" ht="15" customHeight="1" x14ac:dyDescent="0.25">
      <c r="B8287" s="289">
        <v>6391</v>
      </c>
      <c r="C8287" s="261">
        <v>105</v>
      </c>
      <c r="D8287" s="244" t="s">
        <v>12</v>
      </c>
      <c r="E8287" s="263">
        <v>4</v>
      </c>
      <c r="F8287" s="294" t="s">
        <v>126</v>
      </c>
      <c r="G8287" s="294" t="s">
        <v>1464</v>
      </c>
      <c r="H8287" s="298">
        <v>1</v>
      </c>
      <c r="M8287" s="274"/>
    </row>
    <row r="8288" spans="2:13" ht="15" customHeight="1" x14ac:dyDescent="0.25">
      <c r="B8288" s="289">
        <v>6392</v>
      </c>
      <c r="C8288" s="261">
        <v>108</v>
      </c>
      <c r="D8288" s="244" t="s">
        <v>12</v>
      </c>
      <c r="E8288" s="263">
        <v>1</v>
      </c>
      <c r="F8288" s="294" t="s">
        <v>126</v>
      </c>
      <c r="G8288" s="294" t="s">
        <v>426</v>
      </c>
      <c r="H8288" s="298">
        <v>1</v>
      </c>
      <c r="M8288" s="274"/>
    </row>
    <row r="8289" spans="2:13" ht="15" customHeight="1" x14ac:dyDescent="0.25">
      <c r="B8289" s="289">
        <v>6393</v>
      </c>
      <c r="C8289" s="261">
        <v>105</v>
      </c>
      <c r="D8289" s="244" t="s">
        <v>12</v>
      </c>
      <c r="E8289" s="263">
        <v>19</v>
      </c>
      <c r="F8289" s="294" t="s">
        <v>126</v>
      </c>
      <c r="G8289" s="294" t="s">
        <v>1465</v>
      </c>
      <c r="H8289" s="298">
        <v>1</v>
      </c>
      <c r="M8289" s="274"/>
    </row>
    <row r="8290" spans="2:13" ht="15" customHeight="1" x14ac:dyDescent="0.25">
      <c r="B8290" s="289">
        <v>6396</v>
      </c>
      <c r="C8290" s="261">
        <v>107</v>
      </c>
      <c r="D8290" s="244" t="s">
        <v>11</v>
      </c>
      <c r="E8290" s="263">
        <v>30</v>
      </c>
      <c r="F8290" s="294" t="s">
        <v>1466</v>
      </c>
      <c r="G8290" s="294" t="s">
        <v>126</v>
      </c>
      <c r="H8290" s="298">
        <v>1</v>
      </c>
      <c r="M8290" s="274"/>
    </row>
    <row r="8291" spans="2:13" ht="15" customHeight="1" x14ac:dyDescent="0.25">
      <c r="B8291" s="289">
        <v>6397</v>
      </c>
      <c r="C8291" s="261">
        <v>107</v>
      </c>
      <c r="D8291" s="244" t="s">
        <v>12</v>
      </c>
      <c r="E8291" s="263">
        <v>1</v>
      </c>
      <c r="F8291" s="294" t="s">
        <v>126</v>
      </c>
      <c r="G8291" s="294" t="s">
        <v>426</v>
      </c>
      <c r="H8291" s="298">
        <v>1</v>
      </c>
      <c r="M8291" s="274"/>
    </row>
    <row r="8292" spans="2:13" ht="15" customHeight="1" x14ac:dyDescent="0.25">
      <c r="B8292" s="289">
        <v>6398</v>
      </c>
      <c r="C8292" s="261">
        <v>105</v>
      </c>
      <c r="D8292" s="244" t="s">
        <v>12</v>
      </c>
      <c r="E8292" s="263">
        <v>3</v>
      </c>
      <c r="F8292" s="294" t="s">
        <v>126</v>
      </c>
      <c r="G8292" s="294" t="s">
        <v>499</v>
      </c>
      <c r="H8292" s="298">
        <v>1</v>
      </c>
      <c r="M8292" s="274"/>
    </row>
    <row r="8293" spans="2:13" ht="15" customHeight="1" x14ac:dyDescent="0.25">
      <c r="B8293" s="289">
        <v>6400</v>
      </c>
      <c r="C8293" s="261">
        <v>109</v>
      </c>
      <c r="D8293" s="244" t="s">
        <v>12</v>
      </c>
      <c r="E8293" s="263">
        <v>1</v>
      </c>
      <c r="F8293" s="294" t="s">
        <v>126</v>
      </c>
      <c r="G8293" s="294" t="s">
        <v>139</v>
      </c>
      <c r="H8293" s="298">
        <v>1</v>
      </c>
      <c r="M8293" s="274"/>
    </row>
    <row r="8294" spans="2:13" ht="15" customHeight="1" x14ac:dyDescent="0.25">
      <c r="B8294" s="289">
        <v>6401</v>
      </c>
      <c r="C8294" s="261">
        <v>105</v>
      </c>
      <c r="D8294" s="244" t="s">
        <v>12</v>
      </c>
      <c r="E8294" s="263">
        <v>15</v>
      </c>
      <c r="F8294" s="294" t="s">
        <v>126</v>
      </c>
      <c r="G8294" s="294" t="s">
        <v>1467</v>
      </c>
      <c r="H8294" s="298">
        <v>1</v>
      </c>
      <c r="M8294" s="274"/>
    </row>
    <row r="8295" spans="2:13" ht="15" customHeight="1" x14ac:dyDescent="0.25">
      <c r="B8295" s="289">
        <v>6402</v>
      </c>
      <c r="C8295" s="261">
        <v>102</v>
      </c>
      <c r="D8295" s="244" t="s">
        <v>11</v>
      </c>
      <c r="E8295" s="263">
        <v>3</v>
      </c>
      <c r="F8295" s="294" t="s">
        <v>648</v>
      </c>
      <c r="G8295" s="294" t="s">
        <v>126</v>
      </c>
      <c r="H8295" s="298">
        <v>1</v>
      </c>
      <c r="M8295" s="274"/>
    </row>
    <row r="8296" spans="2:13" ht="15" customHeight="1" x14ac:dyDescent="0.25">
      <c r="B8296" s="289">
        <v>6402</v>
      </c>
      <c r="C8296" s="261">
        <v>114</v>
      </c>
      <c r="D8296" s="244" t="s">
        <v>12</v>
      </c>
      <c r="E8296" s="263">
        <v>3</v>
      </c>
      <c r="F8296" s="294" t="s">
        <v>126</v>
      </c>
      <c r="G8296" s="294" t="s">
        <v>623</v>
      </c>
      <c r="H8296" s="298">
        <v>1</v>
      </c>
      <c r="M8296" s="274"/>
    </row>
    <row r="8297" spans="2:13" ht="15" customHeight="1" x14ac:dyDescent="0.25">
      <c r="B8297" s="289">
        <v>6403</v>
      </c>
      <c r="C8297" s="261">
        <v>100</v>
      </c>
      <c r="D8297" s="244" t="s">
        <v>12</v>
      </c>
      <c r="E8297" s="263">
        <v>1</v>
      </c>
      <c r="F8297" s="294" t="s">
        <v>126</v>
      </c>
      <c r="G8297" s="294" t="s">
        <v>426</v>
      </c>
      <c r="H8297" s="298">
        <v>1</v>
      </c>
      <c r="M8297" s="274"/>
    </row>
    <row r="8298" spans="2:13" ht="15" customHeight="1" x14ac:dyDescent="0.25">
      <c r="B8298" s="289">
        <v>6403</v>
      </c>
      <c r="C8298" s="261">
        <v>113</v>
      </c>
      <c r="D8298" s="244" t="s">
        <v>11</v>
      </c>
      <c r="E8298" s="263">
        <v>1</v>
      </c>
      <c r="F8298" s="294" t="s">
        <v>139</v>
      </c>
      <c r="G8298" s="294" t="s">
        <v>126</v>
      </c>
      <c r="H8298" s="298">
        <v>1</v>
      </c>
      <c r="M8298" s="274"/>
    </row>
    <row r="8299" spans="2:13" ht="15" customHeight="1" x14ac:dyDescent="0.25">
      <c r="B8299" s="289">
        <v>6404</v>
      </c>
      <c r="C8299" s="261">
        <v>102</v>
      </c>
      <c r="D8299" s="244" t="s">
        <v>11</v>
      </c>
      <c r="E8299" s="263">
        <v>4</v>
      </c>
      <c r="F8299" s="294" t="s">
        <v>964</v>
      </c>
      <c r="G8299" s="294" t="s">
        <v>126</v>
      </c>
      <c r="H8299" s="298">
        <v>1</v>
      </c>
      <c r="M8299" s="274"/>
    </row>
    <row r="8300" spans="2:13" ht="15" customHeight="1" x14ac:dyDescent="0.25">
      <c r="B8300" s="289">
        <v>6404</v>
      </c>
      <c r="C8300" s="261">
        <v>114</v>
      </c>
      <c r="D8300" s="244" t="s">
        <v>12</v>
      </c>
      <c r="E8300" s="263">
        <v>4</v>
      </c>
      <c r="F8300" s="294" t="s">
        <v>126</v>
      </c>
      <c r="G8300" s="294" t="s">
        <v>1468</v>
      </c>
      <c r="H8300" s="298">
        <v>1</v>
      </c>
      <c r="M8300" s="274"/>
    </row>
    <row r="8301" spans="2:13" ht="15" customHeight="1" x14ac:dyDescent="0.25">
      <c r="B8301" s="289">
        <v>6405</v>
      </c>
      <c r="C8301" s="261">
        <v>102</v>
      </c>
      <c r="D8301" s="244" t="s">
        <v>11</v>
      </c>
      <c r="E8301" s="263">
        <v>3</v>
      </c>
      <c r="F8301" s="294" t="s">
        <v>648</v>
      </c>
      <c r="G8301" s="294" t="s">
        <v>126</v>
      </c>
      <c r="H8301" s="298">
        <v>1</v>
      </c>
      <c r="M8301" s="274"/>
    </row>
    <row r="8302" spans="2:13" ht="15" customHeight="1" x14ac:dyDescent="0.25">
      <c r="B8302" s="289">
        <v>6406</v>
      </c>
      <c r="C8302" s="261">
        <v>102</v>
      </c>
      <c r="D8302" s="244" t="s">
        <v>11</v>
      </c>
      <c r="E8302" s="263">
        <v>1</v>
      </c>
      <c r="F8302" s="294" t="s">
        <v>235</v>
      </c>
      <c r="G8302" s="294" t="s">
        <v>126</v>
      </c>
      <c r="H8302" s="298">
        <v>1</v>
      </c>
      <c r="M8302" s="274"/>
    </row>
    <row r="8303" spans="2:13" ht="15" customHeight="1" x14ac:dyDescent="0.25">
      <c r="B8303" s="289">
        <v>6406</v>
      </c>
      <c r="C8303" s="261">
        <v>105</v>
      </c>
      <c r="D8303" s="244" t="s">
        <v>12</v>
      </c>
      <c r="E8303" s="263">
        <v>3</v>
      </c>
      <c r="F8303" s="294" t="s">
        <v>126</v>
      </c>
      <c r="G8303" s="294" t="s">
        <v>1469</v>
      </c>
      <c r="H8303" s="298">
        <v>1</v>
      </c>
      <c r="M8303" s="274"/>
    </row>
    <row r="8304" spans="2:13" ht="15" customHeight="1" x14ac:dyDescent="0.25">
      <c r="B8304" s="289">
        <v>6406</v>
      </c>
      <c r="C8304" s="261">
        <v>112</v>
      </c>
      <c r="D8304" s="244" t="s">
        <v>11</v>
      </c>
      <c r="E8304" s="263">
        <v>2</v>
      </c>
      <c r="F8304" s="294" t="s">
        <v>136</v>
      </c>
      <c r="G8304" s="294" t="s">
        <v>126</v>
      </c>
      <c r="H8304" s="298">
        <v>1</v>
      </c>
      <c r="M8304" s="274"/>
    </row>
    <row r="8305" spans="2:13" ht="15" customHeight="1" x14ac:dyDescent="0.25">
      <c r="B8305" s="289">
        <v>6407</v>
      </c>
      <c r="C8305" s="261">
        <v>102</v>
      </c>
      <c r="D8305" s="244" t="s">
        <v>11</v>
      </c>
      <c r="E8305" s="263">
        <v>1</v>
      </c>
      <c r="F8305" s="294" t="s">
        <v>235</v>
      </c>
      <c r="G8305" s="294" t="s">
        <v>126</v>
      </c>
      <c r="H8305" s="298">
        <v>1</v>
      </c>
      <c r="M8305" s="274"/>
    </row>
    <row r="8306" spans="2:13" ht="15" customHeight="1" x14ac:dyDescent="0.25">
      <c r="B8306" s="289">
        <v>6407</v>
      </c>
      <c r="C8306" s="261">
        <v>105</v>
      </c>
      <c r="D8306" s="244" t="s">
        <v>12</v>
      </c>
      <c r="E8306" s="263">
        <v>21</v>
      </c>
      <c r="F8306" s="294" t="s">
        <v>126</v>
      </c>
      <c r="G8306" s="294" t="s">
        <v>1470</v>
      </c>
      <c r="H8306" s="298">
        <v>1</v>
      </c>
      <c r="M8306" s="274"/>
    </row>
    <row r="8307" spans="2:13" ht="15" customHeight="1" x14ac:dyDescent="0.25">
      <c r="B8307" s="289">
        <v>6408</v>
      </c>
      <c r="C8307" s="261">
        <v>102</v>
      </c>
      <c r="D8307" s="244" t="s">
        <v>11</v>
      </c>
      <c r="E8307" s="263">
        <v>1</v>
      </c>
      <c r="F8307" s="294" t="s">
        <v>235</v>
      </c>
      <c r="G8307" s="294" t="s">
        <v>126</v>
      </c>
      <c r="H8307" s="298">
        <v>1</v>
      </c>
      <c r="M8307" s="274"/>
    </row>
    <row r="8308" spans="2:13" ht="15" customHeight="1" x14ac:dyDescent="0.25">
      <c r="B8308" s="289">
        <v>6408</v>
      </c>
      <c r="C8308" s="261">
        <v>114</v>
      </c>
      <c r="D8308" s="244" t="s">
        <v>12</v>
      </c>
      <c r="E8308" s="263">
        <v>1</v>
      </c>
      <c r="F8308" s="294" t="s">
        <v>126</v>
      </c>
      <c r="G8308" s="294" t="s">
        <v>437</v>
      </c>
      <c r="H8308" s="298">
        <v>1</v>
      </c>
      <c r="M8308" s="274"/>
    </row>
    <row r="8309" spans="2:13" ht="15" customHeight="1" x14ac:dyDescent="0.25">
      <c r="B8309" s="289">
        <v>6409</v>
      </c>
      <c r="C8309" s="261">
        <v>103</v>
      </c>
      <c r="D8309" s="244" t="s">
        <v>11</v>
      </c>
      <c r="E8309" s="263">
        <v>4</v>
      </c>
      <c r="F8309" s="294" t="s">
        <v>1471</v>
      </c>
      <c r="G8309" s="294" t="s">
        <v>126</v>
      </c>
      <c r="H8309" s="298">
        <v>1</v>
      </c>
      <c r="M8309" s="274"/>
    </row>
    <row r="8310" spans="2:13" ht="15" customHeight="1" x14ac:dyDescent="0.25">
      <c r="B8310" s="289">
        <v>6409</v>
      </c>
      <c r="C8310" s="261">
        <v>111</v>
      </c>
      <c r="D8310" s="244" t="s">
        <v>12</v>
      </c>
      <c r="E8310" s="263">
        <v>1</v>
      </c>
      <c r="F8310" s="294" t="s">
        <v>126</v>
      </c>
      <c r="G8310" s="294" t="s">
        <v>426</v>
      </c>
      <c r="H8310" s="298">
        <v>1</v>
      </c>
      <c r="M8310" s="274"/>
    </row>
    <row r="8311" spans="2:13" ht="15" customHeight="1" x14ac:dyDescent="0.25">
      <c r="B8311" s="289">
        <v>6409</v>
      </c>
      <c r="C8311" s="261">
        <v>114</v>
      </c>
      <c r="D8311" s="244" t="s">
        <v>12</v>
      </c>
      <c r="E8311" s="263">
        <v>3</v>
      </c>
      <c r="F8311" s="294" t="s">
        <v>126</v>
      </c>
      <c r="G8311" s="294" t="s">
        <v>1472</v>
      </c>
      <c r="H8311" s="298">
        <v>1</v>
      </c>
      <c r="M8311" s="274"/>
    </row>
    <row r="8312" spans="2:13" ht="15" customHeight="1" x14ac:dyDescent="0.25">
      <c r="B8312" s="289">
        <v>6410</v>
      </c>
      <c r="C8312" s="261">
        <v>104</v>
      </c>
      <c r="D8312" s="244" t="s">
        <v>12</v>
      </c>
      <c r="E8312" s="263">
        <v>2</v>
      </c>
      <c r="F8312" s="294" t="s">
        <v>126</v>
      </c>
      <c r="G8312" s="294" t="s">
        <v>136</v>
      </c>
      <c r="H8312" s="298">
        <v>1</v>
      </c>
      <c r="M8312" s="274"/>
    </row>
    <row r="8313" spans="2:13" ht="15" customHeight="1" x14ac:dyDescent="0.25">
      <c r="B8313" s="289">
        <v>6411</v>
      </c>
      <c r="C8313" s="261">
        <v>99</v>
      </c>
      <c r="D8313" s="244" t="s">
        <v>12</v>
      </c>
      <c r="E8313" s="263">
        <v>8</v>
      </c>
      <c r="F8313" s="294" t="s">
        <v>126</v>
      </c>
      <c r="G8313" s="294" t="s">
        <v>1473</v>
      </c>
      <c r="H8313" s="298">
        <v>1</v>
      </c>
      <c r="M8313" s="274"/>
    </row>
    <row r="8314" spans="2:13" ht="15" customHeight="1" x14ac:dyDescent="0.25">
      <c r="B8314" s="289">
        <v>6411</v>
      </c>
      <c r="C8314" s="261">
        <v>105</v>
      </c>
      <c r="D8314" s="244" t="s">
        <v>12</v>
      </c>
      <c r="E8314" s="263">
        <v>1</v>
      </c>
      <c r="F8314" s="294" t="s">
        <v>126</v>
      </c>
      <c r="G8314" s="294" t="s">
        <v>437</v>
      </c>
      <c r="H8314" s="298">
        <v>1</v>
      </c>
      <c r="M8314" s="274"/>
    </row>
    <row r="8315" spans="2:13" ht="15" customHeight="1" x14ac:dyDescent="0.25">
      <c r="B8315" s="289">
        <v>6412</v>
      </c>
      <c r="C8315" s="261">
        <v>105</v>
      </c>
      <c r="D8315" s="244" t="s">
        <v>12</v>
      </c>
      <c r="E8315" s="263">
        <v>34</v>
      </c>
      <c r="F8315" s="294" t="s">
        <v>126</v>
      </c>
      <c r="G8315" s="294" t="s">
        <v>1474</v>
      </c>
      <c r="H8315" s="298">
        <v>1</v>
      </c>
      <c r="M8315" s="274"/>
    </row>
    <row r="8316" spans="2:13" ht="15" customHeight="1" x14ac:dyDescent="0.25">
      <c r="B8316" s="289">
        <v>6413</v>
      </c>
      <c r="C8316" s="261">
        <v>104</v>
      </c>
      <c r="D8316" s="244" t="s">
        <v>12</v>
      </c>
      <c r="E8316" s="263">
        <v>1</v>
      </c>
      <c r="F8316" s="294" t="s">
        <v>126</v>
      </c>
      <c r="G8316" s="294" t="s">
        <v>426</v>
      </c>
      <c r="H8316" s="298">
        <v>1</v>
      </c>
      <c r="M8316" s="274"/>
    </row>
    <row r="8317" spans="2:13" ht="15" customHeight="1" x14ac:dyDescent="0.25">
      <c r="B8317" s="289">
        <v>6413</v>
      </c>
      <c r="C8317" s="261">
        <v>113</v>
      </c>
      <c r="D8317" s="244" t="s">
        <v>11</v>
      </c>
      <c r="E8317" s="263">
        <v>1</v>
      </c>
      <c r="F8317" s="294" t="s">
        <v>139</v>
      </c>
      <c r="G8317" s="294" t="s">
        <v>126</v>
      </c>
      <c r="H8317" s="298">
        <v>1</v>
      </c>
      <c r="M8317" s="274"/>
    </row>
    <row r="8318" spans="2:13" ht="15" customHeight="1" x14ac:dyDescent="0.25">
      <c r="B8318" s="289">
        <v>6414</v>
      </c>
      <c r="C8318" s="261">
        <v>102</v>
      </c>
      <c r="D8318" s="244" t="s">
        <v>12</v>
      </c>
      <c r="E8318" s="263">
        <v>4</v>
      </c>
      <c r="F8318" s="294" t="s">
        <v>126</v>
      </c>
      <c r="G8318" s="294" t="s">
        <v>1475</v>
      </c>
      <c r="H8318" s="298">
        <v>1</v>
      </c>
      <c r="M8318" s="274"/>
    </row>
    <row r="8319" spans="2:13" ht="15" customHeight="1" x14ac:dyDescent="0.25">
      <c r="B8319" s="289">
        <v>6414</v>
      </c>
      <c r="C8319" s="261">
        <v>105</v>
      </c>
      <c r="D8319" s="244" t="s">
        <v>12</v>
      </c>
      <c r="E8319" s="263">
        <v>9</v>
      </c>
      <c r="F8319" s="294" t="s">
        <v>126</v>
      </c>
      <c r="G8319" s="294" t="s">
        <v>1476</v>
      </c>
      <c r="H8319" s="298">
        <v>1</v>
      </c>
      <c r="M8319" s="274"/>
    </row>
    <row r="8320" spans="2:13" ht="15" customHeight="1" x14ac:dyDescent="0.25">
      <c r="B8320" s="289">
        <v>6415</v>
      </c>
      <c r="C8320" s="261">
        <v>103</v>
      </c>
      <c r="D8320" s="244" t="s">
        <v>12</v>
      </c>
      <c r="E8320" s="263">
        <v>3</v>
      </c>
      <c r="F8320" s="294" t="s">
        <v>126</v>
      </c>
      <c r="G8320" s="294" t="s">
        <v>1477</v>
      </c>
      <c r="H8320" s="298">
        <v>1</v>
      </c>
      <c r="M8320" s="274"/>
    </row>
    <row r="8321" spans="2:13" ht="15" customHeight="1" x14ac:dyDescent="0.25">
      <c r="B8321" s="289">
        <v>6415</v>
      </c>
      <c r="C8321" s="261">
        <v>111</v>
      </c>
      <c r="D8321" s="244" t="s">
        <v>11</v>
      </c>
      <c r="E8321" s="263">
        <v>3</v>
      </c>
      <c r="F8321" s="294" t="s">
        <v>1478</v>
      </c>
      <c r="G8321" s="294" t="s">
        <v>126</v>
      </c>
      <c r="H8321" s="298">
        <v>1</v>
      </c>
      <c r="M8321" s="274"/>
    </row>
    <row r="8322" spans="2:13" ht="15" customHeight="1" x14ac:dyDescent="0.25">
      <c r="B8322" s="289">
        <v>6416</v>
      </c>
      <c r="C8322" s="261">
        <v>105</v>
      </c>
      <c r="D8322" s="244" t="s">
        <v>11</v>
      </c>
      <c r="E8322" s="263">
        <v>1</v>
      </c>
      <c r="F8322" s="294" t="s">
        <v>437</v>
      </c>
      <c r="G8322" s="294" t="s">
        <v>126</v>
      </c>
      <c r="H8322" s="298">
        <v>1</v>
      </c>
      <c r="M8322" s="274"/>
    </row>
    <row r="8323" spans="2:13" ht="15" customHeight="1" x14ac:dyDescent="0.25">
      <c r="B8323" s="289">
        <v>6416</v>
      </c>
      <c r="C8323" s="261">
        <v>114</v>
      </c>
      <c r="D8323" s="244" t="s">
        <v>12</v>
      </c>
      <c r="E8323" s="263">
        <v>1</v>
      </c>
      <c r="F8323" s="294" t="s">
        <v>126</v>
      </c>
      <c r="G8323" s="294" t="s">
        <v>437</v>
      </c>
      <c r="H8323" s="298">
        <v>1</v>
      </c>
      <c r="M8323" s="274"/>
    </row>
    <row r="8324" spans="2:13" ht="15" customHeight="1" x14ac:dyDescent="0.25">
      <c r="B8324" s="289">
        <v>6417</v>
      </c>
      <c r="C8324" s="261">
        <v>104</v>
      </c>
      <c r="D8324" s="244" t="s">
        <v>11</v>
      </c>
      <c r="E8324" s="263">
        <v>3</v>
      </c>
      <c r="F8324" s="294" t="s">
        <v>463</v>
      </c>
      <c r="G8324" s="294" t="s">
        <v>126</v>
      </c>
      <c r="H8324" s="298">
        <v>1</v>
      </c>
      <c r="M8324" s="274"/>
    </row>
    <row r="8325" spans="2:13" ht="15" customHeight="1" x14ac:dyDescent="0.25">
      <c r="B8325" s="289">
        <v>6417</v>
      </c>
      <c r="C8325" s="261">
        <v>118</v>
      </c>
      <c r="D8325" s="244" t="s">
        <v>12</v>
      </c>
      <c r="E8325" s="263">
        <v>3</v>
      </c>
      <c r="F8325" s="294" t="s">
        <v>126</v>
      </c>
      <c r="G8325" s="294" t="s">
        <v>1479</v>
      </c>
      <c r="H8325" s="298">
        <v>1</v>
      </c>
      <c r="M8325" s="274"/>
    </row>
    <row r="8326" spans="2:13" ht="15" customHeight="1" x14ac:dyDescent="0.25">
      <c r="B8326" s="289">
        <v>6418</v>
      </c>
      <c r="C8326" s="261">
        <v>102</v>
      </c>
      <c r="D8326" s="244" t="s">
        <v>12</v>
      </c>
      <c r="E8326" s="263">
        <v>1</v>
      </c>
      <c r="F8326" s="294" t="s">
        <v>126</v>
      </c>
      <c r="G8326" s="294" t="s">
        <v>139</v>
      </c>
      <c r="H8326" s="298">
        <v>1</v>
      </c>
      <c r="M8326" s="274"/>
    </row>
    <row r="8327" spans="2:13" ht="15" customHeight="1" x14ac:dyDescent="0.25">
      <c r="B8327" s="289">
        <v>6418</v>
      </c>
      <c r="C8327" s="261">
        <v>105</v>
      </c>
      <c r="D8327" s="244" t="s">
        <v>11</v>
      </c>
      <c r="E8327" s="263">
        <v>3</v>
      </c>
      <c r="F8327" s="294" t="s">
        <v>499</v>
      </c>
      <c r="G8327" s="294" t="s">
        <v>126</v>
      </c>
      <c r="H8327" s="298">
        <v>1</v>
      </c>
      <c r="M8327" s="274"/>
    </row>
    <row r="8328" spans="2:13" ht="15" customHeight="1" x14ac:dyDescent="0.25">
      <c r="B8328" s="289">
        <v>6418</v>
      </c>
      <c r="C8328" s="261">
        <v>114</v>
      </c>
      <c r="D8328" s="244" t="s">
        <v>11</v>
      </c>
      <c r="E8328" s="263">
        <v>1</v>
      </c>
      <c r="F8328" s="294" t="s">
        <v>426</v>
      </c>
      <c r="G8328" s="294" t="s">
        <v>126</v>
      </c>
      <c r="H8328" s="298">
        <v>1</v>
      </c>
      <c r="M8328" s="274"/>
    </row>
    <row r="8329" spans="2:13" ht="15" customHeight="1" x14ac:dyDescent="0.25">
      <c r="B8329" s="289">
        <v>6419</v>
      </c>
      <c r="C8329" s="261">
        <v>102</v>
      </c>
      <c r="D8329" s="244" t="s">
        <v>12</v>
      </c>
      <c r="E8329" s="263">
        <v>1</v>
      </c>
      <c r="F8329" s="294" t="s">
        <v>126</v>
      </c>
      <c r="G8329" s="294" t="s">
        <v>139</v>
      </c>
      <c r="H8329" s="298">
        <v>1</v>
      </c>
      <c r="M8329" s="274"/>
    </row>
    <row r="8330" spans="2:13" ht="15" customHeight="1" x14ac:dyDescent="0.25">
      <c r="B8330" s="289">
        <v>6419</v>
      </c>
      <c r="C8330" s="261">
        <v>106</v>
      </c>
      <c r="D8330" s="244" t="s">
        <v>12</v>
      </c>
      <c r="E8330" s="263">
        <v>3</v>
      </c>
      <c r="F8330" s="294" t="s">
        <v>126</v>
      </c>
      <c r="G8330" s="294" t="s">
        <v>253</v>
      </c>
      <c r="H8330" s="298">
        <v>1</v>
      </c>
      <c r="M8330" s="274"/>
    </row>
    <row r="8331" spans="2:13" ht="15" customHeight="1" x14ac:dyDescent="0.25">
      <c r="B8331" s="289">
        <v>6419</v>
      </c>
      <c r="C8331" s="261">
        <v>113</v>
      </c>
      <c r="D8331" s="244" t="s">
        <v>11</v>
      </c>
      <c r="E8331" s="263">
        <v>4</v>
      </c>
      <c r="F8331" s="294" t="s">
        <v>1480</v>
      </c>
      <c r="G8331" s="294" t="s">
        <v>126</v>
      </c>
      <c r="H8331" s="298">
        <v>1</v>
      </c>
      <c r="M8331" s="274"/>
    </row>
    <row r="8332" spans="2:13" ht="15" customHeight="1" x14ac:dyDescent="0.25">
      <c r="B8332" s="289">
        <v>6420</v>
      </c>
      <c r="C8332" s="261">
        <v>102</v>
      </c>
      <c r="D8332" s="244" t="s">
        <v>12</v>
      </c>
      <c r="E8332" s="263">
        <v>1</v>
      </c>
      <c r="F8332" s="294" t="s">
        <v>126</v>
      </c>
      <c r="G8332" s="294" t="s">
        <v>139</v>
      </c>
      <c r="H8332" s="298">
        <v>1</v>
      </c>
      <c r="M8332" s="274"/>
    </row>
    <row r="8333" spans="2:13" ht="15" customHeight="1" x14ac:dyDescent="0.25">
      <c r="B8333" s="289">
        <v>6420</v>
      </c>
      <c r="C8333" s="261">
        <v>105</v>
      </c>
      <c r="D8333" s="244" t="s">
        <v>11</v>
      </c>
      <c r="E8333" s="263">
        <v>3</v>
      </c>
      <c r="F8333" s="294" t="s">
        <v>499</v>
      </c>
      <c r="G8333" s="294" t="s">
        <v>126</v>
      </c>
      <c r="H8333" s="298">
        <v>1</v>
      </c>
      <c r="M8333" s="274"/>
    </row>
    <row r="8334" spans="2:13" ht="15" customHeight="1" x14ac:dyDescent="0.25">
      <c r="B8334" s="289">
        <v>6421</v>
      </c>
      <c r="C8334" s="261">
        <v>103</v>
      </c>
      <c r="D8334" s="244" t="s">
        <v>12</v>
      </c>
      <c r="E8334" s="263">
        <v>1</v>
      </c>
      <c r="F8334" s="294" t="s">
        <v>126</v>
      </c>
      <c r="G8334" s="294" t="s">
        <v>139</v>
      </c>
      <c r="H8334" s="298">
        <v>1</v>
      </c>
      <c r="M8334" s="274"/>
    </row>
    <row r="8335" spans="2:13" ht="15" customHeight="1" x14ac:dyDescent="0.25">
      <c r="B8335" s="289">
        <v>6421</v>
      </c>
      <c r="C8335" s="261">
        <v>113</v>
      </c>
      <c r="D8335" s="244" t="s">
        <v>11</v>
      </c>
      <c r="E8335" s="263">
        <v>1</v>
      </c>
      <c r="F8335" s="294" t="s">
        <v>139</v>
      </c>
      <c r="G8335" s="294" t="s">
        <v>126</v>
      </c>
      <c r="H8335" s="298">
        <v>1</v>
      </c>
      <c r="M8335" s="274"/>
    </row>
    <row r="8336" spans="2:13" ht="15" customHeight="1" x14ac:dyDescent="0.25">
      <c r="B8336" s="289">
        <v>6422</v>
      </c>
      <c r="C8336" s="261">
        <v>105</v>
      </c>
      <c r="D8336" s="244" t="s">
        <v>12</v>
      </c>
      <c r="E8336" s="263">
        <v>40</v>
      </c>
      <c r="F8336" s="294" t="s">
        <v>126</v>
      </c>
      <c r="G8336" s="294" t="s">
        <v>1481</v>
      </c>
      <c r="H8336" s="298">
        <v>1</v>
      </c>
      <c r="M8336" s="274"/>
    </row>
    <row r="8337" spans="2:13" ht="15" customHeight="1" x14ac:dyDescent="0.25">
      <c r="B8337" s="289">
        <v>6422</v>
      </c>
      <c r="C8337" s="261">
        <v>111</v>
      </c>
      <c r="D8337" s="244" t="s">
        <v>11</v>
      </c>
      <c r="E8337" s="263">
        <v>1</v>
      </c>
      <c r="F8337" s="294" t="s">
        <v>235</v>
      </c>
      <c r="G8337" s="294" t="s">
        <v>126</v>
      </c>
      <c r="H8337" s="298">
        <v>1</v>
      </c>
      <c r="M8337" s="274"/>
    </row>
    <row r="8338" spans="2:13" ht="15" customHeight="1" x14ac:dyDescent="0.25">
      <c r="B8338" s="289">
        <v>6424</v>
      </c>
      <c r="C8338" s="261">
        <v>105</v>
      </c>
      <c r="D8338" s="244" t="s">
        <v>12</v>
      </c>
      <c r="E8338" s="263">
        <v>2</v>
      </c>
      <c r="F8338" s="294" t="s">
        <v>126</v>
      </c>
      <c r="G8338" s="294" t="s">
        <v>341</v>
      </c>
      <c r="H8338" s="298">
        <v>1</v>
      </c>
      <c r="M8338" s="274"/>
    </row>
    <row r="8339" spans="2:13" ht="15" customHeight="1" x14ac:dyDescent="0.25">
      <c r="B8339" s="289">
        <v>6424</v>
      </c>
      <c r="C8339" s="261">
        <v>112</v>
      </c>
      <c r="D8339" s="244" t="s">
        <v>11</v>
      </c>
      <c r="E8339" s="263">
        <v>2</v>
      </c>
      <c r="F8339" s="294" t="s">
        <v>136</v>
      </c>
      <c r="G8339" s="294" t="s">
        <v>126</v>
      </c>
      <c r="H8339" s="298">
        <v>1</v>
      </c>
      <c r="M8339" s="274"/>
    </row>
    <row r="8340" spans="2:13" ht="15" customHeight="1" x14ac:dyDescent="0.25">
      <c r="B8340" s="289">
        <v>6425</v>
      </c>
      <c r="C8340" s="261">
        <v>105</v>
      </c>
      <c r="D8340" s="244" t="s">
        <v>12</v>
      </c>
      <c r="E8340" s="263">
        <v>2</v>
      </c>
      <c r="F8340" s="294" t="s">
        <v>126</v>
      </c>
      <c r="G8340" s="294" t="s">
        <v>233</v>
      </c>
      <c r="H8340" s="298">
        <v>1</v>
      </c>
      <c r="M8340" s="274"/>
    </row>
    <row r="8341" spans="2:13" ht="15" customHeight="1" x14ac:dyDescent="0.25">
      <c r="B8341" s="289">
        <v>6425</v>
      </c>
      <c r="C8341" s="261">
        <v>112</v>
      </c>
      <c r="D8341" s="244" t="s">
        <v>11</v>
      </c>
      <c r="E8341" s="263">
        <v>2</v>
      </c>
      <c r="F8341" s="294" t="s">
        <v>136</v>
      </c>
      <c r="G8341" s="294" t="s">
        <v>126</v>
      </c>
      <c r="H8341" s="298">
        <v>1</v>
      </c>
      <c r="M8341" s="274"/>
    </row>
    <row r="8342" spans="2:13" ht="15" customHeight="1" x14ac:dyDescent="0.25">
      <c r="B8342" s="289">
        <v>6426</v>
      </c>
      <c r="C8342" s="261">
        <v>105</v>
      </c>
      <c r="D8342" s="244" t="s">
        <v>12</v>
      </c>
      <c r="E8342" s="263">
        <v>1</v>
      </c>
      <c r="F8342" s="294" t="s">
        <v>126</v>
      </c>
      <c r="G8342" s="294" t="s">
        <v>437</v>
      </c>
      <c r="H8342" s="298">
        <v>1</v>
      </c>
      <c r="M8342" s="274"/>
    </row>
    <row r="8343" spans="2:13" ht="15" customHeight="1" x14ac:dyDescent="0.25">
      <c r="B8343" s="289">
        <v>6427</v>
      </c>
      <c r="C8343" s="261">
        <v>97</v>
      </c>
      <c r="D8343" s="244" t="s">
        <v>11</v>
      </c>
      <c r="E8343" s="263">
        <v>26</v>
      </c>
      <c r="F8343" s="294" t="s">
        <v>1482</v>
      </c>
      <c r="G8343" s="294" t="s">
        <v>126</v>
      </c>
      <c r="H8343" s="298">
        <v>1</v>
      </c>
      <c r="M8343" s="274"/>
    </row>
    <row r="8344" spans="2:13" ht="15" customHeight="1" x14ac:dyDescent="0.25">
      <c r="B8344" s="289">
        <v>6428</v>
      </c>
      <c r="C8344" s="261">
        <v>106</v>
      </c>
      <c r="D8344" s="244" t="s">
        <v>11</v>
      </c>
      <c r="E8344" s="263">
        <v>4</v>
      </c>
      <c r="F8344" s="294" t="s">
        <v>1483</v>
      </c>
      <c r="G8344" s="294" t="s">
        <v>126</v>
      </c>
      <c r="H8344" s="298">
        <v>1</v>
      </c>
      <c r="M8344" s="274"/>
    </row>
    <row r="8345" spans="2:13" ht="15" customHeight="1" x14ac:dyDescent="0.25">
      <c r="B8345" s="289">
        <v>6429</v>
      </c>
      <c r="C8345" s="261">
        <v>104</v>
      </c>
      <c r="D8345" s="244" t="s">
        <v>11</v>
      </c>
      <c r="E8345" s="263">
        <v>10</v>
      </c>
      <c r="F8345" s="294" t="s">
        <v>1484</v>
      </c>
      <c r="G8345" s="294" t="s">
        <v>126</v>
      </c>
      <c r="H8345" s="298">
        <v>1</v>
      </c>
      <c r="M8345" s="274"/>
    </row>
    <row r="8346" spans="2:13" ht="15" customHeight="1" x14ac:dyDescent="0.25">
      <c r="B8346" s="289">
        <v>6430</v>
      </c>
      <c r="C8346" s="261">
        <v>104</v>
      </c>
      <c r="D8346" s="244" t="s">
        <v>11</v>
      </c>
      <c r="E8346" s="263">
        <v>2</v>
      </c>
      <c r="F8346" s="294" t="s">
        <v>214</v>
      </c>
      <c r="G8346" s="294" t="s">
        <v>126</v>
      </c>
      <c r="H8346" s="298">
        <v>1</v>
      </c>
      <c r="M8346" s="274"/>
    </row>
    <row r="8347" spans="2:13" ht="15" customHeight="1" x14ac:dyDescent="0.25">
      <c r="B8347" s="289">
        <v>6431</v>
      </c>
      <c r="C8347" s="261">
        <v>106</v>
      </c>
      <c r="D8347" s="244" t="s">
        <v>11</v>
      </c>
      <c r="E8347" s="263">
        <v>1</v>
      </c>
      <c r="F8347" s="294" t="s">
        <v>426</v>
      </c>
      <c r="G8347" s="294" t="s">
        <v>126</v>
      </c>
      <c r="H8347" s="298">
        <v>1</v>
      </c>
      <c r="M8347" s="274"/>
    </row>
    <row r="8348" spans="2:13" ht="15" customHeight="1" x14ac:dyDescent="0.25">
      <c r="B8348" s="289">
        <v>6432</v>
      </c>
      <c r="C8348" s="261">
        <v>105</v>
      </c>
      <c r="D8348" s="244" t="s">
        <v>12</v>
      </c>
      <c r="E8348" s="263">
        <v>1</v>
      </c>
      <c r="F8348" s="294" t="s">
        <v>126</v>
      </c>
      <c r="G8348" s="294" t="s">
        <v>437</v>
      </c>
      <c r="H8348" s="298">
        <v>1</v>
      </c>
      <c r="M8348" s="274"/>
    </row>
    <row r="8349" spans="2:13" ht="15" customHeight="1" x14ac:dyDescent="0.25">
      <c r="B8349" s="289">
        <v>6433</v>
      </c>
      <c r="C8349" s="261">
        <v>105</v>
      </c>
      <c r="D8349" s="244" t="s">
        <v>12</v>
      </c>
      <c r="E8349" s="263">
        <v>1</v>
      </c>
      <c r="F8349" s="294" t="s">
        <v>126</v>
      </c>
      <c r="G8349" s="294" t="s">
        <v>437</v>
      </c>
      <c r="H8349" s="298">
        <v>1</v>
      </c>
      <c r="M8349" s="274"/>
    </row>
    <row r="8350" spans="2:13" ht="15" customHeight="1" x14ac:dyDescent="0.25">
      <c r="B8350" s="289">
        <v>6434</v>
      </c>
      <c r="C8350" s="261">
        <v>105</v>
      </c>
      <c r="D8350" s="244" t="s">
        <v>12</v>
      </c>
      <c r="E8350" s="263">
        <v>2</v>
      </c>
      <c r="F8350" s="294" t="s">
        <v>126</v>
      </c>
      <c r="G8350" s="294" t="s">
        <v>441</v>
      </c>
      <c r="H8350" s="298">
        <v>1</v>
      </c>
      <c r="M8350" s="274"/>
    </row>
    <row r="8351" spans="2:13" ht="15" customHeight="1" x14ac:dyDescent="0.25">
      <c r="B8351" s="289">
        <v>6435</v>
      </c>
      <c r="C8351" s="261">
        <v>105</v>
      </c>
      <c r="D8351" s="244" t="s">
        <v>12</v>
      </c>
      <c r="E8351" s="263">
        <v>2</v>
      </c>
      <c r="F8351" s="294" t="s">
        <v>126</v>
      </c>
      <c r="G8351" s="294" t="s">
        <v>441</v>
      </c>
      <c r="H8351" s="298">
        <v>1</v>
      </c>
      <c r="M8351" s="274"/>
    </row>
    <row r="8352" spans="2:13" ht="15" customHeight="1" x14ac:dyDescent="0.25">
      <c r="B8352" s="289">
        <v>6437</v>
      </c>
      <c r="C8352" s="261">
        <v>102</v>
      </c>
      <c r="D8352" s="244" t="s">
        <v>11</v>
      </c>
      <c r="E8352" s="263">
        <v>1</v>
      </c>
      <c r="F8352" s="294" t="s">
        <v>235</v>
      </c>
      <c r="G8352" s="294" t="s">
        <v>126</v>
      </c>
      <c r="H8352" s="298">
        <v>1</v>
      </c>
      <c r="M8352" s="274"/>
    </row>
    <row r="8353" spans="2:13" ht="15" customHeight="1" x14ac:dyDescent="0.25">
      <c r="B8353" s="289">
        <v>6437</v>
      </c>
      <c r="C8353" s="261">
        <v>115</v>
      </c>
      <c r="D8353" s="244" t="s">
        <v>12</v>
      </c>
      <c r="E8353" s="263">
        <v>1</v>
      </c>
      <c r="F8353" s="294" t="s">
        <v>126</v>
      </c>
      <c r="G8353" s="294" t="s">
        <v>426</v>
      </c>
      <c r="H8353" s="298">
        <v>1</v>
      </c>
      <c r="M8353" s="274"/>
    </row>
    <row r="8354" spans="2:13" ht="15" customHeight="1" x14ac:dyDescent="0.25">
      <c r="B8354" s="289">
        <v>6438</v>
      </c>
      <c r="C8354" s="261">
        <v>104</v>
      </c>
      <c r="D8354" s="244" t="s">
        <v>11</v>
      </c>
      <c r="E8354" s="263">
        <v>3</v>
      </c>
      <c r="F8354" s="294" t="s">
        <v>463</v>
      </c>
      <c r="G8354" s="294" t="s">
        <v>126</v>
      </c>
      <c r="H8354" s="298">
        <v>1</v>
      </c>
      <c r="M8354" s="274"/>
    </row>
    <row r="8355" spans="2:13" ht="15" customHeight="1" x14ac:dyDescent="0.25">
      <c r="B8355" s="289">
        <v>6438</v>
      </c>
      <c r="C8355" s="261">
        <v>115</v>
      </c>
      <c r="D8355" s="244" t="s">
        <v>12</v>
      </c>
      <c r="E8355" s="263">
        <v>3</v>
      </c>
      <c r="F8355" s="294" t="s">
        <v>126</v>
      </c>
      <c r="G8355" s="294" t="s">
        <v>848</v>
      </c>
      <c r="H8355" s="298">
        <v>1</v>
      </c>
      <c r="M8355" s="274"/>
    </row>
    <row r="8356" spans="2:13" ht="15" customHeight="1" x14ac:dyDescent="0.25">
      <c r="B8356" s="289">
        <v>6440</v>
      </c>
      <c r="C8356" s="261">
        <v>98</v>
      </c>
      <c r="D8356" s="244" t="s">
        <v>11</v>
      </c>
      <c r="E8356" s="263">
        <v>16</v>
      </c>
      <c r="F8356" s="294" t="s">
        <v>1485</v>
      </c>
      <c r="G8356" s="294" t="s">
        <v>126</v>
      </c>
      <c r="H8356" s="298">
        <v>1</v>
      </c>
      <c r="M8356" s="274"/>
    </row>
    <row r="8357" spans="2:13" ht="15" customHeight="1" x14ac:dyDescent="0.25">
      <c r="B8357" s="289">
        <v>6441</v>
      </c>
      <c r="C8357" s="261">
        <v>90</v>
      </c>
      <c r="D8357" s="244" t="s">
        <v>11</v>
      </c>
      <c r="E8357" s="263">
        <v>19</v>
      </c>
      <c r="F8357" s="294" t="s">
        <v>1486</v>
      </c>
      <c r="G8357" s="294" t="s">
        <v>126</v>
      </c>
      <c r="H8357" s="298">
        <v>1</v>
      </c>
      <c r="M8357" s="274"/>
    </row>
    <row r="8358" spans="2:13" ht="15" customHeight="1" x14ac:dyDescent="0.25">
      <c r="B8358" s="289">
        <v>6442</v>
      </c>
      <c r="C8358" s="261">
        <v>91</v>
      </c>
      <c r="D8358" s="244" t="s">
        <v>11</v>
      </c>
      <c r="E8358" s="263">
        <v>26</v>
      </c>
      <c r="F8358" s="294" t="s">
        <v>1487</v>
      </c>
      <c r="G8358" s="294" t="s">
        <v>126</v>
      </c>
      <c r="H8358" s="298">
        <v>1</v>
      </c>
      <c r="M8358" s="274"/>
    </row>
    <row r="8359" spans="2:13" ht="15" customHeight="1" x14ac:dyDescent="0.25">
      <c r="B8359" s="289">
        <v>6443</v>
      </c>
      <c r="C8359" s="261">
        <v>108</v>
      </c>
      <c r="D8359" s="244" t="s">
        <v>11</v>
      </c>
      <c r="E8359" s="263">
        <v>1</v>
      </c>
      <c r="F8359" s="294" t="s">
        <v>139</v>
      </c>
      <c r="G8359" s="294" t="s">
        <v>126</v>
      </c>
      <c r="H8359" s="298">
        <v>1</v>
      </c>
      <c r="M8359" s="274"/>
    </row>
    <row r="8360" spans="2:13" ht="15" customHeight="1" x14ac:dyDescent="0.25">
      <c r="B8360" s="289">
        <v>6445</v>
      </c>
      <c r="C8360" s="261">
        <v>105</v>
      </c>
      <c r="D8360" s="244" t="s">
        <v>12</v>
      </c>
      <c r="E8360" s="263">
        <v>2</v>
      </c>
      <c r="F8360" s="294" t="s">
        <v>126</v>
      </c>
      <c r="G8360" s="294" t="s">
        <v>233</v>
      </c>
      <c r="H8360" s="298">
        <v>1</v>
      </c>
      <c r="M8360" s="274"/>
    </row>
    <row r="8361" spans="2:13" ht="15" customHeight="1" x14ac:dyDescent="0.25">
      <c r="B8361" s="289">
        <v>6445</v>
      </c>
      <c r="C8361" s="261">
        <v>112</v>
      </c>
      <c r="D8361" s="244" t="s">
        <v>11</v>
      </c>
      <c r="E8361" s="263">
        <v>2</v>
      </c>
      <c r="F8361" s="294" t="s">
        <v>136</v>
      </c>
      <c r="G8361" s="294" t="s">
        <v>126</v>
      </c>
      <c r="H8361" s="298">
        <v>1</v>
      </c>
      <c r="M8361" s="274"/>
    </row>
    <row r="8362" spans="2:13" ht="15" customHeight="1" x14ac:dyDescent="0.25">
      <c r="B8362" s="289">
        <v>6446</v>
      </c>
      <c r="C8362" s="261">
        <v>98</v>
      </c>
      <c r="D8362" s="244" t="s">
        <v>11</v>
      </c>
      <c r="E8362" s="263">
        <v>16</v>
      </c>
      <c r="F8362" s="294" t="s">
        <v>1485</v>
      </c>
      <c r="G8362" s="294" t="s">
        <v>126</v>
      </c>
      <c r="H8362" s="298">
        <v>1</v>
      </c>
      <c r="M8362" s="274"/>
    </row>
    <row r="8363" spans="2:13" ht="15" customHeight="1" x14ac:dyDescent="0.25">
      <c r="B8363" s="289">
        <v>6447</v>
      </c>
      <c r="C8363" s="261">
        <v>90</v>
      </c>
      <c r="D8363" s="244" t="s">
        <v>11</v>
      </c>
      <c r="E8363" s="263">
        <v>40</v>
      </c>
      <c r="F8363" s="294" t="s">
        <v>1488</v>
      </c>
      <c r="G8363" s="294" t="s">
        <v>126</v>
      </c>
      <c r="H8363" s="298">
        <v>1</v>
      </c>
      <c r="M8363" s="274"/>
    </row>
    <row r="8364" spans="2:13" ht="15" customHeight="1" x14ac:dyDescent="0.25">
      <c r="B8364" s="289">
        <v>6448</v>
      </c>
      <c r="C8364" s="261">
        <v>90</v>
      </c>
      <c r="D8364" s="244" t="s">
        <v>11</v>
      </c>
      <c r="E8364" s="263">
        <v>1</v>
      </c>
      <c r="F8364" s="294" t="s">
        <v>437</v>
      </c>
      <c r="G8364" s="294" t="s">
        <v>126</v>
      </c>
      <c r="H8364" s="298">
        <v>1</v>
      </c>
      <c r="M8364" s="274"/>
    </row>
    <row r="8365" spans="2:13" ht="15" customHeight="1" x14ac:dyDescent="0.25">
      <c r="B8365" s="289">
        <v>6448</v>
      </c>
      <c r="C8365" s="261">
        <v>97</v>
      </c>
      <c r="D8365" s="244" t="s">
        <v>11</v>
      </c>
      <c r="E8365" s="263">
        <v>8</v>
      </c>
      <c r="F8365" s="294" t="s">
        <v>1489</v>
      </c>
      <c r="G8365" s="294" t="s">
        <v>126</v>
      </c>
      <c r="H8365" s="298">
        <v>1</v>
      </c>
      <c r="M8365" s="274"/>
    </row>
    <row r="8366" spans="2:13" ht="15" customHeight="1" x14ac:dyDescent="0.25">
      <c r="B8366" s="289">
        <v>6448</v>
      </c>
      <c r="C8366" s="261">
        <v>119</v>
      </c>
      <c r="D8366" s="244" t="s">
        <v>11</v>
      </c>
      <c r="E8366" s="263">
        <v>10</v>
      </c>
      <c r="F8366" s="294" t="s">
        <v>1490</v>
      </c>
      <c r="G8366" s="294" t="s">
        <v>126</v>
      </c>
      <c r="H8366" s="298">
        <v>1</v>
      </c>
      <c r="M8366" s="274"/>
    </row>
    <row r="8367" spans="2:13" ht="15" customHeight="1" x14ac:dyDescent="0.25">
      <c r="B8367" s="289">
        <v>6449</v>
      </c>
      <c r="C8367" s="261">
        <v>90</v>
      </c>
      <c r="D8367" s="244" t="s">
        <v>11</v>
      </c>
      <c r="E8367" s="263">
        <v>1</v>
      </c>
      <c r="F8367" s="294" t="s">
        <v>437</v>
      </c>
      <c r="G8367" s="294" t="s">
        <v>126</v>
      </c>
      <c r="H8367" s="298">
        <v>1</v>
      </c>
      <c r="M8367" s="274"/>
    </row>
    <row r="8368" spans="2:13" ht="15" customHeight="1" x14ac:dyDescent="0.25">
      <c r="B8368" s="289">
        <v>6449</v>
      </c>
      <c r="C8368" s="261">
        <v>105</v>
      </c>
      <c r="D8368" s="244" t="s">
        <v>12</v>
      </c>
      <c r="E8368" s="263">
        <v>36</v>
      </c>
      <c r="F8368" s="294" t="s">
        <v>126</v>
      </c>
      <c r="G8368" s="294" t="s">
        <v>1491</v>
      </c>
      <c r="H8368" s="298">
        <v>1</v>
      </c>
      <c r="M8368" s="274"/>
    </row>
    <row r="8369" spans="2:13" ht="15" customHeight="1" x14ac:dyDescent="0.25">
      <c r="B8369" s="289">
        <v>6450</v>
      </c>
      <c r="C8369" s="261">
        <v>105</v>
      </c>
      <c r="D8369" s="244" t="s">
        <v>12</v>
      </c>
      <c r="E8369" s="263">
        <v>1</v>
      </c>
      <c r="F8369" s="294" t="s">
        <v>126</v>
      </c>
      <c r="G8369" s="294" t="s">
        <v>437</v>
      </c>
      <c r="H8369" s="298">
        <v>1</v>
      </c>
      <c r="M8369" s="274"/>
    </row>
    <row r="8370" spans="2:13" ht="15" customHeight="1" x14ac:dyDescent="0.25">
      <c r="B8370" s="289">
        <v>6451</v>
      </c>
      <c r="C8370" s="261">
        <v>95</v>
      </c>
      <c r="D8370" s="244" t="s">
        <v>11</v>
      </c>
      <c r="E8370" s="263">
        <v>46</v>
      </c>
      <c r="F8370" s="294" t="s">
        <v>1492</v>
      </c>
      <c r="G8370" s="294" t="s">
        <v>126</v>
      </c>
      <c r="H8370" s="298">
        <v>1</v>
      </c>
      <c r="M8370" s="274"/>
    </row>
    <row r="8371" spans="2:13" ht="15" customHeight="1" x14ac:dyDescent="0.25">
      <c r="B8371" s="289">
        <v>6452</v>
      </c>
      <c r="C8371" s="261">
        <v>97</v>
      </c>
      <c r="D8371" s="244" t="s">
        <v>11</v>
      </c>
      <c r="E8371" s="263">
        <v>15</v>
      </c>
      <c r="F8371" s="294" t="s">
        <v>1493</v>
      </c>
      <c r="G8371" s="294" t="s">
        <v>126</v>
      </c>
      <c r="H8371" s="298">
        <v>1</v>
      </c>
      <c r="M8371" s="274"/>
    </row>
    <row r="8372" spans="2:13" ht="15" customHeight="1" x14ac:dyDescent="0.25">
      <c r="B8372" s="289">
        <v>6453</v>
      </c>
      <c r="C8372" s="261">
        <v>99</v>
      </c>
      <c r="D8372" s="244" t="s">
        <v>11</v>
      </c>
      <c r="E8372" s="263">
        <v>25</v>
      </c>
      <c r="F8372" s="294" t="s">
        <v>1494</v>
      </c>
      <c r="G8372" s="294" t="s">
        <v>126</v>
      </c>
      <c r="H8372" s="298">
        <v>1</v>
      </c>
      <c r="M8372" s="274"/>
    </row>
    <row r="8373" spans="2:13" ht="15" customHeight="1" x14ac:dyDescent="0.25">
      <c r="B8373" s="289">
        <v>6454</v>
      </c>
      <c r="C8373" s="261">
        <v>100</v>
      </c>
      <c r="D8373" s="244" t="s">
        <v>11</v>
      </c>
      <c r="E8373" s="263">
        <v>5</v>
      </c>
      <c r="F8373" s="294" t="s">
        <v>1495</v>
      </c>
      <c r="G8373" s="294" t="s">
        <v>126</v>
      </c>
      <c r="H8373" s="298">
        <v>1</v>
      </c>
      <c r="M8373" s="274"/>
    </row>
    <row r="8374" spans="2:13" ht="15" customHeight="1" x14ac:dyDescent="0.25">
      <c r="B8374" s="289">
        <v>6455</v>
      </c>
      <c r="C8374" s="261">
        <v>103</v>
      </c>
      <c r="D8374" s="244" t="s">
        <v>11</v>
      </c>
      <c r="E8374" s="263">
        <v>20</v>
      </c>
      <c r="F8374" s="294" t="s">
        <v>1496</v>
      </c>
      <c r="G8374" s="294" t="s">
        <v>126</v>
      </c>
      <c r="H8374" s="298">
        <v>1</v>
      </c>
      <c r="M8374" s="274"/>
    </row>
    <row r="8375" spans="2:13" ht="15" customHeight="1" x14ac:dyDescent="0.25">
      <c r="B8375" s="289">
        <v>6456</v>
      </c>
      <c r="C8375" s="261">
        <v>104</v>
      </c>
      <c r="D8375" s="244" t="s">
        <v>11</v>
      </c>
      <c r="E8375" s="263">
        <v>24</v>
      </c>
      <c r="F8375" s="294" t="s">
        <v>1497</v>
      </c>
      <c r="G8375" s="294" t="s">
        <v>126</v>
      </c>
      <c r="H8375" s="298">
        <v>1</v>
      </c>
      <c r="M8375" s="274"/>
    </row>
    <row r="8376" spans="2:13" ht="15" customHeight="1" x14ac:dyDescent="0.25">
      <c r="B8376" s="289">
        <v>6457</v>
      </c>
      <c r="C8376" s="261">
        <v>104</v>
      </c>
      <c r="D8376" s="244" t="s">
        <v>11</v>
      </c>
      <c r="E8376" s="263">
        <v>3</v>
      </c>
      <c r="F8376" s="294" t="s">
        <v>463</v>
      </c>
      <c r="G8376" s="294" t="s">
        <v>126</v>
      </c>
      <c r="H8376" s="298">
        <v>1</v>
      </c>
      <c r="M8376" s="274"/>
    </row>
    <row r="8377" spans="2:13" ht="15" customHeight="1" x14ac:dyDescent="0.25">
      <c r="B8377" s="289">
        <v>6458</v>
      </c>
      <c r="C8377" s="261">
        <v>105</v>
      </c>
      <c r="D8377" s="244" t="s">
        <v>11</v>
      </c>
      <c r="E8377" s="263">
        <v>4</v>
      </c>
      <c r="F8377" s="294" t="s">
        <v>1498</v>
      </c>
      <c r="G8377" s="294" t="s">
        <v>126</v>
      </c>
      <c r="H8377" s="298">
        <v>1</v>
      </c>
      <c r="M8377" s="274"/>
    </row>
    <row r="8378" spans="2:13" ht="15" customHeight="1" x14ac:dyDescent="0.25">
      <c r="B8378" s="289">
        <v>6459</v>
      </c>
      <c r="C8378" s="261">
        <v>105</v>
      </c>
      <c r="D8378" s="244" t="s">
        <v>11</v>
      </c>
      <c r="E8378" s="263">
        <v>3</v>
      </c>
      <c r="F8378" s="294" t="s">
        <v>499</v>
      </c>
      <c r="G8378" s="294" t="s">
        <v>126</v>
      </c>
      <c r="H8378" s="298">
        <v>1</v>
      </c>
      <c r="M8378" s="274"/>
    </row>
    <row r="8379" spans="2:13" ht="15" customHeight="1" x14ac:dyDescent="0.25">
      <c r="B8379" s="289">
        <v>6460</v>
      </c>
      <c r="C8379" s="261">
        <v>108</v>
      </c>
      <c r="D8379" s="244" t="s">
        <v>12</v>
      </c>
      <c r="E8379" s="263">
        <v>4</v>
      </c>
      <c r="F8379" s="294" t="s">
        <v>126</v>
      </c>
      <c r="G8379" s="294" t="s">
        <v>1499</v>
      </c>
      <c r="H8379" s="298">
        <v>1</v>
      </c>
      <c r="M8379" s="274"/>
    </row>
    <row r="8380" spans="2:13" ht="15" customHeight="1" x14ac:dyDescent="0.25">
      <c r="B8380" s="289">
        <v>6461</v>
      </c>
      <c r="C8380" s="261">
        <v>105</v>
      </c>
      <c r="D8380" s="244" t="s">
        <v>12</v>
      </c>
      <c r="E8380" s="263">
        <v>3</v>
      </c>
      <c r="F8380" s="294" t="s">
        <v>126</v>
      </c>
      <c r="G8380" s="294" t="s">
        <v>499</v>
      </c>
      <c r="H8380" s="298">
        <v>1</v>
      </c>
      <c r="M8380" s="274"/>
    </row>
    <row r="8381" spans="2:13" ht="15" customHeight="1" x14ac:dyDescent="0.25">
      <c r="B8381" s="289">
        <v>6462</v>
      </c>
      <c r="C8381" s="261">
        <v>108</v>
      </c>
      <c r="D8381" s="244" t="s">
        <v>11</v>
      </c>
      <c r="E8381" s="263">
        <v>6</v>
      </c>
      <c r="F8381" s="294" t="s">
        <v>1500</v>
      </c>
      <c r="G8381" s="294" t="s">
        <v>126</v>
      </c>
      <c r="H8381" s="298">
        <v>1</v>
      </c>
      <c r="M8381" s="274"/>
    </row>
    <row r="8382" spans="2:13" ht="15" customHeight="1" x14ac:dyDescent="0.25">
      <c r="B8382" s="289">
        <v>6463</v>
      </c>
      <c r="C8382" s="261">
        <v>105</v>
      </c>
      <c r="D8382" s="244" t="s">
        <v>11</v>
      </c>
      <c r="E8382" s="263">
        <v>3</v>
      </c>
      <c r="F8382" s="294" t="s">
        <v>499</v>
      </c>
      <c r="G8382" s="294" t="s">
        <v>126</v>
      </c>
      <c r="H8382" s="298">
        <v>1</v>
      </c>
      <c r="M8382" s="274"/>
    </row>
    <row r="8383" spans="2:13" ht="15" customHeight="1" x14ac:dyDescent="0.25">
      <c r="B8383" s="289">
        <v>6464</v>
      </c>
      <c r="C8383" s="261">
        <v>102</v>
      </c>
      <c r="D8383" s="244" t="s">
        <v>11</v>
      </c>
      <c r="E8383" s="263">
        <v>22</v>
      </c>
      <c r="F8383" s="294" t="s">
        <v>1501</v>
      </c>
      <c r="G8383" s="294" t="s">
        <v>126</v>
      </c>
      <c r="H8383" s="298">
        <v>1</v>
      </c>
      <c r="M8383" s="274"/>
    </row>
    <row r="8384" spans="2:13" ht="15" customHeight="1" x14ac:dyDescent="0.25">
      <c r="B8384" s="289">
        <v>6465</v>
      </c>
      <c r="C8384" s="261">
        <v>102</v>
      </c>
      <c r="D8384" s="244" t="s">
        <v>11</v>
      </c>
      <c r="E8384" s="263">
        <v>4</v>
      </c>
      <c r="F8384" s="294" t="s">
        <v>964</v>
      </c>
      <c r="G8384" s="294" t="s">
        <v>126</v>
      </c>
      <c r="H8384" s="298">
        <v>1</v>
      </c>
      <c r="M8384" s="274"/>
    </row>
    <row r="8385" spans="2:13" ht="15" customHeight="1" x14ac:dyDescent="0.25">
      <c r="B8385" s="289">
        <v>6465</v>
      </c>
      <c r="C8385" s="261">
        <v>116</v>
      </c>
      <c r="D8385" s="244" t="s">
        <v>12</v>
      </c>
      <c r="E8385" s="263">
        <v>4</v>
      </c>
      <c r="F8385" s="294" t="s">
        <v>126</v>
      </c>
      <c r="G8385" s="294" t="s">
        <v>1502</v>
      </c>
      <c r="H8385" s="298">
        <v>1</v>
      </c>
      <c r="M8385" s="274"/>
    </row>
    <row r="8386" spans="2:13" ht="15" customHeight="1" x14ac:dyDescent="0.25">
      <c r="B8386" s="289">
        <v>6466</v>
      </c>
      <c r="C8386" s="261">
        <v>99</v>
      </c>
      <c r="D8386" s="244" t="s">
        <v>12</v>
      </c>
      <c r="E8386" s="263">
        <v>4</v>
      </c>
      <c r="F8386" s="294" t="s">
        <v>126</v>
      </c>
      <c r="G8386" s="294" t="s">
        <v>1480</v>
      </c>
      <c r="H8386" s="298">
        <v>1</v>
      </c>
      <c r="M8386" s="274"/>
    </row>
    <row r="8387" spans="2:13" ht="15" customHeight="1" x14ac:dyDescent="0.25">
      <c r="B8387" s="289">
        <v>6466</v>
      </c>
      <c r="C8387" s="261">
        <v>105</v>
      </c>
      <c r="D8387" s="244" t="s">
        <v>12</v>
      </c>
      <c r="E8387" s="263">
        <v>35</v>
      </c>
      <c r="F8387" s="294" t="s">
        <v>126</v>
      </c>
      <c r="G8387" s="294" t="s">
        <v>1503</v>
      </c>
      <c r="H8387" s="298">
        <v>1</v>
      </c>
      <c r="M8387" s="274"/>
    </row>
    <row r="8388" spans="2:13" ht="15" customHeight="1" x14ac:dyDescent="0.25">
      <c r="B8388" s="289">
        <v>6467</v>
      </c>
      <c r="C8388" s="261">
        <v>99</v>
      </c>
      <c r="D8388" s="244" t="s">
        <v>12</v>
      </c>
      <c r="E8388" s="263">
        <v>4</v>
      </c>
      <c r="F8388" s="294" t="s">
        <v>126</v>
      </c>
      <c r="G8388" s="294" t="s">
        <v>1480</v>
      </c>
      <c r="H8388" s="298">
        <v>1</v>
      </c>
      <c r="M8388" s="274"/>
    </row>
    <row r="8389" spans="2:13" ht="15" customHeight="1" x14ac:dyDescent="0.25">
      <c r="B8389" s="289">
        <v>6467</v>
      </c>
      <c r="C8389" s="261">
        <v>110</v>
      </c>
      <c r="D8389" s="244" t="s">
        <v>11</v>
      </c>
      <c r="E8389" s="263">
        <v>4</v>
      </c>
      <c r="F8389" s="294" t="s">
        <v>682</v>
      </c>
      <c r="G8389" s="294" t="s">
        <v>126</v>
      </c>
      <c r="H8389" s="298">
        <v>1</v>
      </c>
      <c r="M8389" s="274"/>
    </row>
    <row r="8390" spans="2:13" ht="15" customHeight="1" x14ac:dyDescent="0.25">
      <c r="B8390" s="289">
        <v>6468</v>
      </c>
      <c r="C8390" s="261">
        <v>102</v>
      </c>
      <c r="D8390" s="244" t="s">
        <v>12</v>
      </c>
      <c r="E8390" s="263">
        <v>1</v>
      </c>
      <c r="F8390" s="294" t="s">
        <v>126</v>
      </c>
      <c r="G8390" s="294" t="s">
        <v>426</v>
      </c>
      <c r="H8390" s="298">
        <v>1</v>
      </c>
      <c r="M8390" s="274"/>
    </row>
    <row r="8391" spans="2:13" ht="15" customHeight="1" x14ac:dyDescent="0.25">
      <c r="B8391" s="289">
        <v>6468</v>
      </c>
      <c r="C8391" s="261">
        <v>105</v>
      </c>
      <c r="D8391" s="244" t="s">
        <v>12</v>
      </c>
      <c r="E8391" s="263">
        <v>3</v>
      </c>
      <c r="F8391" s="294" t="s">
        <v>126</v>
      </c>
      <c r="G8391" s="294" t="s">
        <v>1504</v>
      </c>
      <c r="H8391" s="298">
        <v>1</v>
      </c>
      <c r="M8391" s="274"/>
    </row>
    <row r="8392" spans="2:13" ht="15" customHeight="1" x14ac:dyDescent="0.25">
      <c r="B8392" s="289">
        <v>6468</v>
      </c>
      <c r="C8392" s="261">
        <v>110</v>
      </c>
      <c r="D8392" s="244" t="s">
        <v>11</v>
      </c>
      <c r="E8392" s="263">
        <v>4</v>
      </c>
      <c r="F8392" s="294" t="s">
        <v>682</v>
      </c>
      <c r="G8392" s="294" t="s">
        <v>126</v>
      </c>
      <c r="H8392" s="298">
        <v>1</v>
      </c>
      <c r="M8392" s="274"/>
    </row>
    <row r="8393" spans="2:13" ht="15" customHeight="1" x14ac:dyDescent="0.25">
      <c r="B8393" s="289">
        <v>6469</v>
      </c>
      <c r="C8393" s="261">
        <v>103</v>
      </c>
      <c r="D8393" s="244" t="s">
        <v>12</v>
      </c>
      <c r="E8393" s="263">
        <v>5</v>
      </c>
      <c r="F8393" s="294" t="s">
        <v>126</v>
      </c>
      <c r="G8393" s="294" t="s">
        <v>1505</v>
      </c>
      <c r="H8393" s="298">
        <v>1</v>
      </c>
      <c r="M8393" s="274"/>
    </row>
    <row r="8394" spans="2:13" ht="15" customHeight="1" x14ac:dyDescent="0.25">
      <c r="B8394" s="289">
        <v>6469</v>
      </c>
      <c r="C8394" s="261">
        <v>110</v>
      </c>
      <c r="D8394" s="244" t="s">
        <v>11</v>
      </c>
      <c r="E8394" s="263">
        <v>5</v>
      </c>
      <c r="F8394" s="294" t="s">
        <v>595</v>
      </c>
      <c r="G8394" s="294" t="s">
        <v>126</v>
      </c>
      <c r="H8394" s="298">
        <v>1</v>
      </c>
      <c r="M8394" s="274"/>
    </row>
    <row r="8395" spans="2:13" ht="15" customHeight="1" x14ac:dyDescent="0.25">
      <c r="B8395" s="289">
        <v>6470</v>
      </c>
      <c r="C8395" s="261">
        <v>105</v>
      </c>
      <c r="D8395" s="244" t="s">
        <v>12</v>
      </c>
      <c r="E8395" s="263">
        <v>16</v>
      </c>
      <c r="F8395" s="294" t="s">
        <v>126</v>
      </c>
      <c r="G8395" s="294" t="s">
        <v>1506</v>
      </c>
      <c r="H8395" s="298">
        <v>1</v>
      </c>
      <c r="M8395" s="274"/>
    </row>
    <row r="8396" spans="2:13" ht="15" customHeight="1" x14ac:dyDescent="0.25">
      <c r="B8396" s="289">
        <v>6471</v>
      </c>
      <c r="C8396" s="261">
        <v>100</v>
      </c>
      <c r="D8396" s="244" t="s">
        <v>12</v>
      </c>
      <c r="E8396" s="263">
        <v>3</v>
      </c>
      <c r="F8396" s="294" t="s">
        <v>126</v>
      </c>
      <c r="G8396" s="294" t="s">
        <v>684</v>
      </c>
      <c r="H8396" s="298">
        <v>1</v>
      </c>
      <c r="M8396" s="274"/>
    </row>
    <row r="8397" spans="2:13" ht="15" customHeight="1" x14ac:dyDescent="0.25">
      <c r="B8397" s="289">
        <v>6471</v>
      </c>
      <c r="C8397" s="261">
        <v>111</v>
      </c>
      <c r="D8397" s="244" t="s">
        <v>11</v>
      </c>
      <c r="E8397" s="263">
        <v>3</v>
      </c>
      <c r="F8397" s="294" t="s">
        <v>1478</v>
      </c>
      <c r="G8397" s="294" t="s">
        <v>126</v>
      </c>
      <c r="H8397" s="298">
        <v>1</v>
      </c>
      <c r="M8397" s="274"/>
    </row>
    <row r="8398" spans="2:13" ht="15" customHeight="1" x14ac:dyDescent="0.25">
      <c r="B8398" s="289">
        <v>6472</v>
      </c>
      <c r="C8398" s="261">
        <v>104</v>
      </c>
      <c r="D8398" s="244" t="s">
        <v>11</v>
      </c>
      <c r="E8398" s="263">
        <v>1</v>
      </c>
      <c r="F8398" s="294" t="s">
        <v>235</v>
      </c>
      <c r="G8398" s="294" t="s">
        <v>126</v>
      </c>
      <c r="H8398" s="298">
        <v>1</v>
      </c>
      <c r="M8398" s="274"/>
    </row>
    <row r="8399" spans="2:13" ht="15" customHeight="1" x14ac:dyDescent="0.25">
      <c r="B8399" s="289">
        <v>6472</v>
      </c>
      <c r="C8399" s="261">
        <v>115</v>
      </c>
      <c r="D8399" s="244" t="s">
        <v>12</v>
      </c>
      <c r="E8399" s="263">
        <v>1</v>
      </c>
      <c r="F8399" s="294" t="s">
        <v>126</v>
      </c>
      <c r="G8399" s="294" t="s">
        <v>426</v>
      </c>
      <c r="H8399" s="298">
        <v>1</v>
      </c>
      <c r="M8399" s="274"/>
    </row>
    <row r="8400" spans="2:13" ht="15" customHeight="1" x14ac:dyDescent="0.25">
      <c r="B8400" s="289">
        <v>6473</v>
      </c>
      <c r="C8400" s="261">
        <v>102</v>
      </c>
      <c r="D8400" s="244" t="s">
        <v>12</v>
      </c>
      <c r="E8400" s="263">
        <v>5</v>
      </c>
      <c r="F8400" s="294" t="s">
        <v>126</v>
      </c>
      <c r="G8400" s="294" t="s">
        <v>1507</v>
      </c>
      <c r="H8400" s="298">
        <v>1</v>
      </c>
      <c r="M8400" s="274"/>
    </row>
    <row r="8401" spans="2:13" ht="15" customHeight="1" x14ac:dyDescent="0.25">
      <c r="B8401" s="289">
        <v>6473</v>
      </c>
      <c r="C8401" s="261">
        <v>110</v>
      </c>
      <c r="D8401" s="244" t="s">
        <v>11</v>
      </c>
      <c r="E8401" s="263">
        <v>5</v>
      </c>
      <c r="F8401" s="294" t="s">
        <v>595</v>
      </c>
      <c r="G8401" s="294" t="s">
        <v>126</v>
      </c>
      <c r="H8401" s="298">
        <v>1</v>
      </c>
      <c r="M8401" s="274"/>
    </row>
    <row r="8402" spans="2:13" ht="15" customHeight="1" x14ac:dyDescent="0.25">
      <c r="B8402" s="289">
        <v>6474</v>
      </c>
      <c r="C8402" s="261">
        <v>103</v>
      </c>
      <c r="D8402" s="244" t="s">
        <v>11</v>
      </c>
      <c r="E8402" s="263">
        <v>3</v>
      </c>
      <c r="F8402" s="294" t="s">
        <v>1163</v>
      </c>
      <c r="G8402" s="294" t="s">
        <v>126</v>
      </c>
      <c r="H8402" s="298">
        <v>1</v>
      </c>
      <c r="M8402" s="274"/>
    </row>
    <row r="8403" spans="2:13" ht="15" customHeight="1" x14ac:dyDescent="0.25">
      <c r="B8403" s="289">
        <v>6474</v>
      </c>
      <c r="C8403" s="261">
        <v>115</v>
      </c>
      <c r="D8403" s="244" t="s">
        <v>12</v>
      </c>
      <c r="E8403" s="263">
        <v>3</v>
      </c>
      <c r="F8403" s="294" t="s">
        <v>126</v>
      </c>
      <c r="G8403" s="294" t="s">
        <v>1508</v>
      </c>
      <c r="H8403" s="298">
        <v>1</v>
      </c>
      <c r="M8403" s="274"/>
    </row>
    <row r="8404" spans="2:13" ht="15" customHeight="1" x14ac:dyDescent="0.25">
      <c r="B8404" s="289">
        <v>6475</v>
      </c>
      <c r="C8404" s="261">
        <v>105</v>
      </c>
      <c r="D8404" s="244" t="s">
        <v>11</v>
      </c>
      <c r="E8404" s="263">
        <v>2</v>
      </c>
      <c r="F8404" s="294" t="s">
        <v>441</v>
      </c>
      <c r="G8404" s="294" t="s">
        <v>126</v>
      </c>
      <c r="H8404" s="298">
        <v>1</v>
      </c>
      <c r="M8404" s="274"/>
    </row>
    <row r="8405" spans="2:13" ht="15" customHeight="1" x14ac:dyDescent="0.25">
      <c r="B8405" s="289">
        <v>6475</v>
      </c>
      <c r="C8405" s="261">
        <v>115</v>
      </c>
      <c r="D8405" s="244" t="s">
        <v>12</v>
      </c>
      <c r="E8405" s="263">
        <v>2</v>
      </c>
      <c r="F8405" s="294" t="s">
        <v>126</v>
      </c>
      <c r="G8405" s="294" t="s">
        <v>441</v>
      </c>
      <c r="H8405" s="298">
        <v>1</v>
      </c>
      <c r="M8405" s="274"/>
    </row>
    <row r="8406" spans="2:13" ht="15" customHeight="1" x14ac:dyDescent="0.25">
      <c r="B8406" s="289">
        <v>6476</v>
      </c>
      <c r="C8406" s="261">
        <v>102</v>
      </c>
      <c r="D8406" s="244" t="s">
        <v>12</v>
      </c>
      <c r="E8406" s="263">
        <v>1</v>
      </c>
      <c r="F8406" s="294" t="s">
        <v>126</v>
      </c>
      <c r="G8406" s="294" t="s">
        <v>139</v>
      </c>
      <c r="H8406" s="298">
        <v>1</v>
      </c>
      <c r="M8406" s="274"/>
    </row>
    <row r="8407" spans="2:13" ht="15" customHeight="1" x14ac:dyDescent="0.25">
      <c r="B8407" s="289">
        <v>6476</v>
      </c>
      <c r="C8407" s="261">
        <v>105</v>
      </c>
      <c r="D8407" s="244" t="s">
        <v>12</v>
      </c>
      <c r="E8407" s="263">
        <v>1</v>
      </c>
      <c r="F8407" s="294" t="s">
        <v>126</v>
      </c>
      <c r="G8407" s="294" t="s">
        <v>235</v>
      </c>
      <c r="H8407" s="298">
        <v>1</v>
      </c>
      <c r="M8407" s="274"/>
    </row>
    <row r="8408" spans="2:13" ht="15" customHeight="1" x14ac:dyDescent="0.25">
      <c r="B8408" s="289">
        <v>6476</v>
      </c>
      <c r="C8408" s="261">
        <v>112</v>
      </c>
      <c r="D8408" s="244" t="s">
        <v>11</v>
      </c>
      <c r="E8408" s="263">
        <v>2</v>
      </c>
      <c r="F8408" s="294" t="s">
        <v>136</v>
      </c>
      <c r="G8408" s="294" t="s">
        <v>126</v>
      </c>
      <c r="H8408" s="298">
        <v>1</v>
      </c>
      <c r="M8408" s="274"/>
    </row>
    <row r="8409" spans="2:13" ht="15" customHeight="1" x14ac:dyDescent="0.25">
      <c r="B8409" s="289">
        <v>6477</v>
      </c>
      <c r="C8409" s="261">
        <v>102</v>
      </c>
      <c r="D8409" s="244" t="s">
        <v>12</v>
      </c>
      <c r="E8409" s="263">
        <v>1</v>
      </c>
      <c r="F8409" s="294" t="s">
        <v>126</v>
      </c>
      <c r="G8409" s="294" t="s">
        <v>139</v>
      </c>
      <c r="H8409" s="298">
        <v>1</v>
      </c>
      <c r="M8409" s="274"/>
    </row>
    <row r="8410" spans="2:13" ht="15" customHeight="1" x14ac:dyDescent="0.25">
      <c r="B8410" s="289">
        <v>6477</v>
      </c>
      <c r="C8410" s="261">
        <v>113</v>
      </c>
      <c r="D8410" s="244" t="s">
        <v>11</v>
      </c>
      <c r="E8410" s="263">
        <v>1</v>
      </c>
      <c r="F8410" s="294" t="s">
        <v>139</v>
      </c>
      <c r="G8410" s="294" t="s">
        <v>126</v>
      </c>
      <c r="H8410" s="298">
        <v>1</v>
      </c>
      <c r="M8410" s="274"/>
    </row>
    <row r="8411" spans="2:13" ht="15" customHeight="1" x14ac:dyDescent="0.25">
      <c r="B8411" s="289">
        <v>6478</v>
      </c>
      <c r="C8411" s="261">
        <v>102</v>
      </c>
      <c r="D8411" s="244" t="s">
        <v>12</v>
      </c>
      <c r="E8411" s="263">
        <v>1</v>
      </c>
      <c r="F8411" s="294" t="s">
        <v>126</v>
      </c>
      <c r="G8411" s="294" t="s">
        <v>139</v>
      </c>
      <c r="H8411" s="298">
        <v>1</v>
      </c>
      <c r="M8411" s="274"/>
    </row>
    <row r="8412" spans="2:13" ht="15" customHeight="1" x14ac:dyDescent="0.25">
      <c r="B8412" s="289">
        <v>6478</v>
      </c>
      <c r="C8412" s="261">
        <v>113</v>
      </c>
      <c r="D8412" s="244" t="s">
        <v>11</v>
      </c>
      <c r="E8412" s="263">
        <v>1</v>
      </c>
      <c r="F8412" s="294" t="s">
        <v>139</v>
      </c>
      <c r="G8412" s="294" t="s">
        <v>126</v>
      </c>
      <c r="H8412" s="298">
        <v>1</v>
      </c>
      <c r="M8412" s="274"/>
    </row>
    <row r="8413" spans="2:13" ht="15" customHeight="1" x14ac:dyDescent="0.25">
      <c r="B8413" s="289">
        <v>6479</v>
      </c>
      <c r="C8413" s="261">
        <v>102</v>
      </c>
      <c r="D8413" s="244" t="s">
        <v>12</v>
      </c>
      <c r="E8413" s="263">
        <v>1</v>
      </c>
      <c r="F8413" s="294" t="s">
        <v>126</v>
      </c>
      <c r="G8413" s="294" t="s">
        <v>139</v>
      </c>
      <c r="H8413" s="298">
        <v>1</v>
      </c>
      <c r="M8413" s="274"/>
    </row>
    <row r="8414" spans="2:13" ht="15" customHeight="1" x14ac:dyDescent="0.25">
      <c r="B8414" s="289">
        <v>6479</v>
      </c>
      <c r="C8414" s="261">
        <v>113</v>
      </c>
      <c r="D8414" s="244" t="s">
        <v>11</v>
      </c>
      <c r="E8414" s="263">
        <v>1</v>
      </c>
      <c r="F8414" s="294" t="s">
        <v>139</v>
      </c>
      <c r="G8414" s="294" t="s">
        <v>126</v>
      </c>
      <c r="H8414" s="298">
        <v>1</v>
      </c>
      <c r="M8414" s="274"/>
    </row>
    <row r="8415" spans="2:13" ht="15" customHeight="1" x14ac:dyDescent="0.25">
      <c r="B8415" s="289">
        <v>6480</v>
      </c>
      <c r="C8415" s="261">
        <v>99</v>
      </c>
      <c r="D8415" s="244" t="s">
        <v>12</v>
      </c>
      <c r="E8415" s="263">
        <v>4</v>
      </c>
      <c r="F8415" s="294" t="s">
        <v>126</v>
      </c>
      <c r="G8415" s="294" t="s">
        <v>1509</v>
      </c>
      <c r="H8415" s="298">
        <v>1</v>
      </c>
      <c r="M8415" s="274"/>
    </row>
    <row r="8416" spans="2:13" ht="15" customHeight="1" x14ac:dyDescent="0.25">
      <c r="B8416" s="289">
        <v>6480</v>
      </c>
      <c r="C8416" s="261">
        <v>110</v>
      </c>
      <c r="D8416" s="244" t="s">
        <v>11</v>
      </c>
      <c r="E8416" s="263">
        <v>4</v>
      </c>
      <c r="F8416" s="294" t="s">
        <v>682</v>
      </c>
      <c r="G8416" s="294" t="s">
        <v>126</v>
      </c>
      <c r="H8416" s="298">
        <v>1</v>
      </c>
      <c r="M8416" s="274"/>
    </row>
    <row r="8417" spans="2:13" ht="15" customHeight="1" x14ac:dyDescent="0.25">
      <c r="B8417" s="289">
        <v>6481</v>
      </c>
      <c r="C8417" s="261">
        <v>105</v>
      </c>
      <c r="D8417" s="244" t="s">
        <v>11</v>
      </c>
      <c r="E8417" s="263">
        <v>4</v>
      </c>
      <c r="F8417" s="294" t="s">
        <v>1498</v>
      </c>
      <c r="G8417" s="294" t="s">
        <v>126</v>
      </c>
      <c r="H8417" s="298">
        <v>1</v>
      </c>
      <c r="M8417" s="274"/>
    </row>
    <row r="8418" spans="2:13" ht="15" customHeight="1" x14ac:dyDescent="0.25">
      <c r="B8418" s="289">
        <v>6481</v>
      </c>
      <c r="C8418" s="261">
        <v>114</v>
      </c>
      <c r="D8418" s="244" t="s">
        <v>12</v>
      </c>
      <c r="E8418" s="263">
        <v>4</v>
      </c>
      <c r="F8418" s="294" t="s">
        <v>126</v>
      </c>
      <c r="G8418" s="294" t="s">
        <v>1510</v>
      </c>
      <c r="H8418" s="298">
        <v>1</v>
      </c>
      <c r="M8418" s="274"/>
    </row>
    <row r="8419" spans="2:13" ht="15" customHeight="1" x14ac:dyDescent="0.25">
      <c r="B8419" s="289">
        <v>6482</v>
      </c>
      <c r="C8419" s="261">
        <v>105</v>
      </c>
      <c r="D8419" s="244" t="s">
        <v>12</v>
      </c>
      <c r="E8419" s="263">
        <v>16</v>
      </c>
      <c r="F8419" s="294" t="s">
        <v>126</v>
      </c>
      <c r="G8419" s="294" t="s">
        <v>1511</v>
      </c>
      <c r="H8419" s="298">
        <v>1</v>
      </c>
      <c r="M8419" s="274"/>
    </row>
    <row r="8420" spans="2:13" ht="15" customHeight="1" x14ac:dyDescent="0.25">
      <c r="B8420" s="289">
        <v>6483</v>
      </c>
      <c r="C8420" s="261">
        <v>105</v>
      </c>
      <c r="D8420" s="244" t="s">
        <v>12</v>
      </c>
      <c r="E8420" s="263">
        <v>2</v>
      </c>
      <c r="F8420" s="294" t="s">
        <v>126</v>
      </c>
      <c r="G8420" s="294" t="s">
        <v>1351</v>
      </c>
      <c r="H8420" s="298">
        <v>1</v>
      </c>
      <c r="M8420" s="274"/>
    </row>
    <row r="8421" spans="2:13" ht="15" customHeight="1" x14ac:dyDescent="0.25">
      <c r="B8421" s="289">
        <v>6483</v>
      </c>
      <c r="C8421" s="261">
        <v>112</v>
      </c>
      <c r="D8421" s="244" t="s">
        <v>11</v>
      </c>
      <c r="E8421" s="263">
        <v>2</v>
      </c>
      <c r="F8421" s="294" t="s">
        <v>136</v>
      </c>
      <c r="G8421" s="294" t="s">
        <v>126</v>
      </c>
      <c r="H8421" s="298">
        <v>1</v>
      </c>
      <c r="M8421" s="274"/>
    </row>
    <row r="8422" spans="2:13" ht="15" customHeight="1" x14ac:dyDescent="0.25">
      <c r="B8422" s="289">
        <v>6484</v>
      </c>
      <c r="C8422" s="261">
        <v>96</v>
      </c>
      <c r="D8422" s="244" t="s">
        <v>11</v>
      </c>
      <c r="E8422" s="263">
        <v>16</v>
      </c>
      <c r="F8422" s="294" t="s">
        <v>1512</v>
      </c>
      <c r="G8422" s="294" t="s">
        <v>126</v>
      </c>
      <c r="H8422" s="298">
        <v>1</v>
      </c>
      <c r="M8422" s="274"/>
    </row>
    <row r="8423" spans="2:13" ht="15" customHeight="1" x14ac:dyDescent="0.25">
      <c r="B8423" s="289">
        <v>6485</v>
      </c>
      <c r="C8423" s="261">
        <v>102</v>
      </c>
      <c r="D8423" s="244" t="s">
        <v>12</v>
      </c>
      <c r="E8423" s="263">
        <v>1</v>
      </c>
      <c r="F8423" s="294" t="s">
        <v>126</v>
      </c>
      <c r="G8423" s="294" t="s">
        <v>139</v>
      </c>
      <c r="H8423" s="298">
        <v>1</v>
      </c>
      <c r="M8423" s="274"/>
    </row>
    <row r="8424" spans="2:13" ht="15" customHeight="1" x14ac:dyDescent="0.25">
      <c r="B8424" s="289">
        <v>6485</v>
      </c>
      <c r="C8424" s="261">
        <v>113</v>
      </c>
      <c r="D8424" s="244" t="s">
        <v>11</v>
      </c>
      <c r="E8424" s="263">
        <v>1</v>
      </c>
      <c r="F8424" s="294" t="s">
        <v>139</v>
      </c>
      <c r="G8424" s="294" t="s">
        <v>126</v>
      </c>
      <c r="H8424" s="298">
        <v>1</v>
      </c>
      <c r="M8424" s="274"/>
    </row>
    <row r="8425" spans="2:13" ht="15" customHeight="1" x14ac:dyDescent="0.25">
      <c r="B8425" s="289">
        <v>6486</v>
      </c>
      <c r="C8425" s="261">
        <v>105</v>
      </c>
      <c r="D8425" s="244" t="s">
        <v>12</v>
      </c>
      <c r="E8425" s="263">
        <v>1</v>
      </c>
      <c r="F8425" s="294" t="s">
        <v>126</v>
      </c>
      <c r="G8425" s="294" t="s">
        <v>437</v>
      </c>
      <c r="H8425" s="298">
        <v>1</v>
      </c>
      <c r="M8425" s="274"/>
    </row>
    <row r="8426" spans="2:13" ht="15" customHeight="1" x14ac:dyDescent="0.25">
      <c r="B8426" s="289">
        <v>6487</v>
      </c>
      <c r="C8426" s="261">
        <v>96</v>
      </c>
      <c r="D8426" s="244" t="s">
        <v>11</v>
      </c>
      <c r="E8426" s="263">
        <v>45</v>
      </c>
      <c r="F8426" s="294" t="s">
        <v>1513</v>
      </c>
      <c r="G8426" s="294" t="s">
        <v>126</v>
      </c>
      <c r="H8426" s="298">
        <v>1</v>
      </c>
      <c r="M8426" s="274"/>
    </row>
    <row r="8427" spans="2:13" ht="15" customHeight="1" x14ac:dyDescent="0.25">
      <c r="B8427" s="289">
        <v>6488</v>
      </c>
      <c r="C8427" s="261">
        <v>98</v>
      </c>
      <c r="D8427" s="244" t="s">
        <v>12</v>
      </c>
      <c r="E8427" s="263">
        <v>3</v>
      </c>
      <c r="F8427" s="294" t="s">
        <v>126</v>
      </c>
      <c r="G8427" s="294" t="s">
        <v>722</v>
      </c>
      <c r="H8427" s="298">
        <v>1</v>
      </c>
      <c r="M8427" s="274"/>
    </row>
    <row r="8428" spans="2:13" ht="15" customHeight="1" x14ac:dyDescent="0.25">
      <c r="B8428" s="289">
        <v>6488</v>
      </c>
      <c r="C8428" s="261">
        <v>111</v>
      </c>
      <c r="D8428" s="244" t="s">
        <v>11</v>
      </c>
      <c r="E8428" s="263">
        <v>3</v>
      </c>
      <c r="F8428" s="294" t="s">
        <v>1478</v>
      </c>
      <c r="G8428" s="294" t="s">
        <v>126</v>
      </c>
      <c r="H8428" s="298">
        <v>1</v>
      </c>
      <c r="M8428" s="274"/>
    </row>
    <row r="8429" spans="2:13" ht="15" customHeight="1" x14ac:dyDescent="0.25">
      <c r="B8429" s="289">
        <v>6489</v>
      </c>
      <c r="C8429" s="261">
        <v>102</v>
      </c>
      <c r="D8429" s="244" t="s">
        <v>11</v>
      </c>
      <c r="E8429" s="263">
        <v>22</v>
      </c>
      <c r="F8429" s="294" t="s">
        <v>1501</v>
      </c>
      <c r="G8429" s="294" t="s">
        <v>126</v>
      </c>
      <c r="H8429" s="298">
        <v>1</v>
      </c>
      <c r="M8429" s="274"/>
    </row>
    <row r="8430" spans="2:13" ht="15" customHeight="1" x14ac:dyDescent="0.25">
      <c r="B8430" s="289">
        <v>6490</v>
      </c>
      <c r="C8430" s="261">
        <v>104</v>
      </c>
      <c r="D8430" s="244" t="s">
        <v>11</v>
      </c>
      <c r="E8430" s="263">
        <v>2</v>
      </c>
      <c r="F8430" s="294" t="s">
        <v>214</v>
      </c>
      <c r="G8430" s="294" t="s">
        <v>126</v>
      </c>
      <c r="H8430" s="298">
        <v>1</v>
      </c>
      <c r="M8430" s="274"/>
    </row>
    <row r="8431" spans="2:13" ht="15" customHeight="1" x14ac:dyDescent="0.25">
      <c r="B8431" s="289">
        <v>6491</v>
      </c>
      <c r="C8431" s="261">
        <v>106</v>
      </c>
      <c r="D8431" s="244" t="s">
        <v>11</v>
      </c>
      <c r="E8431" s="263">
        <v>6</v>
      </c>
      <c r="F8431" s="294" t="s">
        <v>1514</v>
      </c>
      <c r="G8431" s="294" t="s">
        <v>126</v>
      </c>
      <c r="H8431" s="298">
        <v>1</v>
      </c>
      <c r="M8431" s="274"/>
    </row>
    <row r="8432" spans="2:13" ht="15" customHeight="1" x14ac:dyDescent="0.25">
      <c r="B8432" s="289">
        <v>6492</v>
      </c>
      <c r="C8432" s="261">
        <v>105</v>
      </c>
      <c r="D8432" s="244" t="s">
        <v>12</v>
      </c>
      <c r="E8432" s="263">
        <v>2</v>
      </c>
      <c r="F8432" s="294" t="s">
        <v>126</v>
      </c>
      <c r="G8432" s="294" t="s">
        <v>417</v>
      </c>
      <c r="H8432" s="298">
        <v>1</v>
      </c>
      <c r="M8432" s="274"/>
    </row>
    <row r="8433" spans="2:13" ht="15" customHeight="1" x14ac:dyDescent="0.25">
      <c r="B8433" s="289">
        <v>6493</v>
      </c>
      <c r="C8433" s="261">
        <v>105</v>
      </c>
      <c r="D8433" s="244" t="s">
        <v>12</v>
      </c>
      <c r="E8433" s="263">
        <v>1</v>
      </c>
      <c r="F8433" s="294" t="s">
        <v>126</v>
      </c>
      <c r="G8433" s="294" t="s">
        <v>437</v>
      </c>
      <c r="H8433" s="298">
        <v>1</v>
      </c>
      <c r="M8433" s="274"/>
    </row>
    <row r="8434" spans="2:13" ht="15" customHeight="1" x14ac:dyDescent="0.25">
      <c r="B8434" s="289">
        <v>6494</v>
      </c>
      <c r="C8434" s="261">
        <v>108</v>
      </c>
      <c r="D8434" s="244" t="s">
        <v>11</v>
      </c>
      <c r="E8434" s="263">
        <v>1</v>
      </c>
      <c r="F8434" s="294" t="s">
        <v>139</v>
      </c>
      <c r="G8434" s="294" t="s">
        <v>126</v>
      </c>
      <c r="H8434" s="298">
        <v>1</v>
      </c>
      <c r="M8434" s="274"/>
    </row>
    <row r="8435" spans="2:13" ht="15" customHeight="1" x14ac:dyDescent="0.25">
      <c r="B8435" s="289">
        <v>6495</v>
      </c>
      <c r="C8435" s="261">
        <v>107</v>
      </c>
      <c r="D8435" s="244" t="s">
        <v>11</v>
      </c>
      <c r="E8435" s="263">
        <v>3</v>
      </c>
      <c r="F8435" s="294" t="s">
        <v>863</v>
      </c>
      <c r="G8435" s="294" t="s">
        <v>126</v>
      </c>
      <c r="H8435" s="298">
        <v>1</v>
      </c>
      <c r="M8435" s="274"/>
    </row>
    <row r="8436" spans="2:13" ht="15" customHeight="1" x14ac:dyDescent="0.25">
      <c r="B8436" s="289">
        <v>6496</v>
      </c>
      <c r="C8436" s="261">
        <v>108</v>
      </c>
      <c r="D8436" s="244" t="s">
        <v>11</v>
      </c>
      <c r="E8436" s="263">
        <v>1</v>
      </c>
      <c r="F8436" s="294" t="s">
        <v>139</v>
      </c>
      <c r="G8436" s="294" t="s">
        <v>126</v>
      </c>
      <c r="H8436" s="298">
        <v>1</v>
      </c>
      <c r="M8436" s="274"/>
    </row>
    <row r="8437" spans="2:13" ht="15" customHeight="1" x14ac:dyDescent="0.25">
      <c r="B8437" s="289">
        <v>6497</v>
      </c>
      <c r="C8437" s="261">
        <v>107</v>
      </c>
      <c r="D8437" s="244" t="s">
        <v>12</v>
      </c>
      <c r="E8437" s="263">
        <v>1</v>
      </c>
      <c r="F8437" s="294" t="s">
        <v>126</v>
      </c>
      <c r="G8437" s="294" t="s">
        <v>426</v>
      </c>
      <c r="H8437" s="298">
        <v>1</v>
      </c>
      <c r="M8437" s="274"/>
    </row>
    <row r="8438" spans="2:13" ht="15" customHeight="1" x14ac:dyDescent="0.25">
      <c r="B8438" s="289">
        <v>6498</v>
      </c>
      <c r="C8438" s="261">
        <v>111</v>
      </c>
      <c r="D8438" s="244" t="s">
        <v>11</v>
      </c>
      <c r="E8438" s="263">
        <v>1</v>
      </c>
      <c r="F8438" s="294" t="s">
        <v>235</v>
      </c>
      <c r="G8438" s="294" t="s">
        <v>126</v>
      </c>
      <c r="H8438" s="298">
        <v>1</v>
      </c>
      <c r="M8438" s="274"/>
    </row>
    <row r="8439" spans="2:13" ht="15" customHeight="1" x14ac:dyDescent="0.25">
      <c r="B8439" s="289">
        <v>6500</v>
      </c>
      <c r="C8439" s="261">
        <v>105</v>
      </c>
      <c r="D8439" s="244" t="s">
        <v>12</v>
      </c>
      <c r="E8439" s="263">
        <v>1</v>
      </c>
      <c r="F8439" s="294" t="s">
        <v>126</v>
      </c>
      <c r="G8439" s="294" t="s">
        <v>235</v>
      </c>
      <c r="H8439" s="298">
        <v>1</v>
      </c>
      <c r="M8439" s="274"/>
    </row>
    <row r="8440" spans="2:13" ht="15" customHeight="1" x14ac:dyDescent="0.25">
      <c r="B8440" s="289">
        <v>6501</v>
      </c>
      <c r="C8440" s="261">
        <v>105</v>
      </c>
      <c r="D8440" s="244" t="s">
        <v>12</v>
      </c>
      <c r="E8440" s="263">
        <v>11</v>
      </c>
      <c r="F8440" s="294" t="s">
        <v>126</v>
      </c>
      <c r="G8440" s="294" t="s">
        <v>1515</v>
      </c>
      <c r="H8440" s="298">
        <v>1</v>
      </c>
      <c r="M8440" s="274"/>
    </row>
    <row r="8441" spans="2:13" ht="15" customHeight="1" x14ac:dyDescent="0.25">
      <c r="B8441" s="289">
        <v>6502</v>
      </c>
      <c r="C8441" s="261">
        <v>105</v>
      </c>
      <c r="D8441" s="244" t="s">
        <v>12</v>
      </c>
      <c r="E8441" s="263">
        <v>2</v>
      </c>
      <c r="F8441" s="294" t="s">
        <v>126</v>
      </c>
      <c r="G8441" s="294" t="s">
        <v>341</v>
      </c>
      <c r="H8441" s="298">
        <v>1</v>
      </c>
      <c r="M8441" s="274"/>
    </row>
    <row r="8442" spans="2:13" ht="15" customHeight="1" x14ac:dyDescent="0.25">
      <c r="B8442" s="289">
        <v>6503</v>
      </c>
      <c r="C8442" s="261">
        <v>105</v>
      </c>
      <c r="D8442" s="244" t="s">
        <v>12</v>
      </c>
      <c r="E8442" s="263">
        <v>5</v>
      </c>
      <c r="F8442" s="294" t="s">
        <v>126</v>
      </c>
      <c r="G8442" s="294" t="s">
        <v>1516</v>
      </c>
      <c r="H8442" s="298">
        <v>1</v>
      </c>
      <c r="M8442" s="274"/>
    </row>
    <row r="8443" spans="2:13" ht="15" customHeight="1" x14ac:dyDescent="0.25">
      <c r="B8443" s="289">
        <v>6504</v>
      </c>
      <c r="C8443" s="261">
        <v>105</v>
      </c>
      <c r="D8443" s="244" t="s">
        <v>12</v>
      </c>
      <c r="E8443" s="263">
        <v>1</v>
      </c>
      <c r="F8443" s="294" t="s">
        <v>126</v>
      </c>
      <c r="G8443" s="294" t="s">
        <v>437</v>
      </c>
      <c r="H8443" s="298">
        <v>1</v>
      </c>
      <c r="M8443" s="274"/>
    </row>
    <row r="8444" spans="2:13" ht="15" customHeight="1" x14ac:dyDescent="0.25">
      <c r="B8444" s="289">
        <v>6505</v>
      </c>
      <c r="C8444" s="261">
        <v>107</v>
      </c>
      <c r="D8444" s="244" t="s">
        <v>11</v>
      </c>
      <c r="E8444" s="263">
        <v>3</v>
      </c>
      <c r="F8444" s="294" t="s">
        <v>863</v>
      </c>
      <c r="G8444" s="294" t="s">
        <v>126</v>
      </c>
      <c r="H8444" s="298">
        <v>1</v>
      </c>
      <c r="M8444" s="274"/>
    </row>
    <row r="8445" spans="2:13" ht="15" customHeight="1" x14ac:dyDescent="0.25">
      <c r="B8445" s="289">
        <v>6506</v>
      </c>
      <c r="C8445" s="261">
        <v>103</v>
      </c>
      <c r="D8445" s="244" t="s">
        <v>11</v>
      </c>
      <c r="E8445" s="263">
        <v>1</v>
      </c>
      <c r="F8445" s="294" t="s">
        <v>437</v>
      </c>
      <c r="G8445" s="294" t="s">
        <v>126</v>
      </c>
      <c r="H8445" s="298">
        <v>1</v>
      </c>
      <c r="M8445" s="274"/>
    </row>
    <row r="8446" spans="2:13" ht="15" customHeight="1" x14ac:dyDescent="0.25">
      <c r="B8446" s="289">
        <v>6506</v>
      </c>
      <c r="C8446" s="261">
        <v>114</v>
      </c>
      <c r="D8446" s="244" t="s">
        <v>12</v>
      </c>
      <c r="E8446" s="263">
        <v>1</v>
      </c>
      <c r="F8446" s="294" t="s">
        <v>126</v>
      </c>
      <c r="G8446" s="294" t="s">
        <v>235</v>
      </c>
      <c r="H8446" s="298">
        <v>1</v>
      </c>
      <c r="M8446" s="274"/>
    </row>
    <row r="8447" spans="2:13" ht="15" customHeight="1" x14ac:dyDescent="0.25">
      <c r="B8447" s="289">
        <v>6507</v>
      </c>
      <c r="C8447" s="261">
        <v>105</v>
      </c>
      <c r="D8447" s="244" t="s">
        <v>11</v>
      </c>
      <c r="E8447" s="263">
        <v>4</v>
      </c>
      <c r="F8447" s="294" t="s">
        <v>1498</v>
      </c>
      <c r="G8447" s="294" t="s">
        <v>126</v>
      </c>
      <c r="H8447" s="298">
        <v>1</v>
      </c>
      <c r="M8447" s="274"/>
    </row>
    <row r="8448" spans="2:13" ht="15" customHeight="1" x14ac:dyDescent="0.25">
      <c r="B8448" s="289">
        <v>6507</v>
      </c>
      <c r="C8448" s="261">
        <v>114</v>
      </c>
      <c r="D8448" s="244" t="s">
        <v>12</v>
      </c>
      <c r="E8448" s="263">
        <v>4</v>
      </c>
      <c r="F8448" s="294" t="s">
        <v>126</v>
      </c>
      <c r="G8448" s="294" t="s">
        <v>1510</v>
      </c>
      <c r="H8448" s="298">
        <v>1</v>
      </c>
      <c r="M8448" s="274"/>
    </row>
    <row r="8449" spans="2:13" ht="15" customHeight="1" x14ac:dyDescent="0.25">
      <c r="B8449" s="289">
        <v>6508</v>
      </c>
      <c r="C8449" s="261">
        <v>103</v>
      </c>
      <c r="D8449" s="244" t="s">
        <v>12</v>
      </c>
      <c r="E8449" s="263">
        <v>4</v>
      </c>
      <c r="F8449" s="294" t="s">
        <v>126</v>
      </c>
      <c r="G8449" s="294" t="s">
        <v>1517</v>
      </c>
      <c r="H8449" s="298">
        <v>1</v>
      </c>
      <c r="M8449" s="274"/>
    </row>
    <row r="8450" spans="2:13" ht="15" customHeight="1" x14ac:dyDescent="0.25">
      <c r="B8450" s="289">
        <v>6508</v>
      </c>
      <c r="C8450" s="261">
        <v>110</v>
      </c>
      <c r="D8450" s="244" t="s">
        <v>11</v>
      </c>
      <c r="E8450" s="263">
        <v>4</v>
      </c>
      <c r="F8450" s="294" t="s">
        <v>682</v>
      </c>
      <c r="G8450" s="294" t="s">
        <v>126</v>
      </c>
      <c r="H8450" s="298">
        <v>1</v>
      </c>
      <c r="M8450" s="274"/>
    </row>
    <row r="8451" spans="2:13" ht="15" customHeight="1" x14ac:dyDescent="0.25">
      <c r="B8451" s="289">
        <v>6509</v>
      </c>
      <c r="C8451" s="261">
        <v>98</v>
      </c>
      <c r="D8451" s="244" t="s">
        <v>11</v>
      </c>
      <c r="E8451" s="263">
        <v>23</v>
      </c>
      <c r="F8451" s="294" t="s">
        <v>1518</v>
      </c>
      <c r="G8451" s="294" t="s">
        <v>126</v>
      </c>
      <c r="H8451" s="298">
        <v>1</v>
      </c>
      <c r="M8451" s="274"/>
    </row>
    <row r="8452" spans="2:13" ht="15" customHeight="1" x14ac:dyDescent="0.25">
      <c r="B8452" s="289">
        <v>6510</v>
      </c>
      <c r="C8452" s="261">
        <v>98</v>
      </c>
      <c r="D8452" s="244" t="s">
        <v>11</v>
      </c>
      <c r="E8452" s="263">
        <v>8</v>
      </c>
      <c r="F8452" s="294" t="s">
        <v>1519</v>
      </c>
      <c r="G8452" s="294" t="s">
        <v>126</v>
      </c>
      <c r="H8452" s="298">
        <v>1</v>
      </c>
      <c r="M8452" s="274"/>
    </row>
    <row r="8453" spans="2:13" ht="15" customHeight="1" x14ac:dyDescent="0.25">
      <c r="B8453" s="289">
        <v>6511</v>
      </c>
      <c r="C8453" s="261">
        <v>104</v>
      </c>
      <c r="D8453" s="244" t="s">
        <v>11</v>
      </c>
      <c r="E8453" s="263">
        <v>9</v>
      </c>
      <c r="F8453" s="294" t="s">
        <v>1520</v>
      </c>
      <c r="G8453" s="294" t="s">
        <v>126</v>
      </c>
      <c r="H8453" s="298">
        <v>1</v>
      </c>
      <c r="M8453" s="274"/>
    </row>
    <row r="8454" spans="2:13" ht="15" customHeight="1" x14ac:dyDescent="0.25">
      <c r="B8454" s="289">
        <v>6512</v>
      </c>
      <c r="C8454" s="261">
        <v>106</v>
      </c>
      <c r="D8454" s="244" t="s">
        <v>11</v>
      </c>
      <c r="E8454" s="263">
        <v>20</v>
      </c>
      <c r="F8454" s="294" t="s">
        <v>1521</v>
      </c>
      <c r="G8454" s="294" t="s">
        <v>126</v>
      </c>
      <c r="H8454" s="298">
        <v>1</v>
      </c>
      <c r="M8454" s="274"/>
    </row>
    <row r="8455" spans="2:13" ht="15" customHeight="1" x14ac:dyDescent="0.25">
      <c r="B8455" s="289">
        <v>6513</v>
      </c>
      <c r="C8455" s="261">
        <v>96</v>
      </c>
      <c r="D8455" s="244" t="s">
        <v>11</v>
      </c>
      <c r="E8455" s="263">
        <v>16</v>
      </c>
      <c r="F8455" s="294" t="s">
        <v>1512</v>
      </c>
      <c r="G8455" s="294" t="s">
        <v>126</v>
      </c>
      <c r="H8455" s="298">
        <v>1</v>
      </c>
      <c r="M8455" s="274"/>
    </row>
    <row r="8456" spans="2:13" ht="15" customHeight="1" x14ac:dyDescent="0.25">
      <c r="B8456" s="289">
        <v>6513</v>
      </c>
      <c r="C8456" s="261">
        <v>122</v>
      </c>
      <c r="D8456" s="244" t="s">
        <v>11</v>
      </c>
      <c r="E8456" s="263">
        <v>1</v>
      </c>
      <c r="F8456" s="294" t="s">
        <v>235</v>
      </c>
      <c r="G8456" s="294" t="s">
        <v>126</v>
      </c>
      <c r="H8456" s="298">
        <v>1</v>
      </c>
      <c r="M8456" s="274"/>
    </row>
    <row r="8457" spans="2:13" ht="15" customHeight="1" x14ac:dyDescent="0.25">
      <c r="B8457" s="289">
        <v>6514</v>
      </c>
      <c r="C8457" s="261">
        <v>105</v>
      </c>
      <c r="D8457" s="244" t="s">
        <v>12</v>
      </c>
      <c r="E8457" s="263">
        <v>1</v>
      </c>
      <c r="F8457" s="294" t="s">
        <v>126</v>
      </c>
      <c r="G8457" s="294" t="s">
        <v>437</v>
      </c>
      <c r="H8457" s="298">
        <v>1</v>
      </c>
      <c r="M8457" s="274"/>
    </row>
    <row r="8458" spans="2:13" ht="15" customHeight="1" x14ac:dyDescent="0.25">
      <c r="B8458" s="289">
        <v>6515</v>
      </c>
      <c r="C8458" s="261">
        <v>102</v>
      </c>
      <c r="D8458" s="244" t="s">
        <v>11</v>
      </c>
      <c r="E8458" s="263">
        <v>6</v>
      </c>
      <c r="F8458" s="294" t="s">
        <v>1522</v>
      </c>
      <c r="G8458" s="294" t="s">
        <v>126</v>
      </c>
      <c r="H8458" s="298">
        <v>1</v>
      </c>
      <c r="M8458" s="274"/>
    </row>
    <row r="8459" spans="2:13" ht="15" customHeight="1" x14ac:dyDescent="0.25">
      <c r="B8459" s="289">
        <v>6516</v>
      </c>
      <c r="C8459" s="261">
        <v>107</v>
      </c>
      <c r="D8459" s="244" t="s">
        <v>11</v>
      </c>
      <c r="E8459" s="263">
        <v>3</v>
      </c>
      <c r="F8459" s="294" t="s">
        <v>863</v>
      </c>
      <c r="G8459" s="294" t="s">
        <v>126</v>
      </c>
      <c r="H8459" s="298">
        <v>1</v>
      </c>
      <c r="M8459" s="274"/>
    </row>
    <row r="8460" spans="2:13" ht="15" customHeight="1" x14ac:dyDescent="0.25">
      <c r="B8460" s="289">
        <v>6517</v>
      </c>
      <c r="C8460" s="261">
        <v>105</v>
      </c>
      <c r="D8460" s="244" t="s">
        <v>12</v>
      </c>
      <c r="E8460" s="263">
        <v>1</v>
      </c>
      <c r="F8460" s="294" t="s">
        <v>126</v>
      </c>
      <c r="G8460" s="294" t="s">
        <v>437</v>
      </c>
      <c r="H8460" s="298">
        <v>1</v>
      </c>
      <c r="M8460" s="274"/>
    </row>
    <row r="8461" spans="2:13" ht="15" customHeight="1" x14ac:dyDescent="0.25">
      <c r="B8461" s="289">
        <v>6518</v>
      </c>
      <c r="C8461" s="261">
        <v>107</v>
      </c>
      <c r="D8461" s="244" t="s">
        <v>11</v>
      </c>
      <c r="E8461" s="263">
        <v>3</v>
      </c>
      <c r="F8461" s="294" t="s">
        <v>863</v>
      </c>
      <c r="G8461" s="294" t="s">
        <v>126</v>
      </c>
      <c r="H8461" s="298">
        <v>1</v>
      </c>
      <c r="M8461" s="274"/>
    </row>
    <row r="8462" spans="2:13" ht="15" customHeight="1" x14ac:dyDescent="0.25">
      <c r="B8462" s="289">
        <v>6519</v>
      </c>
      <c r="C8462" s="261">
        <v>104</v>
      </c>
      <c r="D8462" s="244" t="s">
        <v>11</v>
      </c>
      <c r="E8462" s="263">
        <v>9</v>
      </c>
      <c r="F8462" s="294" t="s">
        <v>1520</v>
      </c>
      <c r="G8462" s="294" t="s">
        <v>126</v>
      </c>
      <c r="H8462" s="298">
        <v>1</v>
      </c>
      <c r="M8462" s="274"/>
    </row>
    <row r="8463" spans="2:13" ht="15" customHeight="1" x14ac:dyDescent="0.25">
      <c r="B8463" s="289">
        <v>6520</v>
      </c>
      <c r="C8463" s="261">
        <v>104</v>
      </c>
      <c r="D8463" s="244" t="s">
        <v>11</v>
      </c>
      <c r="E8463" s="263">
        <v>2</v>
      </c>
      <c r="F8463" s="294" t="s">
        <v>214</v>
      </c>
      <c r="G8463" s="294" t="s">
        <v>126</v>
      </c>
      <c r="H8463" s="298">
        <v>1</v>
      </c>
      <c r="M8463" s="274"/>
    </row>
    <row r="8464" spans="2:13" ht="15" customHeight="1" x14ac:dyDescent="0.25">
      <c r="B8464" s="289">
        <v>6521</v>
      </c>
      <c r="C8464" s="261">
        <v>106</v>
      </c>
      <c r="D8464" s="244" t="s">
        <v>11</v>
      </c>
      <c r="E8464" s="263">
        <v>4</v>
      </c>
      <c r="F8464" s="294" t="s">
        <v>1483</v>
      </c>
      <c r="G8464" s="294" t="s">
        <v>126</v>
      </c>
      <c r="H8464" s="298">
        <v>1</v>
      </c>
      <c r="M8464" s="274"/>
    </row>
    <row r="8465" spans="2:13" ht="15" customHeight="1" x14ac:dyDescent="0.25">
      <c r="B8465" s="289">
        <v>6522</v>
      </c>
      <c r="C8465" s="261">
        <v>106</v>
      </c>
      <c r="D8465" s="244" t="s">
        <v>11</v>
      </c>
      <c r="E8465" s="263">
        <v>2</v>
      </c>
      <c r="F8465" s="294" t="s">
        <v>341</v>
      </c>
      <c r="G8465" s="294" t="s">
        <v>126</v>
      </c>
      <c r="H8465" s="298">
        <v>1</v>
      </c>
      <c r="M8465" s="274"/>
    </row>
    <row r="8466" spans="2:13" ht="15" customHeight="1" x14ac:dyDescent="0.25">
      <c r="B8466" s="289">
        <v>6523</v>
      </c>
      <c r="C8466" s="261">
        <v>105</v>
      </c>
      <c r="D8466" s="244" t="s">
        <v>12</v>
      </c>
      <c r="E8466" s="263">
        <v>3</v>
      </c>
      <c r="F8466" s="294" t="s">
        <v>126</v>
      </c>
      <c r="G8466" s="294" t="s">
        <v>1523</v>
      </c>
      <c r="H8466" s="298">
        <v>1</v>
      </c>
      <c r="M8466" s="274"/>
    </row>
    <row r="8467" spans="2:13" ht="15" customHeight="1" x14ac:dyDescent="0.25">
      <c r="B8467" s="289">
        <v>6524</v>
      </c>
      <c r="C8467" s="261">
        <v>105</v>
      </c>
      <c r="D8467" s="244" t="s">
        <v>12</v>
      </c>
      <c r="E8467" s="263">
        <v>1</v>
      </c>
      <c r="F8467" s="294" t="s">
        <v>126</v>
      </c>
      <c r="G8467" s="294" t="s">
        <v>437</v>
      </c>
      <c r="H8467" s="298">
        <v>1</v>
      </c>
      <c r="M8467" s="274"/>
    </row>
    <row r="8468" spans="2:13" ht="15" customHeight="1" x14ac:dyDescent="0.25">
      <c r="B8468" s="289">
        <v>6525</v>
      </c>
      <c r="C8468" s="261">
        <v>105</v>
      </c>
      <c r="D8468" s="244" t="s">
        <v>12</v>
      </c>
      <c r="E8468" s="263">
        <v>1</v>
      </c>
      <c r="F8468" s="294" t="s">
        <v>126</v>
      </c>
      <c r="G8468" s="294" t="s">
        <v>437</v>
      </c>
      <c r="H8468" s="298">
        <v>1</v>
      </c>
      <c r="M8468" s="274"/>
    </row>
    <row r="8469" spans="2:13" ht="15" customHeight="1" x14ac:dyDescent="0.25">
      <c r="B8469" s="289">
        <v>6526</v>
      </c>
      <c r="C8469" s="261">
        <v>105</v>
      </c>
      <c r="D8469" s="244" t="s">
        <v>12</v>
      </c>
      <c r="E8469" s="263">
        <v>1</v>
      </c>
      <c r="F8469" s="294" t="s">
        <v>126</v>
      </c>
      <c r="G8469" s="294" t="s">
        <v>437</v>
      </c>
      <c r="H8469" s="298">
        <v>1</v>
      </c>
      <c r="M8469" s="274"/>
    </row>
    <row r="8470" spans="2:13" ht="15" customHeight="1" x14ac:dyDescent="0.25">
      <c r="B8470" s="289">
        <v>6529</v>
      </c>
      <c r="C8470" s="261">
        <v>106</v>
      </c>
      <c r="D8470" s="244" t="s">
        <v>12</v>
      </c>
      <c r="E8470" s="263">
        <v>1</v>
      </c>
      <c r="F8470" s="294" t="s">
        <v>126</v>
      </c>
      <c r="G8470" s="294" t="s">
        <v>139</v>
      </c>
      <c r="H8470" s="298">
        <v>1</v>
      </c>
      <c r="M8470" s="274"/>
    </row>
    <row r="8471" spans="2:13" ht="15" customHeight="1" x14ac:dyDescent="0.25">
      <c r="B8471" s="289">
        <v>6530</v>
      </c>
      <c r="C8471" s="261">
        <v>104</v>
      </c>
      <c r="D8471" s="244" t="s">
        <v>11</v>
      </c>
      <c r="E8471" s="263">
        <v>3</v>
      </c>
      <c r="F8471" s="294" t="s">
        <v>463</v>
      </c>
      <c r="G8471" s="294" t="s">
        <v>126</v>
      </c>
      <c r="H8471" s="298">
        <v>1</v>
      </c>
      <c r="M8471" s="274"/>
    </row>
    <row r="8472" spans="2:13" ht="15" customHeight="1" x14ac:dyDescent="0.25">
      <c r="B8472" s="289">
        <v>6531</v>
      </c>
      <c r="C8472" s="261">
        <v>104</v>
      </c>
      <c r="D8472" s="244" t="s">
        <v>11</v>
      </c>
      <c r="E8472" s="263">
        <v>1</v>
      </c>
      <c r="F8472" s="294" t="s">
        <v>235</v>
      </c>
      <c r="G8472" s="294" t="s">
        <v>126</v>
      </c>
      <c r="H8472" s="298">
        <v>1</v>
      </c>
      <c r="M8472" s="274"/>
    </row>
    <row r="8473" spans="2:13" ht="15" customHeight="1" x14ac:dyDescent="0.25">
      <c r="B8473" s="289">
        <v>6531</v>
      </c>
      <c r="C8473" s="261">
        <v>114</v>
      </c>
      <c r="D8473" s="244" t="s">
        <v>12</v>
      </c>
      <c r="E8473" s="263">
        <v>3</v>
      </c>
      <c r="F8473" s="294" t="s">
        <v>126</v>
      </c>
      <c r="G8473" s="294" t="s">
        <v>1524</v>
      </c>
      <c r="H8473" s="298">
        <v>1</v>
      </c>
      <c r="M8473" s="274"/>
    </row>
    <row r="8474" spans="2:13" ht="15" customHeight="1" x14ac:dyDescent="0.25">
      <c r="B8474" s="289">
        <v>6532</v>
      </c>
      <c r="C8474" s="261">
        <v>103</v>
      </c>
      <c r="D8474" s="244" t="s">
        <v>12</v>
      </c>
      <c r="E8474" s="263">
        <v>8</v>
      </c>
      <c r="F8474" s="294" t="s">
        <v>126</v>
      </c>
      <c r="G8474" s="294" t="s">
        <v>1525</v>
      </c>
      <c r="H8474" s="298">
        <v>1</v>
      </c>
      <c r="M8474" s="274"/>
    </row>
    <row r="8475" spans="2:13" ht="15" customHeight="1" x14ac:dyDescent="0.25">
      <c r="B8475" s="289">
        <v>6532</v>
      </c>
      <c r="C8475" s="261">
        <v>110</v>
      </c>
      <c r="D8475" s="244" t="s">
        <v>12</v>
      </c>
      <c r="E8475" s="263">
        <v>1</v>
      </c>
      <c r="F8475" s="294" t="s">
        <v>126</v>
      </c>
      <c r="G8475" s="294" t="s">
        <v>139</v>
      </c>
      <c r="H8475" s="298">
        <v>1</v>
      </c>
      <c r="M8475" s="274"/>
    </row>
    <row r="8476" spans="2:13" ht="15" customHeight="1" x14ac:dyDescent="0.25">
      <c r="B8476" s="289">
        <v>6533</v>
      </c>
      <c r="C8476" s="261">
        <v>105</v>
      </c>
      <c r="D8476" s="244" t="s">
        <v>12</v>
      </c>
      <c r="E8476" s="263">
        <v>1</v>
      </c>
      <c r="F8476" s="294" t="s">
        <v>126</v>
      </c>
      <c r="G8476" s="294" t="s">
        <v>437</v>
      </c>
      <c r="H8476" s="298">
        <v>1</v>
      </c>
      <c r="M8476" s="274"/>
    </row>
    <row r="8477" spans="2:13" ht="15" customHeight="1" x14ac:dyDescent="0.25">
      <c r="B8477" s="289">
        <v>6534</v>
      </c>
      <c r="C8477" s="261">
        <v>105</v>
      </c>
      <c r="D8477" s="244" t="s">
        <v>12</v>
      </c>
      <c r="E8477" s="263">
        <v>1</v>
      </c>
      <c r="F8477" s="294" t="s">
        <v>126</v>
      </c>
      <c r="G8477" s="294" t="s">
        <v>437</v>
      </c>
      <c r="H8477" s="298">
        <v>1</v>
      </c>
      <c r="M8477" s="274"/>
    </row>
    <row r="8478" spans="2:13" ht="15" customHeight="1" x14ac:dyDescent="0.25">
      <c r="B8478" s="289">
        <v>6535</v>
      </c>
      <c r="C8478" s="261">
        <v>105</v>
      </c>
      <c r="D8478" s="244" t="s">
        <v>12</v>
      </c>
      <c r="E8478" s="263">
        <v>1</v>
      </c>
      <c r="F8478" s="294" t="s">
        <v>126</v>
      </c>
      <c r="G8478" s="294" t="s">
        <v>437</v>
      </c>
      <c r="H8478" s="298">
        <v>1</v>
      </c>
      <c r="M8478" s="274"/>
    </row>
    <row r="8479" spans="2:13" ht="15" customHeight="1" x14ac:dyDescent="0.25">
      <c r="B8479" s="289">
        <v>6536</v>
      </c>
      <c r="C8479" s="261">
        <v>105</v>
      </c>
      <c r="D8479" s="244" t="s">
        <v>12</v>
      </c>
      <c r="E8479" s="263">
        <v>2</v>
      </c>
      <c r="F8479" s="294" t="s">
        <v>126</v>
      </c>
      <c r="G8479" s="294" t="s">
        <v>417</v>
      </c>
      <c r="H8479" s="298">
        <v>1</v>
      </c>
      <c r="M8479" s="274"/>
    </row>
    <row r="8480" spans="2:13" ht="15" customHeight="1" x14ac:dyDescent="0.25">
      <c r="B8480" s="289">
        <v>6537</v>
      </c>
      <c r="C8480" s="261">
        <v>105</v>
      </c>
      <c r="D8480" s="244" t="s">
        <v>12</v>
      </c>
      <c r="E8480" s="263">
        <v>1</v>
      </c>
      <c r="F8480" s="294" t="s">
        <v>126</v>
      </c>
      <c r="G8480" s="294" t="s">
        <v>437</v>
      </c>
      <c r="H8480" s="298">
        <v>1</v>
      </c>
      <c r="M8480" s="274"/>
    </row>
    <row r="8481" spans="2:13" ht="15" customHeight="1" x14ac:dyDescent="0.25">
      <c r="B8481" s="289">
        <v>6538</v>
      </c>
      <c r="C8481" s="261">
        <v>105</v>
      </c>
      <c r="D8481" s="244" t="s">
        <v>12</v>
      </c>
      <c r="E8481" s="263">
        <v>1</v>
      </c>
      <c r="F8481" s="294" t="s">
        <v>126</v>
      </c>
      <c r="G8481" s="294" t="s">
        <v>437</v>
      </c>
      <c r="H8481" s="298">
        <v>1</v>
      </c>
      <c r="M8481" s="274"/>
    </row>
    <row r="8482" spans="2:13" ht="15" customHeight="1" x14ac:dyDescent="0.25">
      <c r="B8482" s="289">
        <v>6540</v>
      </c>
      <c r="C8482" s="261">
        <v>105</v>
      </c>
      <c r="D8482" s="244" t="s">
        <v>12</v>
      </c>
      <c r="E8482" s="263">
        <v>2</v>
      </c>
      <c r="F8482" s="294" t="s">
        <v>126</v>
      </c>
      <c r="G8482" s="294" t="s">
        <v>789</v>
      </c>
      <c r="H8482" s="298">
        <v>1</v>
      </c>
      <c r="M8482" s="274"/>
    </row>
    <row r="8483" spans="2:13" ht="15" customHeight="1" x14ac:dyDescent="0.25">
      <c r="B8483" s="289">
        <v>6541</v>
      </c>
      <c r="C8483" s="261">
        <v>105</v>
      </c>
      <c r="D8483" s="244" t="s">
        <v>12</v>
      </c>
      <c r="E8483" s="263">
        <v>10</v>
      </c>
      <c r="F8483" s="294" t="s">
        <v>126</v>
      </c>
      <c r="G8483" s="294" t="s">
        <v>1526</v>
      </c>
      <c r="H8483" s="298">
        <v>1</v>
      </c>
      <c r="M8483" s="274"/>
    </row>
    <row r="8484" spans="2:13" ht="15" customHeight="1" x14ac:dyDescent="0.25">
      <c r="B8484" s="289">
        <v>6542</v>
      </c>
      <c r="C8484" s="261">
        <v>86</v>
      </c>
      <c r="D8484" s="244" t="s">
        <v>12</v>
      </c>
      <c r="E8484" s="263">
        <v>13</v>
      </c>
      <c r="F8484" s="294" t="s">
        <v>126</v>
      </c>
      <c r="G8484" s="294" t="s">
        <v>1527</v>
      </c>
      <c r="H8484" s="298">
        <v>1</v>
      </c>
      <c r="M8484" s="274"/>
    </row>
    <row r="8485" spans="2:13" ht="15" customHeight="1" x14ac:dyDescent="0.25">
      <c r="B8485" s="289">
        <v>6542</v>
      </c>
      <c r="C8485" s="261">
        <v>103</v>
      </c>
      <c r="D8485" s="244" t="s">
        <v>12</v>
      </c>
      <c r="E8485" s="263">
        <v>4</v>
      </c>
      <c r="F8485" s="294" t="s">
        <v>126</v>
      </c>
      <c r="G8485" s="294" t="s">
        <v>996</v>
      </c>
      <c r="H8485" s="298">
        <v>1</v>
      </c>
      <c r="M8485" s="274"/>
    </row>
    <row r="8486" spans="2:13" ht="15" customHeight="1" x14ac:dyDescent="0.25">
      <c r="B8486" s="289">
        <v>6542</v>
      </c>
      <c r="C8486" s="261">
        <v>110</v>
      </c>
      <c r="D8486" s="244" t="s">
        <v>11</v>
      </c>
      <c r="E8486" s="263">
        <v>4</v>
      </c>
      <c r="F8486" s="294" t="s">
        <v>682</v>
      </c>
      <c r="G8486" s="294" t="s">
        <v>126</v>
      </c>
      <c r="H8486" s="298">
        <v>1</v>
      </c>
      <c r="M8486" s="274"/>
    </row>
    <row r="8487" spans="2:13" ht="15" customHeight="1" x14ac:dyDescent="0.25">
      <c r="B8487" s="289">
        <v>6543</v>
      </c>
      <c r="C8487" s="261">
        <v>86</v>
      </c>
      <c r="D8487" s="244" t="s">
        <v>12</v>
      </c>
      <c r="E8487" s="263">
        <v>13</v>
      </c>
      <c r="F8487" s="294" t="s">
        <v>126</v>
      </c>
      <c r="G8487" s="294" t="s">
        <v>1527</v>
      </c>
      <c r="H8487" s="298">
        <v>1</v>
      </c>
      <c r="M8487" s="274"/>
    </row>
    <row r="8488" spans="2:13" ht="15" customHeight="1" x14ac:dyDescent="0.25">
      <c r="B8488" s="289">
        <v>6543</v>
      </c>
      <c r="C8488" s="261">
        <v>103</v>
      </c>
      <c r="D8488" s="244" t="s">
        <v>12</v>
      </c>
      <c r="E8488" s="263">
        <v>4</v>
      </c>
      <c r="F8488" s="294" t="s">
        <v>126</v>
      </c>
      <c r="G8488" s="294" t="s">
        <v>1528</v>
      </c>
      <c r="H8488" s="298">
        <v>1</v>
      </c>
      <c r="M8488" s="274"/>
    </row>
    <row r="8489" spans="2:13" ht="15" customHeight="1" x14ac:dyDescent="0.25">
      <c r="B8489" s="289">
        <v>6543</v>
      </c>
      <c r="C8489" s="261">
        <v>110</v>
      </c>
      <c r="D8489" s="244" t="s">
        <v>11</v>
      </c>
      <c r="E8489" s="263">
        <v>4</v>
      </c>
      <c r="F8489" s="294" t="s">
        <v>682</v>
      </c>
      <c r="G8489" s="294" t="s">
        <v>126</v>
      </c>
      <c r="H8489" s="298">
        <v>1</v>
      </c>
      <c r="M8489" s="274"/>
    </row>
    <row r="8490" spans="2:13" ht="15" customHeight="1" x14ac:dyDescent="0.25">
      <c r="B8490" s="289">
        <v>6544</v>
      </c>
      <c r="C8490" s="261">
        <v>96</v>
      </c>
      <c r="D8490" s="244" t="s">
        <v>11</v>
      </c>
      <c r="E8490" s="263">
        <v>34</v>
      </c>
      <c r="F8490" s="294" t="s">
        <v>1529</v>
      </c>
      <c r="G8490" s="294" t="s">
        <v>126</v>
      </c>
      <c r="H8490" s="298">
        <v>1</v>
      </c>
      <c r="M8490" s="274"/>
    </row>
    <row r="8491" spans="2:13" ht="15" customHeight="1" x14ac:dyDescent="0.25">
      <c r="B8491" s="289">
        <v>6546</v>
      </c>
      <c r="C8491" s="261">
        <v>101</v>
      </c>
      <c r="D8491" s="244" t="s">
        <v>11</v>
      </c>
      <c r="E8491" s="263">
        <v>11</v>
      </c>
      <c r="F8491" s="294" t="s">
        <v>1530</v>
      </c>
      <c r="G8491" s="294" t="s">
        <v>126</v>
      </c>
      <c r="H8491" s="298">
        <v>1</v>
      </c>
      <c r="M8491" s="274"/>
    </row>
    <row r="8492" spans="2:13" ht="15" customHeight="1" x14ac:dyDescent="0.25">
      <c r="B8492" s="289">
        <v>6547</v>
      </c>
      <c r="C8492" s="261">
        <v>103</v>
      </c>
      <c r="D8492" s="244" t="s">
        <v>11</v>
      </c>
      <c r="E8492" s="263">
        <v>14</v>
      </c>
      <c r="F8492" s="294" t="s">
        <v>1531</v>
      </c>
      <c r="G8492" s="294" t="s">
        <v>126</v>
      </c>
      <c r="H8492" s="298">
        <v>1</v>
      </c>
      <c r="M8492" s="274"/>
    </row>
    <row r="8493" spans="2:13" ht="15" customHeight="1" x14ac:dyDescent="0.25">
      <c r="B8493" s="289">
        <v>6548</v>
      </c>
      <c r="C8493" s="261">
        <v>106</v>
      </c>
      <c r="D8493" s="244" t="s">
        <v>11</v>
      </c>
      <c r="E8493" s="263">
        <v>4</v>
      </c>
      <c r="F8493" s="294" t="s">
        <v>1483</v>
      </c>
      <c r="G8493" s="294" t="s">
        <v>126</v>
      </c>
      <c r="H8493" s="298">
        <v>1</v>
      </c>
      <c r="M8493" s="274"/>
    </row>
    <row r="8494" spans="2:13" ht="15" customHeight="1" x14ac:dyDescent="0.25">
      <c r="B8494" s="289">
        <v>6549</v>
      </c>
      <c r="C8494" s="261">
        <v>108</v>
      </c>
      <c r="D8494" s="244" t="s">
        <v>11</v>
      </c>
      <c r="E8494" s="263">
        <v>1</v>
      </c>
      <c r="F8494" s="294" t="s">
        <v>139</v>
      </c>
      <c r="G8494" s="294" t="s">
        <v>126</v>
      </c>
      <c r="H8494" s="298">
        <v>1</v>
      </c>
      <c r="M8494" s="274"/>
    </row>
    <row r="8495" spans="2:13" ht="15" customHeight="1" x14ac:dyDescent="0.25">
      <c r="B8495" s="289">
        <v>6550</v>
      </c>
      <c r="C8495" s="261">
        <v>105</v>
      </c>
      <c r="D8495" s="244" t="s">
        <v>12</v>
      </c>
      <c r="E8495" s="263">
        <v>1</v>
      </c>
      <c r="F8495" s="294" t="s">
        <v>126</v>
      </c>
      <c r="G8495" s="294" t="s">
        <v>426</v>
      </c>
      <c r="H8495" s="298">
        <v>1</v>
      </c>
      <c r="M8495" s="274"/>
    </row>
    <row r="8496" spans="2:13" ht="15" customHeight="1" x14ac:dyDescent="0.25">
      <c r="B8496" s="289">
        <v>6551</v>
      </c>
      <c r="C8496" s="261">
        <v>102</v>
      </c>
      <c r="D8496" s="244" t="s">
        <v>11</v>
      </c>
      <c r="E8496" s="263">
        <v>1</v>
      </c>
      <c r="F8496" s="294" t="s">
        <v>235</v>
      </c>
      <c r="G8496" s="294" t="s">
        <v>126</v>
      </c>
      <c r="H8496" s="298">
        <v>1</v>
      </c>
      <c r="M8496" s="274"/>
    </row>
    <row r="8497" spans="2:13" ht="15" customHeight="1" x14ac:dyDescent="0.25">
      <c r="B8497" s="289">
        <v>6551</v>
      </c>
      <c r="C8497" s="261">
        <v>105</v>
      </c>
      <c r="D8497" s="244" t="s">
        <v>11</v>
      </c>
      <c r="E8497" s="263">
        <v>4</v>
      </c>
      <c r="F8497" s="294" t="s">
        <v>1498</v>
      </c>
      <c r="G8497" s="294" t="s">
        <v>126</v>
      </c>
      <c r="H8497" s="298">
        <v>1</v>
      </c>
      <c r="M8497" s="274"/>
    </row>
    <row r="8498" spans="2:13" ht="15" customHeight="1" x14ac:dyDescent="0.25">
      <c r="B8498" s="289">
        <v>6552</v>
      </c>
      <c r="C8498" s="261">
        <v>102</v>
      </c>
      <c r="D8498" s="244" t="s">
        <v>11</v>
      </c>
      <c r="E8498" s="263">
        <v>1</v>
      </c>
      <c r="F8498" s="294" t="s">
        <v>235</v>
      </c>
      <c r="G8498" s="294" t="s">
        <v>126</v>
      </c>
      <c r="H8498" s="298">
        <v>1</v>
      </c>
      <c r="M8498" s="274"/>
    </row>
    <row r="8499" spans="2:13" ht="15" customHeight="1" x14ac:dyDescent="0.25">
      <c r="B8499" s="289">
        <v>6552</v>
      </c>
      <c r="C8499" s="261">
        <v>114</v>
      </c>
      <c r="D8499" s="244" t="s">
        <v>12</v>
      </c>
      <c r="E8499" s="263">
        <v>1</v>
      </c>
      <c r="F8499" s="294" t="s">
        <v>126</v>
      </c>
      <c r="G8499" s="294" t="s">
        <v>437</v>
      </c>
      <c r="H8499" s="298">
        <v>1</v>
      </c>
      <c r="M8499" s="274"/>
    </row>
    <row r="8500" spans="2:13" ht="15" customHeight="1" x14ac:dyDescent="0.25">
      <c r="B8500" s="289">
        <v>6553</v>
      </c>
      <c r="C8500" s="261">
        <v>103</v>
      </c>
      <c r="D8500" s="244" t="s">
        <v>11</v>
      </c>
      <c r="E8500" s="263">
        <v>3</v>
      </c>
      <c r="F8500" s="294" t="s">
        <v>1163</v>
      </c>
      <c r="G8500" s="294" t="s">
        <v>126</v>
      </c>
      <c r="H8500" s="298">
        <v>1</v>
      </c>
      <c r="M8500" s="274"/>
    </row>
    <row r="8501" spans="2:13" ht="15" customHeight="1" x14ac:dyDescent="0.25">
      <c r="B8501" s="289">
        <v>6554</v>
      </c>
      <c r="C8501" s="261">
        <v>105</v>
      </c>
      <c r="D8501" s="244" t="s">
        <v>12</v>
      </c>
      <c r="E8501" s="263">
        <v>18</v>
      </c>
      <c r="F8501" s="294" t="s">
        <v>126</v>
      </c>
      <c r="G8501" s="294" t="s">
        <v>1532</v>
      </c>
      <c r="H8501" s="298">
        <v>1</v>
      </c>
      <c r="M8501" s="274"/>
    </row>
    <row r="8502" spans="2:13" ht="15" customHeight="1" x14ac:dyDescent="0.25">
      <c r="B8502" s="289">
        <v>6555</v>
      </c>
      <c r="C8502" s="261">
        <v>105</v>
      </c>
      <c r="D8502" s="244" t="s">
        <v>12</v>
      </c>
      <c r="E8502" s="263">
        <v>1</v>
      </c>
      <c r="F8502" s="294" t="s">
        <v>126</v>
      </c>
      <c r="G8502" s="294" t="s">
        <v>437</v>
      </c>
      <c r="H8502" s="298">
        <v>1</v>
      </c>
      <c r="M8502" s="274"/>
    </row>
    <row r="8503" spans="2:13" ht="15" customHeight="1" x14ac:dyDescent="0.25">
      <c r="B8503" s="289">
        <v>6556</v>
      </c>
      <c r="C8503" s="261">
        <v>85</v>
      </c>
      <c r="D8503" s="244" t="s">
        <v>12</v>
      </c>
      <c r="E8503" s="263">
        <v>3</v>
      </c>
      <c r="F8503" s="294" t="s">
        <v>126</v>
      </c>
      <c r="G8503" s="294" t="s">
        <v>648</v>
      </c>
      <c r="H8503" s="298">
        <v>1</v>
      </c>
      <c r="M8503" s="274"/>
    </row>
    <row r="8504" spans="2:13" ht="15" customHeight="1" x14ac:dyDescent="0.25">
      <c r="B8504" s="289">
        <v>6556</v>
      </c>
      <c r="C8504" s="261">
        <v>105</v>
      </c>
      <c r="D8504" s="244" t="s">
        <v>12</v>
      </c>
      <c r="E8504" s="263">
        <v>29</v>
      </c>
      <c r="F8504" s="294" t="s">
        <v>126</v>
      </c>
      <c r="G8504" s="294" t="s">
        <v>1533</v>
      </c>
      <c r="H8504" s="298">
        <v>1</v>
      </c>
      <c r="M8504" s="274"/>
    </row>
    <row r="8505" spans="2:13" ht="15" customHeight="1" x14ac:dyDescent="0.25">
      <c r="B8505" s="289">
        <v>6556</v>
      </c>
      <c r="C8505" s="261">
        <v>112</v>
      </c>
      <c r="D8505" s="244" t="s">
        <v>12</v>
      </c>
      <c r="E8505" s="263">
        <v>4</v>
      </c>
      <c r="F8505" s="294" t="s">
        <v>126</v>
      </c>
      <c r="G8505" s="294" t="s">
        <v>1534</v>
      </c>
      <c r="H8505" s="298">
        <v>1</v>
      </c>
      <c r="M8505" s="274"/>
    </row>
    <row r="8506" spans="2:13" ht="15" customHeight="1" x14ac:dyDescent="0.25">
      <c r="B8506" s="289">
        <v>6557</v>
      </c>
      <c r="C8506" s="261">
        <v>85</v>
      </c>
      <c r="D8506" s="244" t="s">
        <v>12</v>
      </c>
      <c r="E8506" s="263">
        <v>1</v>
      </c>
      <c r="F8506" s="294" t="s">
        <v>126</v>
      </c>
      <c r="G8506" s="294" t="s">
        <v>235</v>
      </c>
      <c r="H8506" s="298">
        <v>1</v>
      </c>
      <c r="M8506" s="274"/>
    </row>
    <row r="8507" spans="2:13" ht="15" customHeight="1" x14ac:dyDescent="0.25">
      <c r="B8507" s="289">
        <v>6557</v>
      </c>
      <c r="C8507" s="261">
        <v>105</v>
      </c>
      <c r="D8507" s="244" t="s">
        <v>12</v>
      </c>
      <c r="E8507" s="263">
        <v>1</v>
      </c>
      <c r="F8507" s="294" t="s">
        <v>126</v>
      </c>
      <c r="G8507" s="294" t="s">
        <v>437</v>
      </c>
      <c r="H8507" s="298">
        <v>1</v>
      </c>
      <c r="M8507" s="274"/>
    </row>
    <row r="8508" spans="2:13" ht="15" customHeight="1" x14ac:dyDescent="0.25">
      <c r="B8508" s="289">
        <v>6558</v>
      </c>
      <c r="C8508" s="261">
        <v>105</v>
      </c>
      <c r="D8508" s="244" t="s">
        <v>12</v>
      </c>
      <c r="E8508" s="263">
        <v>1</v>
      </c>
      <c r="F8508" s="294" t="s">
        <v>126</v>
      </c>
      <c r="G8508" s="294" t="s">
        <v>437</v>
      </c>
      <c r="H8508" s="298">
        <v>1</v>
      </c>
      <c r="M8508" s="274"/>
    </row>
    <row r="8509" spans="2:13" ht="15" customHeight="1" x14ac:dyDescent="0.25">
      <c r="B8509" s="289">
        <v>6559</v>
      </c>
      <c r="C8509" s="261">
        <v>107</v>
      </c>
      <c r="D8509" s="244" t="s">
        <v>11</v>
      </c>
      <c r="E8509" s="263">
        <v>2</v>
      </c>
      <c r="F8509" s="294" t="s">
        <v>233</v>
      </c>
      <c r="G8509" s="294" t="s">
        <v>126</v>
      </c>
      <c r="H8509" s="298">
        <v>1</v>
      </c>
      <c r="M8509" s="274"/>
    </row>
    <row r="8510" spans="2:13" ht="15" customHeight="1" x14ac:dyDescent="0.25">
      <c r="B8510" s="289">
        <v>6560</v>
      </c>
      <c r="C8510" s="261">
        <v>101</v>
      </c>
      <c r="D8510" s="244" t="s">
        <v>11</v>
      </c>
      <c r="E8510" s="263">
        <v>20</v>
      </c>
      <c r="F8510" s="294" t="s">
        <v>1535</v>
      </c>
      <c r="G8510" s="294" t="s">
        <v>126</v>
      </c>
      <c r="H8510" s="298">
        <v>1</v>
      </c>
      <c r="M8510" s="274"/>
    </row>
    <row r="8511" spans="2:13" ht="15" customHeight="1" x14ac:dyDescent="0.25">
      <c r="B8511" s="289">
        <v>6561</v>
      </c>
      <c r="C8511" s="261">
        <v>105</v>
      </c>
      <c r="D8511" s="244" t="s">
        <v>12</v>
      </c>
      <c r="E8511" s="263">
        <v>1</v>
      </c>
      <c r="F8511" s="294" t="s">
        <v>126</v>
      </c>
      <c r="G8511" s="294" t="s">
        <v>437</v>
      </c>
      <c r="H8511" s="298">
        <v>1</v>
      </c>
      <c r="M8511" s="274"/>
    </row>
    <row r="8512" spans="2:13" ht="15" customHeight="1" x14ac:dyDescent="0.25">
      <c r="B8512" s="289">
        <v>6562</v>
      </c>
      <c r="C8512" s="261">
        <v>105</v>
      </c>
      <c r="D8512" s="244" t="s">
        <v>11</v>
      </c>
      <c r="E8512" s="263">
        <v>15</v>
      </c>
      <c r="F8512" s="294" t="s">
        <v>1536</v>
      </c>
      <c r="G8512" s="294" t="s">
        <v>126</v>
      </c>
      <c r="H8512" s="298">
        <v>1</v>
      </c>
      <c r="M8512" s="274"/>
    </row>
    <row r="8513" spans="2:13" ht="15" customHeight="1" x14ac:dyDescent="0.25">
      <c r="B8513" s="289">
        <v>6563</v>
      </c>
      <c r="C8513" s="261">
        <v>105</v>
      </c>
      <c r="D8513" s="244" t="s">
        <v>11</v>
      </c>
      <c r="E8513" s="263">
        <v>4</v>
      </c>
      <c r="F8513" s="294" t="s">
        <v>1498</v>
      </c>
      <c r="G8513" s="294" t="s">
        <v>126</v>
      </c>
      <c r="H8513" s="298">
        <v>1</v>
      </c>
      <c r="M8513" s="274"/>
    </row>
    <row r="8514" spans="2:13" ht="15" customHeight="1" x14ac:dyDescent="0.25">
      <c r="B8514" s="289">
        <v>6564</v>
      </c>
      <c r="C8514" s="261">
        <v>105</v>
      </c>
      <c r="D8514" s="244" t="s">
        <v>12</v>
      </c>
      <c r="E8514" s="263">
        <v>2</v>
      </c>
      <c r="F8514" s="294" t="s">
        <v>126</v>
      </c>
      <c r="G8514" s="294" t="s">
        <v>417</v>
      </c>
      <c r="H8514" s="298">
        <v>1</v>
      </c>
      <c r="M8514" s="274"/>
    </row>
    <row r="8515" spans="2:13" ht="15" customHeight="1" x14ac:dyDescent="0.25">
      <c r="B8515" s="289">
        <v>6565</v>
      </c>
      <c r="C8515" s="261">
        <v>105</v>
      </c>
      <c r="D8515" s="244" t="s">
        <v>12</v>
      </c>
      <c r="E8515" s="263">
        <v>1</v>
      </c>
      <c r="F8515" s="294" t="s">
        <v>126</v>
      </c>
      <c r="G8515" s="294" t="s">
        <v>437</v>
      </c>
      <c r="H8515" s="298">
        <v>1</v>
      </c>
      <c r="M8515" s="274"/>
    </row>
    <row r="8516" spans="2:13" ht="15" customHeight="1" x14ac:dyDescent="0.25">
      <c r="B8516" s="289">
        <v>6566</v>
      </c>
      <c r="C8516" s="261">
        <v>105</v>
      </c>
      <c r="D8516" s="244" t="s">
        <v>12</v>
      </c>
      <c r="E8516" s="263">
        <v>1</v>
      </c>
      <c r="F8516" s="294" t="s">
        <v>126</v>
      </c>
      <c r="G8516" s="294" t="s">
        <v>437</v>
      </c>
      <c r="H8516" s="298">
        <v>1</v>
      </c>
      <c r="M8516" s="274"/>
    </row>
    <row r="8517" spans="2:13" ht="15" customHeight="1" x14ac:dyDescent="0.25">
      <c r="B8517" s="289">
        <v>6567</v>
      </c>
      <c r="C8517" s="261">
        <v>107</v>
      </c>
      <c r="D8517" s="244" t="s">
        <v>12</v>
      </c>
      <c r="E8517" s="263">
        <v>1</v>
      </c>
      <c r="F8517" s="294" t="s">
        <v>126</v>
      </c>
      <c r="G8517" s="294" t="s">
        <v>426</v>
      </c>
      <c r="H8517" s="298">
        <v>1</v>
      </c>
      <c r="M8517" s="274"/>
    </row>
    <row r="8518" spans="2:13" ht="15" customHeight="1" x14ac:dyDescent="0.25">
      <c r="B8518" s="289">
        <v>6568</v>
      </c>
      <c r="C8518" s="261">
        <v>107</v>
      </c>
      <c r="D8518" s="244" t="s">
        <v>11</v>
      </c>
      <c r="E8518" s="263">
        <v>31</v>
      </c>
      <c r="F8518" s="294" t="s">
        <v>1537</v>
      </c>
      <c r="G8518" s="294" t="s">
        <v>126</v>
      </c>
      <c r="H8518" s="298">
        <v>1</v>
      </c>
      <c r="M8518" s="274"/>
    </row>
    <row r="8519" spans="2:13" ht="15" customHeight="1" x14ac:dyDescent="0.25">
      <c r="B8519" s="289">
        <v>6569</v>
      </c>
      <c r="C8519" s="261">
        <v>102</v>
      </c>
      <c r="D8519" s="244" t="s">
        <v>12</v>
      </c>
      <c r="E8519" s="263">
        <v>4</v>
      </c>
      <c r="F8519" s="294" t="s">
        <v>126</v>
      </c>
      <c r="G8519" s="294" t="s">
        <v>1471</v>
      </c>
      <c r="H8519" s="298">
        <v>1</v>
      </c>
      <c r="M8519" s="274"/>
    </row>
    <row r="8520" spans="2:13" ht="15" customHeight="1" x14ac:dyDescent="0.25">
      <c r="B8520" s="289">
        <v>6569</v>
      </c>
      <c r="C8520" s="261">
        <v>116</v>
      </c>
      <c r="D8520" s="244" t="s">
        <v>12</v>
      </c>
      <c r="E8520" s="263">
        <v>1</v>
      </c>
      <c r="F8520" s="294" t="s">
        <v>126</v>
      </c>
      <c r="G8520" s="294" t="s">
        <v>235</v>
      </c>
      <c r="H8520" s="298">
        <v>1</v>
      </c>
      <c r="M8520" s="274"/>
    </row>
    <row r="8521" spans="2:13" ht="15" customHeight="1" x14ac:dyDescent="0.25">
      <c r="B8521" s="289">
        <v>6570</v>
      </c>
      <c r="C8521" s="261">
        <v>105</v>
      </c>
      <c r="D8521" s="244" t="s">
        <v>12</v>
      </c>
      <c r="E8521" s="263">
        <v>1</v>
      </c>
      <c r="F8521" s="294" t="s">
        <v>126</v>
      </c>
      <c r="G8521" s="294" t="s">
        <v>437</v>
      </c>
      <c r="H8521" s="298">
        <v>1</v>
      </c>
      <c r="M8521" s="274"/>
    </row>
    <row r="8522" spans="2:13" ht="15" customHeight="1" x14ac:dyDescent="0.25">
      <c r="B8522" s="289">
        <v>6571</v>
      </c>
      <c r="C8522" s="261">
        <v>86</v>
      </c>
      <c r="D8522" s="244" t="s">
        <v>11</v>
      </c>
      <c r="E8522" s="263">
        <v>19</v>
      </c>
      <c r="F8522" s="294" t="s">
        <v>1538</v>
      </c>
      <c r="G8522" s="294" t="s">
        <v>126</v>
      </c>
      <c r="H8522" s="298">
        <v>1</v>
      </c>
      <c r="M8522" s="274"/>
    </row>
    <row r="8523" spans="2:13" ht="15" customHeight="1" x14ac:dyDescent="0.25">
      <c r="B8523" s="289">
        <v>6572</v>
      </c>
      <c r="C8523" s="261">
        <v>85</v>
      </c>
      <c r="D8523" s="244" t="s">
        <v>12</v>
      </c>
      <c r="E8523" s="263">
        <v>38</v>
      </c>
      <c r="F8523" s="294" t="s">
        <v>126</v>
      </c>
      <c r="G8523" s="294" t="s">
        <v>1539</v>
      </c>
      <c r="H8523" s="298">
        <v>1</v>
      </c>
      <c r="M8523" s="274"/>
    </row>
    <row r="8524" spans="2:13" ht="15" customHeight="1" x14ac:dyDescent="0.25">
      <c r="B8524" s="289">
        <v>6572</v>
      </c>
      <c r="C8524" s="261">
        <v>105</v>
      </c>
      <c r="D8524" s="244" t="s">
        <v>12</v>
      </c>
      <c r="E8524" s="263">
        <v>1</v>
      </c>
      <c r="F8524" s="294" t="s">
        <v>126</v>
      </c>
      <c r="G8524" s="294" t="s">
        <v>437</v>
      </c>
      <c r="H8524" s="298">
        <v>1</v>
      </c>
      <c r="M8524" s="274"/>
    </row>
    <row r="8525" spans="2:13" ht="15" customHeight="1" x14ac:dyDescent="0.25">
      <c r="B8525" s="289">
        <v>6573</v>
      </c>
      <c r="C8525" s="261">
        <v>94</v>
      </c>
      <c r="D8525" s="244" t="s">
        <v>12</v>
      </c>
      <c r="E8525" s="263">
        <v>4</v>
      </c>
      <c r="F8525" s="294" t="s">
        <v>126</v>
      </c>
      <c r="G8525" s="294" t="s">
        <v>1540</v>
      </c>
      <c r="H8525" s="298">
        <v>1</v>
      </c>
      <c r="M8525" s="274"/>
    </row>
    <row r="8526" spans="2:13" ht="15" customHeight="1" x14ac:dyDescent="0.25">
      <c r="B8526" s="289">
        <v>6573</v>
      </c>
      <c r="C8526" s="261">
        <v>101</v>
      </c>
      <c r="D8526" s="244" t="s">
        <v>11</v>
      </c>
      <c r="E8526" s="263">
        <v>18</v>
      </c>
      <c r="F8526" s="294" t="s">
        <v>1541</v>
      </c>
      <c r="G8526" s="294" t="s">
        <v>126</v>
      </c>
      <c r="H8526" s="298">
        <v>1</v>
      </c>
      <c r="M8526" s="274"/>
    </row>
    <row r="8527" spans="2:13" ht="15" customHeight="1" x14ac:dyDescent="0.25">
      <c r="B8527" s="289">
        <v>6574</v>
      </c>
      <c r="C8527" s="261">
        <v>96</v>
      </c>
      <c r="D8527" s="244" t="s">
        <v>11</v>
      </c>
      <c r="E8527" s="263">
        <v>20</v>
      </c>
      <c r="F8527" s="294" t="s">
        <v>1542</v>
      </c>
      <c r="G8527" s="294" t="s">
        <v>126</v>
      </c>
      <c r="H8527" s="298">
        <v>1</v>
      </c>
      <c r="M8527" s="274"/>
    </row>
    <row r="8528" spans="2:13" ht="15" customHeight="1" x14ac:dyDescent="0.25">
      <c r="B8528" s="289">
        <v>6575</v>
      </c>
      <c r="C8528" s="261">
        <v>96</v>
      </c>
      <c r="D8528" s="244" t="s">
        <v>11</v>
      </c>
      <c r="E8528" s="263">
        <v>9</v>
      </c>
      <c r="F8528" s="294" t="s">
        <v>1543</v>
      </c>
      <c r="G8528" s="294" t="s">
        <v>126</v>
      </c>
      <c r="H8528" s="298">
        <v>1</v>
      </c>
      <c r="M8528" s="274"/>
    </row>
    <row r="8529" spans="2:13" ht="15" customHeight="1" x14ac:dyDescent="0.25">
      <c r="B8529" s="289">
        <v>6576</v>
      </c>
      <c r="C8529" s="261">
        <v>98</v>
      </c>
      <c r="D8529" s="244" t="s">
        <v>11</v>
      </c>
      <c r="E8529" s="263">
        <v>8</v>
      </c>
      <c r="F8529" s="294" t="s">
        <v>1519</v>
      </c>
      <c r="G8529" s="294" t="s">
        <v>126</v>
      </c>
      <c r="H8529" s="298">
        <v>1</v>
      </c>
      <c r="M8529" s="274"/>
    </row>
    <row r="8530" spans="2:13" ht="15" customHeight="1" x14ac:dyDescent="0.25">
      <c r="B8530" s="289">
        <v>6577</v>
      </c>
      <c r="C8530" s="261">
        <v>98</v>
      </c>
      <c r="D8530" s="244" t="s">
        <v>11</v>
      </c>
      <c r="E8530" s="263">
        <v>7</v>
      </c>
      <c r="F8530" s="294" t="s">
        <v>1544</v>
      </c>
      <c r="G8530" s="294" t="s">
        <v>126</v>
      </c>
      <c r="H8530" s="298">
        <v>1</v>
      </c>
      <c r="M8530" s="274"/>
    </row>
    <row r="8531" spans="2:13" ht="15" customHeight="1" x14ac:dyDescent="0.25">
      <c r="B8531" s="289">
        <v>6578</v>
      </c>
      <c r="C8531" s="261">
        <v>99</v>
      </c>
      <c r="D8531" s="244" t="s">
        <v>11</v>
      </c>
      <c r="E8531" s="263">
        <v>14</v>
      </c>
      <c r="F8531" s="294" t="s">
        <v>1545</v>
      </c>
      <c r="G8531" s="294" t="s">
        <v>126</v>
      </c>
      <c r="H8531" s="298">
        <v>1</v>
      </c>
      <c r="M8531" s="274"/>
    </row>
    <row r="8532" spans="2:13" ht="15" customHeight="1" x14ac:dyDescent="0.25">
      <c r="B8532" s="289">
        <v>6579</v>
      </c>
      <c r="C8532" s="261">
        <v>105</v>
      </c>
      <c r="D8532" s="244" t="s">
        <v>11</v>
      </c>
      <c r="E8532" s="263">
        <v>6</v>
      </c>
      <c r="F8532" s="294" t="s">
        <v>1546</v>
      </c>
      <c r="G8532" s="294" t="s">
        <v>126</v>
      </c>
      <c r="H8532" s="298">
        <v>1</v>
      </c>
      <c r="M8532" s="274"/>
    </row>
    <row r="8533" spans="2:13" ht="15" customHeight="1" x14ac:dyDescent="0.25">
      <c r="B8533" s="289">
        <v>6580</v>
      </c>
      <c r="C8533" s="261">
        <v>105</v>
      </c>
      <c r="D8533" s="244" t="s">
        <v>11</v>
      </c>
      <c r="E8533" s="263">
        <v>5</v>
      </c>
      <c r="F8533" s="294" t="s">
        <v>1547</v>
      </c>
      <c r="G8533" s="294" t="s">
        <v>126</v>
      </c>
      <c r="H8533" s="298">
        <v>1</v>
      </c>
      <c r="M8533" s="274"/>
    </row>
    <row r="8534" spans="2:13" ht="15" customHeight="1" x14ac:dyDescent="0.25">
      <c r="B8534" s="289">
        <v>6581</v>
      </c>
      <c r="C8534" s="261">
        <v>106</v>
      </c>
      <c r="D8534" s="244" t="s">
        <v>11</v>
      </c>
      <c r="E8534" s="263">
        <v>2</v>
      </c>
      <c r="F8534" s="294" t="s">
        <v>341</v>
      </c>
      <c r="G8534" s="294" t="s">
        <v>126</v>
      </c>
      <c r="H8534" s="298">
        <v>1</v>
      </c>
      <c r="M8534" s="274"/>
    </row>
    <row r="8535" spans="2:13" ht="15" customHeight="1" x14ac:dyDescent="0.25">
      <c r="B8535" s="289">
        <v>6582</v>
      </c>
      <c r="C8535" s="261">
        <v>106</v>
      </c>
      <c r="D8535" s="244" t="s">
        <v>11</v>
      </c>
      <c r="E8535" s="263">
        <v>2</v>
      </c>
      <c r="F8535" s="294" t="s">
        <v>341</v>
      </c>
      <c r="G8535" s="294" t="s">
        <v>126</v>
      </c>
      <c r="H8535" s="298">
        <v>1</v>
      </c>
      <c r="M8535" s="274"/>
    </row>
    <row r="8536" spans="2:13" ht="15" customHeight="1" x14ac:dyDescent="0.25">
      <c r="B8536" s="289">
        <v>6583</v>
      </c>
      <c r="C8536" s="261">
        <v>105</v>
      </c>
      <c r="D8536" s="244" t="s">
        <v>12</v>
      </c>
      <c r="E8536" s="263">
        <v>1</v>
      </c>
      <c r="F8536" s="294" t="s">
        <v>126</v>
      </c>
      <c r="G8536" s="294" t="s">
        <v>437</v>
      </c>
      <c r="H8536" s="298">
        <v>1</v>
      </c>
      <c r="M8536" s="274"/>
    </row>
    <row r="8537" spans="2:13" ht="15" customHeight="1" x14ac:dyDescent="0.25">
      <c r="B8537" s="289">
        <v>6584</v>
      </c>
      <c r="C8537" s="261">
        <v>105</v>
      </c>
      <c r="D8537" s="244" t="s">
        <v>12</v>
      </c>
      <c r="E8537" s="263">
        <v>1</v>
      </c>
      <c r="F8537" s="294" t="s">
        <v>126</v>
      </c>
      <c r="G8537" s="294" t="s">
        <v>437</v>
      </c>
      <c r="H8537" s="298">
        <v>1</v>
      </c>
      <c r="M8537" s="274"/>
    </row>
    <row r="8538" spans="2:13" ht="15" customHeight="1" x14ac:dyDescent="0.25">
      <c r="B8538" s="289">
        <v>6585</v>
      </c>
      <c r="C8538" s="261">
        <v>105</v>
      </c>
      <c r="D8538" s="244" t="s">
        <v>12</v>
      </c>
      <c r="E8538" s="263">
        <v>1</v>
      </c>
      <c r="F8538" s="294" t="s">
        <v>126</v>
      </c>
      <c r="G8538" s="294" t="s">
        <v>437</v>
      </c>
      <c r="H8538" s="298">
        <v>1</v>
      </c>
      <c r="M8538" s="274"/>
    </row>
    <row r="8539" spans="2:13" ht="15" customHeight="1" x14ac:dyDescent="0.25">
      <c r="B8539" s="289">
        <v>6586</v>
      </c>
      <c r="C8539" s="261">
        <v>105</v>
      </c>
      <c r="D8539" s="244" t="s">
        <v>12</v>
      </c>
      <c r="E8539" s="263">
        <v>9</v>
      </c>
      <c r="F8539" s="294" t="s">
        <v>126</v>
      </c>
      <c r="G8539" s="294" t="s">
        <v>1548</v>
      </c>
      <c r="H8539" s="298">
        <v>1</v>
      </c>
      <c r="M8539" s="274"/>
    </row>
    <row r="8540" spans="2:13" ht="15" customHeight="1" x14ac:dyDescent="0.25">
      <c r="B8540" s="289">
        <v>6587</v>
      </c>
      <c r="C8540" s="261">
        <v>107</v>
      </c>
      <c r="D8540" s="244" t="s">
        <v>11</v>
      </c>
      <c r="E8540" s="263">
        <v>5</v>
      </c>
      <c r="F8540" s="294" t="s">
        <v>1549</v>
      </c>
      <c r="G8540" s="294" t="s">
        <v>126</v>
      </c>
      <c r="H8540" s="298">
        <v>1</v>
      </c>
      <c r="M8540" s="274"/>
    </row>
    <row r="8541" spans="2:13" ht="15" customHeight="1" x14ac:dyDescent="0.25">
      <c r="B8541" s="289">
        <v>6589</v>
      </c>
      <c r="C8541" s="261">
        <v>109</v>
      </c>
      <c r="D8541" s="244" t="s">
        <v>11</v>
      </c>
      <c r="E8541" s="263">
        <v>1</v>
      </c>
      <c r="F8541" s="294" t="s">
        <v>426</v>
      </c>
      <c r="G8541" s="294" t="s">
        <v>126</v>
      </c>
      <c r="H8541" s="298">
        <v>1</v>
      </c>
      <c r="M8541" s="274"/>
    </row>
    <row r="8542" spans="2:13" ht="15" customHeight="1" x14ac:dyDescent="0.25">
      <c r="B8542" s="289">
        <v>6591</v>
      </c>
      <c r="C8542" s="261">
        <v>108</v>
      </c>
      <c r="D8542" s="244" t="s">
        <v>12</v>
      </c>
      <c r="E8542" s="263">
        <v>5</v>
      </c>
      <c r="F8542" s="294" t="s">
        <v>126</v>
      </c>
      <c r="G8542" s="294" t="s">
        <v>1550</v>
      </c>
      <c r="H8542" s="298">
        <v>1</v>
      </c>
      <c r="M8542" s="274"/>
    </row>
    <row r="8543" spans="2:13" ht="15" customHeight="1" x14ac:dyDescent="0.25">
      <c r="B8543" s="289">
        <v>6593</v>
      </c>
      <c r="C8543" s="261">
        <v>102</v>
      </c>
      <c r="D8543" s="244" t="s">
        <v>11</v>
      </c>
      <c r="E8543" s="263">
        <v>5</v>
      </c>
      <c r="F8543" s="294" t="s">
        <v>1551</v>
      </c>
      <c r="G8543" s="294" t="s">
        <v>126</v>
      </c>
      <c r="H8543" s="298">
        <v>1</v>
      </c>
      <c r="M8543" s="274"/>
    </row>
    <row r="8544" spans="2:13" ht="15" customHeight="1" x14ac:dyDescent="0.25">
      <c r="B8544" s="289">
        <v>6593</v>
      </c>
      <c r="C8544" s="261">
        <v>114</v>
      </c>
      <c r="D8544" s="244" t="s">
        <v>12</v>
      </c>
      <c r="E8544" s="263">
        <v>5</v>
      </c>
      <c r="F8544" s="294" t="s">
        <v>126</v>
      </c>
      <c r="G8544" s="294" t="s">
        <v>1552</v>
      </c>
      <c r="H8544" s="298">
        <v>1</v>
      </c>
      <c r="M8544" s="274"/>
    </row>
    <row r="8545" spans="2:13" ht="15" customHeight="1" x14ac:dyDescent="0.25">
      <c r="B8545" s="289">
        <v>6594</v>
      </c>
      <c r="C8545" s="261">
        <v>102</v>
      </c>
      <c r="D8545" s="244" t="s">
        <v>11</v>
      </c>
      <c r="E8545" s="263">
        <v>1</v>
      </c>
      <c r="F8545" s="294" t="s">
        <v>235</v>
      </c>
      <c r="G8545" s="294" t="s">
        <v>126</v>
      </c>
      <c r="H8545" s="298">
        <v>1</v>
      </c>
      <c r="M8545" s="274"/>
    </row>
    <row r="8546" spans="2:13" ht="15" customHeight="1" x14ac:dyDescent="0.25">
      <c r="B8546" s="289">
        <v>6594</v>
      </c>
      <c r="C8546" s="261">
        <v>114</v>
      </c>
      <c r="D8546" s="244" t="s">
        <v>12</v>
      </c>
      <c r="E8546" s="263">
        <v>1</v>
      </c>
      <c r="F8546" s="294" t="s">
        <v>126</v>
      </c>
      <c r="G8546" s="294" t="s">
        <v>235</v>
      </c>
      <c r="H8546" s="298">
        <v>1</v>
      </c>
      <c r="M8546" s="274"/>
    </row>
    <row r="8547" spans="2:13" ht="15" customHeight="1" x14ac:dyDescent="0.25">
      <c r="B8547" s="289">
        <v>6595</v>
      </c>
      <c r="C8547" s="261">
        <v>102</v>
      </c>
      <c r="D8547" s="244" t="s">
        <v>11</v>
      </c>
      <c r="E8547" s="263">
        <v>1</v>
      </c>
      <c r="F8547" s="294" t="s">
        <v>235</v>
      </c>
      <c r="G8547" s="294" t="s">
        <v>126</v>
      </c>
      <c r="H8547" s="298">
        <v>1</v>
      </c>
      <c r="M8547" s="274"/>
    </row>
    <row r="8548" spans="2:13" ht="15" customHeight="1" x14ac:dyDescent="0.25">
      <c r="B8548" s="289">
        <v>6595</v>
      </c>
      <c r="C8548" s="261">
        <v>114</v>
      </c>
      <c r="D8548" s="244" t="s">
        <v>12</v>
      </c>
      <c r="E8548" s="263">
        <v>1</v>
      </c>
      <c r="F8548" s="294" t="s">
        <v>126</v>
      </c>
      <c r="G8548" s="294" t="s">
        <v>437</v>
      </c>
      <c r="H8548" s="298">
        <v>1</v>
      </c>
      <c r="M8548" s="274"/>
    </row>
    <row r="8549" spans="2:13" ht="15" customHeight="1" x14ac:dyDescent="0.25">
      <c r="B8549" s="289">
        <v>6596</v>
      </c>
      <c r="C8549" s="261">
        <v>102</v>
      </c>
      <c r="D8549" s="244" t="s">
        <v>12</v>
      </c>
      <c r="E8549" s="263">
        <v>1</v>
      </c>
      <c r="F8549" s="294" t="s">
        <v>126</v>
      </c>
      <c r="G8549" s="294" t="s">
        <v>437</v>
      </c>
      <c r="H8549" s="298">
        <v>1</v>
      </c>
      <c r="M8549" s="274"/>
    </row>
    <row r="8550" spans="2:13" ht="15" customHeight="1" x14ac:dyDescent="0.25">
      <c r="B8550" s="289">
        <v>6596</v>
      </c>
      <c r="C8550" s="261">
        <v>113</v>
      </c>
      <c r="D8550" s="244" t="s">
        <v>11</v>
      </c>
      <c r="E8550" s="263">
        <v>1</v>
      </c>
      <c r="F8550" s="294" t="s">
        <v>139</v>
      </c>
      <c r="G8550" s="294" t="s">
        <v>126</v>
      </c>
      <c r="H8550" s="298">
        <v>1</v>
      </c>
      <c r="M8550" s="274"/>
    </row>
    <row r="8551" spans="2:13" ht="15" customHeight="1" x14ac:dyDescent="0.25">
      <c r="B8551" s="289">
        <v>6597</v>
      </c>
      <c r="C8551" s="261">
        <v>104</v>
      </c>
      <c r="D8551" s="244" t="s">
        <v>11</v>
      </c>
      <c r="E8551" s="263">
        <v>2</v>
      </c>
      <c r="F8551" s="294" t="s">
        <v>214</v>
      </c>
      <c r="G8551" s="294" t="s">
        <v>126</v>
      </c>
      <c r="H8551" s="298">
        <v>1</v>
      </c>
      <c r="M8551" s="274"/>
    </row>
    <row r="8552" spans="2:13" ht="15" customHeight="1" x14ac:dyDescent="0.25">
      <c r="B8552" s="289">
        <v>6597</v>
      </c>
      <c r="C8552" s="261">
        <v>114</v>
      </c>
      <c r="D8552" s="244" t="s">
        <v>12</v>
      </c>
      <c r="E8552" s="263">
        <v>2</v>
      </c>
      <c r="F8552" s="294" t="s">
        <v>126</v>
      </c>
      <c r="G8552" s="294" t="s">
        <v>227</v>
      </c>
      <c r="H8552" s="298">
        <v>1</v>
      </c>
      <c r="M8552" s="274"/>
    </row>
    <row r="8553" spans="2:13" ht="15" customHeight="1" x14ac:dyDescent="0.25">
      <c r="B8553" s="289">
        <v>6598</v>
      </c>
      <c r="C8553" s="261">
        <v>102</v>
      </c>
      <c r="D8553" s="244" t="s">
        <v>12</v>
      </c>
      <c r="E8553" s="263">
        <v>3</v>
      </c>
      <c r="F8553" s="294" t="s">
        <v>126</v>
      </c>
      <c r="G8553" s="294" t="s">
        <v>1553</v>
      </c>
      <c r="H8553" s="298">
        <v>1</v>
      </c>
      <c r="M8553" s="274"/>
    </row>
    <row r="8554" spans="2:13" ht="15" customHeight="1" x14ac:dyDescent="0.25">
      <c r="B8554" s="289">
        <v>6598</v>
      </c>
      <c r="C8554" s="261">
        <v>111</v>
      </c>
      <c r="D8554" s="244" t="s">
        <v>11</v>
      </c>
      <c r="E8554" s="263">
        <v>3</v>
      </c>
      <c r="F8554" s="294" t="s">
        <v>1478</v>
      </c>
      <c r="G8554" s="294" t="s">
        <v>126</v>
      </c>
      <c r="H8554" s="298">
        <v>1</v>
      </c>
      <c r="M8554" s="274"/>
    </row>
    <row r="8555" spans="2:13" ht="15" customHeight="1" x14ac:dyDescent="0.25">
      <c r="B8555" s="289">
        <v>6599</v>
      </c>
      <c r="C8555" s="261">
        <v>105</v>
      </c>
      <c r="D8555" s="244" t="s">
        <v>12</v>
      </c>
      <c r="E8555" s="263">
        <v>8</v>
      </c>
      <c r="F8555" s="294" t="s">
        <v>126</v>
      </c>
      <c r="G8555" s="294" t="s">
        <v>1554</v>
      </c>
      <c r="H8555" s="298">
        <v>1</v>
      </c>
      <c r="M8555" s="274"/>
    </row>
    <row r="8556" spans="2:13" ht="15" customHeight="1" x14ac:dyDescent="0.25">
      <c r="B8556" s="289">
        <v>6600</v>
      </c>
      <c r="C8556" s="261">
        <v>103</v>
      </c>
      <c r="D8556" s="244" t="s">
        <v>11</v>
      </c>
      <c r="E8556" s="263">
        <v>1</v>
      </c>
      <c r="F8556" s="294" t="s">
        <v>437</v>
      </c>
      <c r="G8556" s="294" t="s">
        <v>126</v>
      </c>
      <c r="H8556" s="298">
        <v>1</v>
      </c>
      <c r="M8556" s="274"/>
    </row>
    <row r="8557" spans="2:13" ht="15" customHeight="1" x14ac:dyDescent="0.25">
      <c r="B8557" s="289">
        <v>6601</v>
      </c>
      <c r="C8557" s="261">
        <v>105</v>
      </c>
      <c r="D8557" s="244" t="s">
        <v>12</v>
      </c>
      <c r="E8557" s="263">
        <v>2</v>
      </c>
      <c r="F8557" s="294" t="s">
        <v>126</v>
      </c>
      <c r="G8557" s="294" t="s">
        <v>587</v>
      </c>
      <c r="H8557" s="298">
        <v>1</v>
      </c>
      <c r="M8557" s="274"/>
    </row>
    <row r="8558" spans="2:13" ht="15" customHeight="1" x14ac:dyDescent="0.25">
      <c r="B8558" s="289">
        <v>6601</v>
      </c>
      <c r="C8558" s="261">
        <v>112</v>
      </c>
      <c r="D8558" s="244" t="s">
        <v>11</v>
      </c>
      <c r="E8558" s="263">
        <v>2</v>
      </c>
      <c r="F8558" s="294" t="s">
        <v>136</v>
      </c>
      <c r="G8558" s="294" t="s">
        <v>126</v>
      </c>
      <c r="H8558" s="298">
        <v>1</v>
      </c>
      <c r="M8558" s="274"/>
    </row>
    <row r="8559" spans="2:13" ht="15" customHeight="1" x14ac:dyDescent="0.25">
      <c r="B8559" s="289">
        <v>6602</v>
      </c>
      <c r="C8559" s="261">
        <v>102</v>
      </c>
      <c r="D8559" s="244" t="s">
        <v>12</v>
      </c>
      <c r="E8559" s="263">
        <v>6</v>
      </c>
      <c r="F8559" s="294" t="s">
        <v>126</v>
      </c>
      <c r="G8559" s="294" t="s">
        <v>1555</v>
      </c>
      <c r="H8559" s="298">
        <v>1</v>
      </c>
      <c r="M8559" s="274"/>
    </row>
    <row r="8560" spans="2:13" ht="15" customHeight="1" x14ac:dyDescent="0.25">
      <c r="B8560" s="289">
        <v>6602</v>
      </c>
      <c r="C8560" s="261">
        <v>110</v>
      </c>
      <c r="D8560" s="244" t="s">
        <v>12</v>
      </c>
      <c r="E8560" s="263">
        <v>5</v>
      </c>
      <c r="F8560" s="294" t="s">
        <v>126</v>
      </c>
      <c r="G8560" s="294" t="s">
        <v>1556</v>
      </c>
      <c r="H8560" s="298">
        <v>1</v>
      </c>
      <c r="M8560" s="274"/>
    </row>
    <row r="8561" spans="2:13" ht="15" customHeight="1" x14ac:dyDescent="0.25">
      <c r="B8561" s="289">
        <v>6603</v>
      </c>
      <c r="C8561" s="261">
        <v>103</v>
      </c>
      <c r="D8561" s="244" t="s">
        <v>12</v>
      </c>
      <c r="E8561" s="263">
        <v>8</v>
      </c>
      <c r="F8561" s="294" t="s">
        <v>126</v>
      </c>
      <c r="G8561" s="294" t="s">
        <v>1557</v>
      </c>
      <c r="H8561" s="298">
        <v>1</v>
      </c>
      <c r="M8561" s="274"/>
    </row>
    <row r="8562" spans="2:13" ht="15" customHeight="1" x14ac:dyDescent="0.25">
      <c r="B8562" s="289">
        <v>6603</v>
      </c>
      <c r="C8562" s="261">
        <v>108</v>
      </c>
      <c r="D8562" s="244" t="s">
        <v>12</v>
      </c>
      <c r="E8562" s="263">
        <v>15</v>
      </c>
      <c r="F8562" s="294" t="s">
        <v>126</v>
      </c>
      <c r="G8562" s="294" t="s">
        <v>1558</v>
      </c>
      <c r="H8562" s="298">
        <v>1</v>
      </c>
      <c r="M8562" s="274"/>
    </row>
    <row r="8563" spans="2:13" ht="15" customHeight="1" x14ac:dyDescent="0.25">
      <c r="B8563" s="289">
        <v>6604</v>
      </c>
      <c r="C8563" s="261">
        <v>102</v>
      </c>
      <c r="D8563" s="244" t="s">
        <v>12</v>
      </c>
      <c r="E8563" s="263">
        <v>1</v>
      </c>
      <c r="F8563" s="294" t="s">
        <v>126</v>
      </c>
      <c r="G8563" s="294" t="s">
        <v>139</v>
      </c>
      <c r="H8563" s="298">
        <v>1</v>
      </c>
      <c r="M8563" s="274"/>
    </row>
    <row r="8564" spans="2:13" ht="15" customHeight="1" x14ac:dyDescent="0.25">
      <c r="B8564" s="289">
        <v>6604</v>
      </c>
      <c r="C8564" s="261">
        <v>113</v>
      </c>
      <c r="D8564" s="244" t="s">
        <v>11</v>
      </c>
      <c r="E8564" s="263">
        <v>1</v>
      </c>
      <c r="F8564" s="294" t="s">
        <v>139</v>
      </c>
      <c r="G8564" s="294" t="s">
        <v>126</v>
      </c>
      <c r="H8564" s="298">
        <v>1</v>
      </c>
      <c r="M8564" s="274"/>
    </row>
    <row r="8565" spans="2:13" ht="15" customHeight="1" x14ac:dyDescent="0.25">
      <c r="B8565" s="289">
        <v>6605</v>
      </c>
      <c r="C8565" s="261">
        <v>102</v>
      </c>
      <c r="D8565" s="244" t="s">
        <v>12</v>
      </c>
      <c r="E8565" s="263">
        <v>4</v>
      </c>
      <c r="F8565" s="294" t="s">
        <v>126</v>
      </c>
      <c r="G8565" s="294" t="s">
        <v>1559</v>
      </c>
      <c r="H8565" s="298">
        <v>1</v>
      </c>
      <c r="M8565" s="274"/>
    </row>
    <row r="8566" spans="2:13" ht="15" customHeight="1" x14ac:dyDescent="0.25">
      <c r="B8566" s="289">
        <v>6605</v>
      </c>
      <c r="C8566" s="261">
        <v>110</v>
      </c>
      <c r="D8566" s="244" t="s">
        <v>11</v>
      </c>
      <c r="E8566" s="263">
        <v>4</v>
      </c>
      <c r="F8566" s="294" t="s">
        <v>682</v>
      </c>
      <c r="G8566" s="294" t="s">
        <v>126</v>
      </c>
      <c r="H8566" s="298">
        <v>1</v>
      </c>
      <c r="M8566" s="274"/>
    </row>
    <row r="8567" spans="2:13" ht="15" customHeight="1" x14ac:dyDescent="0.25">
      <c r="B8567" s="289">
        <v>6606</v>
      </c>
      <c r="C8567" s="261">
        <v>103</v>
      </c>
      <c r="D8567" s="244" t="s">
        <v>12</v>
      </c>
      <c r="E8567" s="263">
        <v>4</v>
      </c>
      <c r="F8567" s="294" t="s">
        <v>126</v>
      </c>
      <c r="G8567" s="294" t="s">
        <v>1560</v>
      </c>
      <c r="H8567" s="298">
        <v>1</v>
      </c>
      <c r="M8567" s="274"/>
    </row>
    <row r="8568" spans="2:13" ht="15" customHeight="1" x14ac:dyDescent="0.25">
      <c r="B8568" s="289">
        <v>6606</v>
      </c>
      <c r="C8568" s="261">
        <v>110</v>
      </c>
      <c r="D8568" s="244" t="s">
        <v>11</v>
      </c>
      <c r="E8568" s="263">
        <v>4</v>
      </c>
      <c r="F8568" s="294" t="s">
        <v>682</v>
      </c>
      <c r="G8568" s="294" t="s">
        <v>126</v>
      </c>
      <c r="H8568" s="298">
        <v>1</v>
      </c>
      <c r="M8568" s="274"/>
    </row>
    <row r="8569" spans="2:13" ht="15" customHeight="1" x14ac:dyDescent="0.25">
      <c r="B8569" s="289">
        <v>6607</v>
      </c>
      <c r="C8569" s="261">
        <v>99</v>
      </c>
      <c r="D8569" s="244" t="s">
        <v>12</v>
      </c>
      <c r="E8569" s="263">
        <v>4</v>
      </c>
      <c r="F8569" s="294" t="s">
        <v>126</v>
      </c>
      <c r="G8569" s="294" t="s">
        <v>1509</v>
      </c>
      <c r="H8569" s="298">
        <v>1</v>
      </c>
      <c r="M8569" s="274"/>
    </row>
    <row r="8570" spans="2:13" ht="15" customHeight="1" x14ac:dyDescent="0.25">
      <c r="B8570" s="289">
        <v>6607</v>
      </c>
      <c r="C8570" s="261">
        <v>110</v>
      </c>
      <c r="D8570" s="244" t="s">
        <v>11</v>
      </c>
      <c r="E8570" s="263">
        <v>4</v>
      </c>
      <c r="F8570" s="294" t="s">
        <v>682</v>
      </c>
      <c r="G8570" s="294" t="s">
        <v>126</v>
      </c>
      <c r="H8570" s="298">
        <v>1</v>
      </c>
      <c r="M8570" s="274"/>
    </row>
    <row r="8571" spans="2:13" ht="15" customHeight="1" x14ac:dyDescent="0.25">
      <c r="B8571" s="289">
        <v>6608</v>
      </c>
      <c r="C8571" s="261">
        <v>105</v>
      </c>
      <c r="D8571" s="244" t="s">
        <v>11</v>
      </c>
      <c r="E8571" s="263">
        <v>2</v>
      </c>
      <c r="F8571" s="294" t="s">
        <v>441</v>
      </c>
      <c r="G8571" s="294" t="s">
        <v>126</v>
      </c>
      <c r="H8571" s="298">
        <v>1</v>
      </c>
      <c r="M8571" s="274"/>
    </row>
    <row r="8572" spans="2:13" ht="15" customHeight="1" x14ac:dyDescent="0.25">
      <c r="B8572" s="289">
        <v>6608</v>
      </c>
      <c r="C8572" s="261">
        <v>114</v>
      </c>
      <c r="D8572" s="244" t="s">
        <v>12</v>
      </c>
      <c r="E8572" s="263">
        <v>2</v>
      </c>
      <c r="F8572" s="294" t="s">
        <v>126</v>
      </c>
      <c r="G8572" s="294" t="s">
        <v>227</v>
      </c>
      <c r="H8572" s="298">
        <v>1</v>
      </c>
      <c r="M8572" s="274"/>
    </row>
    <row r="8573" spans="2:13" ht="15" customHeight="1" x14ac:dyDescent="0.25">
      <c r="B8573" s="289">
        <v>6609</v>
      </c>
      <c r="C8573" s="261">
        <v>96</v>
      </c>
      <c r="D8573" s="244" t="s">
        <v>11</v>
      </c>
      <c r="E8573" s="263">
        <v>17</v>
      </c>
      <c r="F8573" s="294" t="s">
        <v>1561</v>
      </c>
      <c r="G8573" s="294" t="s">
        <v>126</v>
      </c>
      <c r="H8573" s="298">
        <v>1</v>
      </c>
      <c r="M8573" s="274"/>
    </row>
    <row r="8574" spans="2:13" ht="15" customHeight="1" x14ac:dyDescent="0.25">
      <c r="B8574" s="289">
        <v>6610</v>
      </c>
      <c r="C8574" s="261">
        <v>105</v>
      </c>
      <c r="D8574" s="244" t="s">
        <v>12</v>
      </c>
      <c r="E8574" s="263">
        <v>1</v>
      </c>
      <c r="F8574" s="294" t="s">
        <v>126</v>
      </c>
      <c r="G8574" s="294" t="s">
        <v>437</v>
      </c>
      <c r="H8574" s="298">
        <v>1</v>
      </c>
      <c r="M8574" s="274"/>
    </row>
    <row r="8575" spans="2:13" ht="15" customHeight="1" x14ac:dyDescent="0.25">
      <c r="B8575" s="289">
        <v>6611</v>
      </c>
      <c r="C8575" s="261">
        <v>105</v>
      </c>
      <c r="D8575" s="244" t="s">
        <v>12</v>
      </c>
      <c r="E8575" s="263">
        <v>1</v>
      </c>
      <c r="F8575" s="294" t="s">
        <v>126</v>
      </c>
      <c r="G8575" s="294" t="s">
        <v>437</v>
      </c>
      <c r="H8575" s="298">
        <v>1</v>
      </c>
      <c r="M8575" s="274"/>
    </row>
    <row r="8576" spans="2:13" ht="15" customHeight="1" x14ac:dyDescent="0.25">
      <c r="B8576" s="289">
        <v>6612</v>
      </c>
      <c r="C8576" s="261">
        <v>106</v>
      </c>
      <c r="D8576" s="244" t="s">
        <v>11</v>
      </c>
      <c r="E8576" s="263">
        <v>2</v>
      </c>
      <c r="F8576" s="294" t="s">
        <v>341</v>
      </c>
      <c r="G8576" s="294" t="s">
        <v>126</v>
      </c>
      <c r="H8576" s="298">
        <v>1</v>
      </c>
      <c r="M8576" s="274"/>
    </row>
    <row r="8577" spans="2:13" ht="15" customHeight="1" x14ac:dyDescent="0.25">
      <c r="B8577" s="289">
        <v>6614</v>
      </c>
      <c r="C8577" s="261">
        <v>105</v>
      </c>
      <c r="D8577" s="244" t="s">
        <v>12</v>
      </c>
      <c r="E8577" s="263">
        <v>1</v>
      </c>
      <c r="F8577" s="294" t="s">
        <v>126</v>
      </c>
      <c r="G8577" s="294" t="s">
        <v>437</v>
      </c>
      <c r="H8577" s="298">
        <v>1</v>
      </c>
      <c r="M8577" s="274"/>
    </row>
    <row r="8578" spans="2:13" ht="15" customHeight="1" x14ac:dyDescent="0.25">
      <c r="B8578" s="289">
        <v>6615</v>
      </c>
      <c r="C8578" s="261">
        <v>96</v>
      </c>
      <c r="D8578" s="244" t="s">
        <v>11</v>
      </c>
      <c r="E8578" s="263">
        <v>16</v>
      </c>
      <c r="F8578" s="294" t="s">
        <v>1512</v>
      </c>
      <c r="G8578" s="294" t="s">
        <v>126</v>
      </c>
      <c r="H8578" s="298">
        <v>1</v>
      </c>
      <c r="M8578" s="274"/>
    </row>
    <row r="8579" spans="2:13" ht="15" customHeight="1" x14ac:dyDescent="0.25">
      <c r="B8579" s="289">
        <v>6616</v>
      </c>
      <c r="C8579" s="261">
        <v>103</v>
      </c>
      <c r="D8579" s="244" t="s">
        <v>11</v>
      </c>
      <c r="E8579" s="263">
        <v>3</v>
      </c>
      <c r="F8579" s="294" t="s">
        <v>1163</v>
      </c>
      <c r="G8579" s="294" t="s">
        <v>126</v>
      </c>
      <c r="H8579" s="298">
        <v>1</v>
      </c>
      <c r="M8579" s="274"/>
    </row>
    <row r="8580" spans="2:13" ht="15" customHeight="1" x14ac:dyDescent="0.25">
      <c r="B8580" s="289">
        <v>6617</v>
      </c>
      <c r="C8580" s="261">
        <v>105</v>
      </c>
      <c r="D8580" s="244" t="s">
        <v>11</v>
      </c>
      <c r="E8580" s="263">
        <v>3</v>
      </c>
      <c r="F8580" s="294" t="s">
        <v>499</v>
      </c>
      <c r="G8580" s="294" t="s">
        <v>126</v>
      </c>
      <c r="H8580" s="298">
        <v>1</v>
      </c>
      <c r="M8580" s="274"/>
    </row>
    <row r="8581" spans="2:13" ht="15" customHeight="1" x14ac:dyDescent="0.25">
      <c r="B8581" s="289">
        <v>6618</v>
      </c>
      <c r="C8581" s="261">
        <v>106</v>
      </c>
      <c r="D8581" s="244" t="s">
        <v>11</v>
      </c>
      <c r="E8581" s="263">
        <v>4</v>
      </c>
      <c r="F8581" s="294" t="s">
        <v>1483</v>
      </c>
      <c r="G8581" s="294" t="s">
        <v>126</v>
      </c>
      <c r="H8581" s="298">
        <v>1</v>
      </c>
      <c r="M8581" s="274"/>
    </row>
    <row r="8582" spans="2:13" ht="15" customHeight="1" x14ac:dyDescent="0.25">
      <c r="B8582" s="289">
        <v>6619</v>
      </c>
      <c r="C8582" s="261">
        <v>105</v>
      </c>
      <c r="D8582" s="244" t="s">
        <v>12</v>
      </c>
      <c r="E8582" s="263">
        <v>1</v>
      </c>
      <c r="F8582" s="294" t="s">
        <v>126</v>
      </c>
      <c r="G8582" s="294" t="s">
        <v>437</v>
      </c>
      <c r="H8582" s="298">
        <v>1</v>
      </c>
      <c r="M8582" s="274"/>
    </row>
    <row r="8583" spans="2:13" ht="15" customHeight="1" x14ac:dyDescent="0.25">
      <c r="B8583" s="289">
        <v>6620</v>
      </c>
      <c r="C8583" s="261">
        <v>105</v>
      </c>
      <c r="D8583" s="244" t="s">
        <v>12</v>
      </c>
      <c r="E8583" s="263">
        <v>1</v>
      </c>
      <c r="F8583" s="294" t="s">
        <v>126</v>
      </c>
      <c r="G8583" s="294" t="s">
        <v>437</v>
      </c>
      <c r="H8583" s="298">
        <v>1</v>
      </c>
      <c r="M8583" s="274"/>
    </row>
    <row r="8584" spans="2:13" ht="15" customHeight="1" x14ac:dyDescent="0.25">
      <c r="B8584" s="289">
        <v>6622</v>
      </c>
      <c r="C8584" s="261">
        <v>105</v>
      </c>
      <c r="D8584" s="244" t="s">
        <v>12</v>
      </c>
      <c r="E8584" s="263">
        <v>1</v>
      </c>
      <c r="F8584" s="294" t="s">
        <v>126</v>
      </c>
      <c r="G8584" s="294" t="s">
        <v>437</v>
      </c>
      <c r="H8584" s="298">
        <v>1</v>
      </c>
      <c r="M8584" s="274"/>
    </row>
    <row r="8585" spans="2:13" ht="15" customHeight="1" x14ac:dyDescent="0.25">
      <c r="B8585" s="289">
        <v>6624</v>
      </c>
      <c r="C8585" s="261">
        <v>105</v>
      </c>
      <c r="D8585" s="244" t="s">
        <v>12</v>
      </c>
      <c r="E8585" s="263">
        <v>2</v>
      </c>
      <c r="F8585" s="294" t="s">
        <v>126</v>
      </c>
      <c r="G8585" s="294" t="s">
        <v>789</v>
      </c>
      <c r="H8585" s="298">
        <v>1</v>
      </c>
      <c r="M8585" s="274"/>
    </row>
    <row r="8586" spans="2:13" ht="15" customHeight="1" x14ac:dyDescent="0.25">
      <c r="B8586" s="289">
        <v>6625</v>
      </c>
      <c r="C8586" s="261">
        <v>111</v>
      </c>
      <c r="D8586" s="244" t="s">
        <v>11</v>
      </c>
      <c r="E8586" s="263">
        <v>1</v>
      </c>
      <c r="F8586" s="294" t="s">
        <v>235</v>
      </c>
      <c r="G8586" s="294" t="s">
        <v>126</v>
      </c>
      <c r="H8586" s="298">
        <v>1</v>
      </c>
      <c r="M8586" s="274"/>
    </row>
    <row r="8587" spans="2:13" ht="15" customHeight="1" x14ac:dyDescent="0.25">
      <c r="B8587" s="289">
        <v>6626</v>
      </c>
      <c r="C8587" s="261">
        <v>105</v>
      </c>
      <c r="D8587" s="244" t="s">
        <v>12</v>
      </c>
      <c r="E8587" s="263">
        <v>2</v>
      </c>
      <c r="F8587" s="294" t="s">
        <v>126</v>
      </c>
      <c r="G8587" s="294" t="s">
        <v>136</v>
      </c>
      <c r="H8587" s="298">
        <v>1</v>
      </c>
      <c r="M8587" s="274"/>
    </row>
    <row r="8588" spans="2:13" ht="15" customHeight="1" x14ac:dyDescent="0.25">
      <c r="B8588" s="289">
        <v>6627</v>
      </c>
      <c r="C8588" s="261">
        <v>106</v>
      </c>
      <c r="D8588" s="244" t="s">
        <v>12</v>
      </c>
      <c r="E8588" s="263">
        <v>1</v>
      </c>
      <c r="F8588" s="294" t="s">
        <v>126</v>
      </c>
      <c r="G8588" s="294" t="s">
        <v>139</v>
      </c>
      <c r="H8588" s="298">
        <v>1</v>
      </c>
      <c r="M8588" s="274"/>
    </row>
    <row r="8589" spans="2:13" ht="15" customHeight="1" x14ac:dyDescent="0.25">
      <c r="B8589" s="289">
        <v>6628</v>
      </c>
      <c r="C8589" s="261">
        <v>102</v>
      </c>
      <c r="D8589" s="244" t="s">
        <v>12</v>
      </c>
      <c r="E8589" s="263">
        <v>1</v>
      </c>
      <c r="F8589" s="294" t="s">
        <v>126</v>
      </c>
      <c r="G8589" s="294" t="s">
        <v>437</v>
      </c>
      <c r="H8589" s="298">
        <v>1</v>
      </c>
      <c r="M8589" s="274"/>
    </row>
    <row r="8590" spans="2:13" ht="15" customHeight="1" x14ac:dyDescent="0.25">
      <c r="B8590" s="289">
        <v>6628</v>
      </c>
      <c r="C8590" s="261">
        <v>113</v>
      </c>
      <c r="D8590" s="244" t="s">
        <v>11</v>
      </c>
      <c r="E8590" s="263">
        <v>1</v>
      </c>
      <c r="F8590" s="294" t="s">
        <v>139</v>
      </c>
      <c r="G8590" s="294" t="s">
        <v>126</v>
      </c>
      <c r="H8590" s="298">
        <v>1</v>
      </c>
      <c r="M8590" s="274"/>
    </row>
    <row r="8591" spans="2:13" ht="15" customHeight="1" x14ac:dyDescent="0.25">
      <c r="B8591" s="289">
        <v>6629</v>
      </c>
      <c r="C8591" s="261">
        <v>104</v>
      </c>
      <c r="D8591" s="244" t="s">
        <v>12</v>
      </c>
      <c r="E8591" s="263">
        <v>2</v>
      </c>
      <c r="F8591" s="294" t="s">
        <v>126</v>
      </c>
      <c r="G8591" s="294" t="s">
        <v>136</v>
      </c>
      <c r="H8591" s="298">
        <v>1</v>
      </c>
      <c r="M8591" s="274"/>
    </row>
    <row r="8592" spans="2:13" ht="15" customHeight="1" x14ac:dyDescent="0.25">
      <c r="B8592" s="289">
        <v>6629</v>
      </c>
      <c r="C8592" s="261">
        <v>111</v>
      </c>
      <c r="D8592" s="244" t="s">
        <v>11</v>
      </c>
      <c r="E8592" s="263">
        <v>5</v>
      </c>
      <c r="F8592" s="294" t="s">
        <v>131</v>
      </c>
      <c r="G8592" s="294" t="s">
        <v>126</v>
      </c>
      <c r="H8592" s="298">
        <v>1</v>
      </c>
      <c r="M8592" s="274"/>
    </row>
    <row r="8593" spans="2:13" ht="15" customHeight="1" x14ac:dyDescent="0.25">
      <c r="B8593" s="289">
        <v>6630</v>
      </c>
      <c r="C8593" s="261">
        <v>105</v>
      </c>
      <c r="D8593" s="244" t="s">
        <v>11</v>
      </c>
      <c r="E8593" s="263">
        <v>1</v>
      </c>
      <c r="F8593" s="294" t="s">
        <v>437</v>
      </c>
      <c r="G8593" s="294" t="s">
        <v>126</v>
      </c>
      <c r="H8593" s="298">
        <v>1</v>
      </c>
      <c r="M8593" s="274"/>
    </row>
    <row r="8594" spans="2:13" ht="15" customHeight="1" x14ac:dyDescent="0.25">
      <c r="B8594" s="289">
        <v>6630</v>
      </c>
      <c r="C8594" s="261">
        <v>115</v>
      </c>
      <c r="D8594" s="244" t="s">
        <v>12</v>
      </c>
      <c r="E8594" s="263">
        <v>1</v>
      </c>
      <c r="F8594" s="294" t="s">
        <v>126</v>
      </c>
      <c r="G8594" s="294" t="s">
        <v>426</v>
      </c>
      <c r="H8594" s="298">
        <v>1</v>
      </c>
      <c r="M8594" s="274"/>
    </row>
    <row r="8595" spans="2:13" ht="15" customHeight="1" x14ac:dyDescent="0.25">
      <c r="B8595" s="289">
        <v>6631</v>
      </c>
      <c r="C8595" s="261">
        <v>105</v>
      </c>
      <c r="D8595" s="244" t="s">
        <v>12</v>
      </c>
      <c r="E8595" s="263">
        <v>1</v>
      </c>
      <c r="F8595" s="294" t="s">
        <v>126</v>
      </c>
      <c r="G8595" s="294" t="s">
        <v>437</v>
      </c>
      <c r="H8595" s="298">
        <v>1</v>
      </c>
      <c r="M8595" s="274"/>
    </row>
    <row r="8596" spans="2:13" ht="15" customHeight="1" x14ac:dyDescent="0.25">
      <c r="B8596" s="289">
        <v>6632</v>
      </c>
      <c r="C8596" s="261">
        <v>105</v>
      </c>
      <c r="D8596" s="244" t="s">
        <v>12</v>
      </c>
      <c r="E8596" s="263">
        <v>1</v>
      </c>
      <c r="F8596" s="294" t="s">
        <v>126</v>
      </c>
      <c r="G8596" s="294" t="s">
        <v>437</v>
      </c>
      <c r="H8596" s="298">
        <v>1</v>
      </c>
      <c r="M8596" s="274"/>
    </row>
    <row r="8597" spans="2:13" ht="15" customHeight="1" x14ac:dyDescent="0.25">
      <c r="B8597" s="289">
        <v>6633</v>
      </c>
      <c r="C8597" s="261">
        <v>105</v>
      </c>
      <c r="D8597" s="244" t="s">
        <v>12</v>
      </c>
      <c r="E8597" s="263">
        <v>1</v>
      </c>
      <c r="F8597" s="294" t="s">
        <v>126</v>
      </c>
      <c r="G8597" s="294" t="s">
        <v>437</v>
      </c>
      <c r="H8597" s="298">
        <v>1</v>
      </c>
      <c r="M8597" s="274"/>
    </row>
    <row r="8598" spans="2:13" ht="15" customHeight="1" x14ac:dyDescent="0.25">
      <c r="B8598" s="289">
        <v>6634</v>
      </c>
      <c r="C8598" s="261">
        <v>104</v>
      </c>
      <c r="D8598" s="244" t="s">
        <v>11</v>
      </c>
      <c r="E8598" s="263">
        <v>2</v>
      </c>
      <c r="F8598" s="294" t="s">
        <v>214</v>
      </c>
      <c r="G8598" s="294" t="s">
        <v>126</v>
      </c>
      <c r="H8598" s="298">
        <v>1</v>
      </c>
      <c r="M8598" s="274"/>
    </row>
    <row r="8599" spans="2:13" ht="15" customHeight="1" x14ac:dyDescent="0.25">
      <c r="B8599" s="289">
        <v>6634</v>
      </c>
      <c r="C8599" s="261">
        <v>114</v>
      </c>
      <c r="D8599" s="244" t="s">
        <v>12</v>
      </c>
      <c r="E8599" s="263">
        <v>2</v>
      </c>
      <c r="F8599" s="294" t="s">
        <v>126</v>
      </c>
      <c r="G8599" s="294" t="s">
        <v>227</v>
      </c>
      <c r="H8599" s="298">
        <v>1</v>
      </c>
      <c r="M8599" s="274"/>
    </row>
    <row r="8600" spans="2:13" ht="15" customHeight="1" x14ac:dyDescent="0.25">
      <c r="B8600" s="289">
        <v>6635</v>
      </c>
      <c r="C8600" s="261">
        <v>102</v>
      </c>
      <c r="D8600" s="244" t="s">
        <v>11</v>
      </c>
      <c r="E8600" s="263">
        <v>4</v>
      </c>
      <c r="F8600" s="294" t="s">
        <v>964</v>
      </c>
      <c r="G8600" s="294" t="s">
        <v>126</v>
      </c>
      <c r="H8600" s="298">
        <v>1</v>
      </c>
      <c r="M8600" s="274"/>
    </row>
    <row r="8601" spans="2:13" ht="15" customHeight="1" x14ac:dyDescent="0.25">
      <c r="B8601" s="289">
        <v>6635</v>
      </c>
      <c r="C8601" s="261">
        <v>116</v>
      </c>
      <c r="D8601" s="244" t="s">
        <v>12</v>
      </c>
      <c r="E8601" s="263">
        <v>4</v>
      </c>
      <c r="F8601" s="294" t="s">
        <v>126</v>
      </c>
      <c r="G8601" s="294" t="s">
        <v>1562</v>
      </c>
      <c r="H8601" s="298">
        <v>1</v>
      </c>
      <c r="M8601" s="274"/>
    </row>
    <row r="8602" spans="2:13" ht="15" customHeight="1" x14ac:dyDescent="0.25">
      <c r="B8602" s="289">
        <v>6636</v>
      </c>
      <c r="C8602" s="261">
        <v>105</v>
      </c>
      <c r="D8602" s="244" t="s">
        <v>12</v>
      </c>
      <c r="E8602" s="263">
        <v>1</v>
      </c>
      <c r="F8602" s="294" t="s">
        <v>126</v>
      </c>
      <c r="G8602" s="294" t="s">
        <v>437</v>
      </c>
      <c r="H8602" s="298">
        <v>1</v>
      </c>
      <c r="M8602" s="274"/>
    </row>
    <row r="8603" spans="2:13" ht="15" customHeight="1" x14ac:dyDescent="0.25">
      <c r="B8603" s="289">
        <v>6637</v>
      </c>
      <c r="C8603" s="261">
        <v>106</v>
      </c>
      <c r="D8603" s="244" t="s">
        <v>11</v>
      </c>
      <c r="E8603" s="263">
        <v>1</v>
      </c>
      <c r="F8603" s="294" t="s">
        <v>426</v>
      </c>
      <c r="G8603" s="294" t="s">
        <v>126</v>
      </c>
      <c r="H8603" s="298">
        <v>1</v>
      </c>
      <c r="M8603" s="274"/>
    </row>
    <row r="8604" spans="2:13" ht="15" customHeight="1" x14ac:dyDescent="0.25">
      <c r="B8604" s="289">
        <v>6638</v>
      </c>
      <c r="C8604" s="261">
        <v>105</v>
      </c>
      <c r="D8604" s="244" t="s">
        <v>12</v>
      </c>
      <c r="E8604" s="263">
        <v>1</v>
      </c>
      <c r="F8604" s="294" t="s">
        <v>126</v>
      </c>
      <c r="G8604" s="294" t="s">
        <v>437</v>
      </c>
      <c r="H8604" s="298">
        <v>1</v>
      </c>
      <c r="M8604" s="274"/>
    </row>
    <row r="8605" spans="2:13" ht="15" customHeight="1" x14ac:dyDescent="0.25">
      <c r="B8605" s="289">
        <v>6639</v>
      </c>
      <c r="C8605" s="261">
        <v>105</v>
      </c>
      <c r="D8605" s="244" t="s">
        <v>12</v>
      </c>
      <c r="E8605" s="263">
        <v>1</v>
      </c>
      <c r="F8605" s="294" t="s">
        <v>126</v>
      </c>
      <c r="G8605" s="294" t="s">
        <v>437</v>
      </c>
      <c r="H8605" s="298">
        <v>1</v>
      </c>
      <c r="M8605" s="274"/>
    </row>
    <row r="8606" spans="2:13" ht="15" customHeight="1" x14ac:dyDescent="0.25">
      <c r="B8606" s="289">
        <v>6640</v>
      </c>
      <c r="C8606" s="261">
        <v>105</v>
      </c>
      <c r="D8606" s="244" t="s">
        <v>12</v>
      </c>
      <c r="E8606" s="263">
        <v>2</v>
      </c>
      <c r="F8606" s="294" t="s">
        <v>126</v>
      </c>
      <c r="G8606" s="294" t="s">
        <v>441</v>
      </c>
      <c r="H8606" s="298">
        <v>1</v>
      </c>
      <c r="M8606" s="274"/>
    </row>
    <row r="8607" spans="2:13" ht="15" customHeight="1" x14ac:dyDescent="0.25">
      <c r="B8607" s="289">
        <v>6641</v>
      </c>
      <c r="C8607" s="261">
        <v>105</v>
      </c>
      <c r="D8607" s="244" t="s">
        <v>12</v>
      </c>
      <c r="E8607" s="263">
        <v>1</v>
      </c>
      <c r="F8607" s="294" t="s">
        <v>126</v>
      </c>
      <c r="G8607" s="294" t="s">
        <v>437</v>
      </c>
      <c r="H8607" s="298">
        <v>1</v>
      </c>
      <c r="M8607" s="274"/>
    </row>
    <row r="8608" spans="2:13" ht="15" customHeight="1" x14ac:dyDescent="0.25">
      <c r="B8608" s="289">
        <v>6642</v>
      </c>
      <c r="C8608" s="261">
        <v>105</v>
      </c>
      <c r="D8608" s="244" t="s">
        <v>12</v>
      </c>
      <c r="E8608" s="263">
        <v>1</v>
      </c>
      <c r="F8608" s="294" t="s">
        <v>126</v>
      </c>
      <c r="G8608" s="294" t="s">
        <v>437</v>
      </c>
      <c r="H8608" s="298">
        <v>1</v>
      </c>
      <c r="M8608" s="274"/>
    </row>
    <row r="8609" spans="2:13" ht="15" customHeight="1" x14ac:dyDescent="0.25">
      <c r="B8609" s="289">
        <v>6643</v>
      </c>
      <c r="C8609" s="261">
        <v>105</v>
      </c>
      <c r="D8609" s="244" t="s">
        <v>12</v>
      </c>
      <c r="E8609" s="263">
        <v>1</v>
      </c>
      <c r="F8609" s="294" t="s">
        <v>126</v>
      </c>
      <c r="G8609" s="294" t="s">
        <v>437</v>
      </c>
      <c r="H8609" s="298">
        <v>1</v>
      </c>
      <c r="M8609" s="274"/>
    </row>
    <row r="8610" spans="2:13" ht="15" customHeight="1" x14ac:dyDescent="0.25">
      <c r="B8610" s="289">
        <v>6644</v>
      </c>
      <c r="C8610" s="261">
        <v>105</v>
      </c>
      <c r="D8610" s="244" t="s">
        <v>12</v>
      </c>
      <c r="E8610" s="263">
        <v>1</v>
      </c>
      <c r="F8610" s="294" t="s">
        <v>126</v>
      </c>
      <c r="G8610" s="294" t="s">
        <v>437</v>
      </c>
      <c r="H8610" s="298">
        <v>1</v>
      </c>
      <c r="M8610" s="274"/>
    </row>
    <row r="8611" spans="2:13" ht="15" customHeight="1" x14ac:dyDescent="0.25">
      <c r="B8611" s="289">
        <v>6645</v>
      </c>
      <c r="C8611" s="261">
        <v>105</v>
      </c>
      <c r="D8611" s="244" t="s">
        <v>12</v>
      </c>
      <c r="E8611" s="263">
        <v>1</v>
      </c>
      <c r="F8611" s="294" t="s">
        <v>126</v>
      </c>
      <c r="G8611" s="294" t="s">
        <v>437</v>
      </c>
      <c r="H8611" s="298">
        <v>1</v>
      </c>
      <c r="M8611" s="274"/>
    </row>
    <row r="8612" spans="2:13" ht="15" customHeight="1" x14ac:dyDescent="0.25">
      <c r="B8612" s="289">
        <v>6646</v>
      </c>
      <c r="C8612" s="261">
        <v>101</v>
      </c>
      <c r="D8612" s="244" t="s">
        <v>11</v>
      </c>
      <c r="E8612" s="263">
        <v>20</v>
      </c>
      <c r="F8612" s="294" t="s">
        <v>1535</v>
      </c>
      <c r="G8612" s="294" t="s">
        <v>126</v>
      </c>
      <c r="H8612" s="298">
        <v>1</v>
      </c>
      <c r="M8612" s="274"/>
    </row>
    <row r="8613" spans="2:13" ht="15" customHeight="1" x14ac:dyDescent="0.25">
      <c r="B8613" s="289">
        <v>6647</v>
      </c>
      <c r="C8613" s="261">
        <v>103</v>
      </c>
      <c r="D8613" s="244" t="s">
        <v>11</v>
      </c>
      <c r="E8613" s="263">
        <v>20</v>
      </c>
      <c r="F8613" s="294" t="s">
        <v>1496</v>
      </c>
      <c r="G8613" s="294" t="s">
        <v>126</v>
      </c>
      <c r="H8613" s="298">
        <v>1</v>
      </c>
      <c r="M8613" s="274"/>
    </row>
    <row r="8614" spans="2:13" ht="15" customHeight="1" x14ac:dyDescent="0.25">
      <c r="B8614" s="289">
        <v>6648</v>
      </c>
      <c r="C8614" s="261">
        <v>106</v>
      </c>
      <c r="D8614" s="244" t="s">
        <v>11</v>
      </c>
      <c r="E8614" s="263">
        <v>5</v>
      </c>
      <c r="F8614" s="294" t="s">
        <v>1563</v>
      </c>
      <c r="G8614" s="294" t="s">
        <v>126</v>
      </c>
      <c r="H8614" s="298">
        <v>1</v>
      </c>
      <c r="M8614" s="274"/>
    </row>
    <row r="8615" spans="2:13" ht="15" customHeight="1" x14ac:dyDescent="0.25">
      <c r="B8615" s="289">
        <v>6649</v>
      </c>
      <c r="C8615" s="261">
        <v>106</v>
      </c>
      <c r="D8615" s="244" t="s">
        <v>11</v>
      </c>
      <c r="E8615" s="263">
        <v>4</v>
      </c>
      <c r="F8615" s="294" t="s">
        <v>1483</v>
      </c>
      <c r="G8615" s="294" t="s">
        <v>126</v>
      </c>
      <c r="H8615" s="298">
        <v>1</v>
      </c>
      <c r="M8615" s="274"/>
    </row>
    <row r="8616" spans="2:13" ht="15" customHeight="1" x14ac:dyDescent="0.25">
      <c r="B8616" s="289">
        <v>6650</v>
      </c>
      <c r="C8616" s="261">
        <v>105</v>
      </c>
      <c r="D8616" s="244" t="s">
        <v>12</v>
      </c>
      <c r="E8616" s="263">
        <v>1</v>
      </c>
      <c r="F8616" s="294" t="s">
        <v>126</v>
      </c>
      <c r="G8616" s="294" t="s">
        <v>437</v>
      </c>
      <c r="H8616" s="298">
        <v>1</v>
      </c>
      <c r="M8616" s="274"/>
    </row>
    <row r="8617" spans="2:13" ht="15" customHeight="1" x14ac:dyDescent="0.25">
      <c r="B8617" s="289">
        <v>6651</v>
      </c>
      <c r="C8617" s="261">
        <v>107</v>
      </c>
      <c r="D8617" s="244" t="s">
        <v>12</v>
      </c>
      <c r="E8617" s="263">
        <v>1</v>
      </c>
      <c r="F8617" s="294" t="s">
        <v>126</v>
      </c>
      <c r="G8617" s="294" t="s">
        <v>426</v>
      </c>
      <c r="H8617" s="298">
        <v>1</v>
      </c>
      <c r="M8617" s="274"/>
    </row>
    <row r="8618" spans="2:13" ht="15" customHeight="1" x14ac:dyDescent="0.25">
      <c r="B8618" s="289">
        <v>6652</v>
      </c>
      <c r="C8618" s="261">
        <v>102</v>
      </c>
      <c r="D8618" s="244" t="s">
        <v>11</v>
      </c>
      <c r="E8618" s="263">
        <v>1</v>
      </c>
      <c r="F8618" s="294" t="s">
        <v>235</v>
      </c>
      <c r="G8618" s="294" t="s">
        <v>126</v>
      </c>
      <c r="H8618" s="298">
        <v>1</v>
      </c>
      <c r="M8618" s="274"/>
    </row>
    <row r="8619" spans="2:13" ht="15" customHeight="1" x14ac:dyDescent="0.25">
      <c r="B8619" s="289">
        <v>6652</v>
      </c>
      <c r="C8619" s="261">
        <v>105</v>
      </c>
      <c r="D8619" s="244" t="s">
        <v>11</v>
      </c>
      <c r="E8619" s="263">
        <v>4</v>
      </c>
      <c r="F8619" s="294" t="s">
        <v>1498</v>
      </c>
      <c r="G8619" s="294" t="s">
        <v>126</v>
      </c>
      <c r="H8619" s="298">
        <v>1</v>
      </c>
      <c r="M8619" s="274"/>
    </row>
    <row r="8620" spans="2:13" ht="15" customHeight="1" x14ac:dyDescent="0.25">
      <c r="B8620" s="289">
        <v>6652</v>
      </c>
      <c r="C8620" s="261">
        <v>114</v>
      </c>
      <c r="D8620" s="244" t="s">
        <v>11</v>
      </c>
      <c r="E8620" s="263">
        <v>2</v>
      </c>
      <c r="F8620" s="294" t="s">
        <v>341</v>
      </c>
      <c r="G8620" s="294" t="s">
        <v>126</v>
      </c>
      <c r="H8620" s="298">
        <v>1</v>
      </c>
      <c r="M8620" s="274"/>
    </row>
    <row r="8621" spans="2:13" ht="15" customHeight="1" x14ac:dyDescent="0.25">
      <c r="B8621" s="289">
        <v>6653</v>
      </c>
      <c r="C8621" s="261">
        <v>104</v>
      </c>
      <c r="D8621" s="244" t="s">
        <v>11</v>
      </c>
      <c r="E8621" s="263">
        <v>2</v>
      </c>
      <c r="F8621" s="294" t="s">
        <v>214</v>
      </c>
      <c r="G8621" s="294" t="s">
        <v>126</v>
      </c>
      <c r="H8621" s="298">
        <v>1</v>
      </c>
      <c r="M8621" s="274"/>
    </row>
    <row r="8622" spans="2:13" ht="15" customHeight="1" x14ac:dyDescent="0.25">
      <c r="B8622" s="289">
        <v>6653</v>
      </c>
      <c r="C8622" s="261">
        <v>114</v>
      </c>
      <c r="D8622" s="244" t="s">
        <v>12</v>
      </c>
      <c r="E8622" s="263">
        <v>2</v>
      </c>
      <c r="F8622" s="294" t="s">
        <v>126</v>
      </c>
      <c r="G8622" s="294" t="s">
        <v>431</v>
      </c>
      <c r="H8622" s="298">
        <v>1</v>
      </c>
      <c r="M8622" s="274"/>
    </row>
    <row r="8623" spans="2:13" ht="15" customHeight="1" x14ac:dyDescent="0.25">
      <c r="B8623" s="289">
        <v>6654</v>
      </c>
      <c r="C8623" s="261">
        <v>105</v>
      </c>
      <c r="D8623" s="244" t="s">
        <v>11</v>
      </c>
      <c r="E8623" s="263">
        <v>2</v>
      </c>
      <c r="F8623" s="294" t="s">
        <v>441</v>
      </c>
      <c r="G8623" s="294" t="s">
        <v>126</v>
      </c>
      <c r="H8623" s="298">
        <v>1</v>
      </c>
      <c r="M8623" s="274"/>
    </row>
    <row r="8624" spans="2:13" ht="15" customHeight="1" x14ac:dyDescent="0.25">
      <c r="B8624" s="289">
        <v>6654</v>
      </c>
      <c r="C8624" s="261">
        <v>114</v>
      </c>
      <c r="D8624" s="244" t="s">
        <v>12</v>
      </c>
      <c r="E8624" s="263">
        <v>2</v>
      </c>
      <c r="F8624" s="294" t="s">
        <v>126</v>
      </c>
      <c r="G8624" s="294" t="s">
        <v>420</v>
      </c>
      <c r="H8624" s="298">
        <v>1</v>
      </c>
      <c r="M8624" s="274"/>
    </row>
    <row r="8625" spans="2:13" ht="15" customHeight="1" x14ac:dyDescent="0.25">
      <c r="B8625" s="289">
        <v>6655</v>
      </c>
      <c r="C8625" s="261">
        <v>105</v>
      </c>
      <c r="D8625" s="244" t="s">
        <v>12</v>
      </c>
      <c r="E8625" s="263">
        <v>2</v>
      </c>
      <c r="F8625" s="294" t="s">
        <v>126</v>
      </c>
      <c r="G8625" s="294" t="s">
        <v>587</v>
      </c>
      <c r="H8625" s="298">
        <v>1</v>
      </c>
      <c r="M8625" s="274"/>
    </row>
    <row r="8626" spans="2:13" ht="15" customHeight="1" x14ac:dyDescent="0.25">
      <c r="B8626" s="289">
        <v>6655</v>
      </c>
      <c r="C8626" s="261">
        <v>112</v>
      </c>
      <c r="D8626" s="244" t="s">
        <v>11</v>
      </c>
      <c r="E8626" s="263">
        <v>2</v>
      </c>
      <c r="F8626" s="294" t="s">
        <v>136</v>
      </c>
      <c r="G8626" s="294" t="s">
        <v>126</v>
      </c>
      <c r="H8626" s="298">
        <v>1</v>
      </c>
      <c r="M8626" s="274"/>
    </row>
    <row r="8627" spans="2:13" ht="15" customHeight="1" x14ac:dyDescent="0.25">
      <c r="B8627" s="289">
        <v>6656</v>
      </c>
      <c r="C8627" s="261">
        <v>105</v>
      </c>
      <c r="D8627" s="244" t="s">
        <v>12</v>
      </c>
      <c r="E8627" s="263">
        <v>4</v>
      </c>
      <c r="F8627" s="294" t="s">
        <v>126</v>
      </c>
      <c r="G8627" s="294" t="s">
        <v>1517</v>
      </c>
      <c r="H8627" s="298">
        <v>1</v>
      </c>
      <c r="M8627" s="274"/>
    </row>
    <row r="8628" spans="2:13" ht="15" customHeight="1" x14ac:dyDescent="0.25">
      <c r="B8628" s="289">
        <v>6656</v>
      </c>
      <c r="C8628" s="261">
        <v>110</v>
      </c>
      <c r="D8628" s="244" t="s">
        <v>11</v>
      </c>
      <c r="E8628" s="263">
        <v>4</v>
      </c>
      <c r="F8628" s="294" t="s">
        <v>682</v>
      </c>
      <c r="G8628" s="294" t="s">
        <v>126</v>
      </c>
      <c r="H8628" s="298">
        <v>1</v>
      </c>
      <c r="M8628" s="274"/>
    </row>
    <row r="8629" spans="2:13" ht="15" customHeight="1" x14ac:dyDescent="0.25">
      <c r="B8629" s="289">
        <v>6657</v>
      </c>
      <c r="C8629" s="261">
        <v>99</v>
      </c>
      <c r="D8629" s="244" t="s">
        <v>12</v>
      </c>
      <c r="E8629" s="263">
        <v>22</v>
      </c>
      <c r="F8629" s="294" t="s">
        <v>126</v>
      </c>
      <c r="G8629" s="294" t="s">
        <v>1564</v>
      </c>
      <c r="H8629" s="298">
        <v>1</v>
      </c>
      <c r="M8629" s="274"/>
    </row>
    <row r="8630" spans="2:13" ht="15" customHeight="1" x14ac:dyDescent="0.25">
      <c r="B8630" s="289">
        <v>6658</v>
      </c>
      <c r="C8630" s="261">
        <v>106</v>
      </c>
      <c r="D8630" s="244" t="s">
        <v>11</v>
      </c>
      <c r="E8630" s="263">
        <v>2</v>
      </c>
      <c r="F8630" s="294" t="s">
        <v>341</v>
      </c>
      <c r="G8630" s="294" t="s">
        <v>126</v>
      </c>
      <c r="H8630" s="298">
        <v>1</v>
      </c>
      <c r="M8630" s="274"/>
    </row>
    <row r="8631" spans="2:13" ht="15" customHeight="1" x14ac:dyDescent="0.25">
      <c r="B8631" s="289">
        <v>6659</v>
      </c>
      <c r="C8631" s="261">
        <v>105</v>
      </c>
      <c r="D8631" s="244" t="s">
        <v>12</v>
      </c>
      <c r="E8631" s="263">
        <v>1</v>
      </c>
      <c r="F8631" s="294" t="s">
        <v>126</v>
      </c>
      <c r="G8631" s="294" t="s">
        <v>426</v>
      </c>
      <c r="H8631" s="298">
        <v>1</v>
      </c>
      <c r="M8631" s="274"/>
    </row>
    <row r="8632" spans="2:13" ht="15" customHeight="1" x14ac:dyDescent="0.25">
      <c r="B8632" s="289">
        <v>6659</v>
      </c>
      <c r="C8632" s="261">
        <v>113</v>
      </c>
      <c r="D8632" s="244" t="s">
        <v>11</v>
      </c>
      <c r="E8632" s="263">
        <v>1</v>
      </c>
      <c r="F8632" s="294" t="s">
        <v>139</v>
      </c>
      <c r="G8632" s="294" t="s">
        <v>126</v>
      </c>
      <c r="H8632" s="298">
        <v>1</v>
      </c>
      <c r="M8632" s="274"/>
    </row>
    <row r="8633" spans="2:13" ht="15" customHeight="1" x14ac:dyDescent="0.25">
      <c r="B8633" s="289">
        <v>6660</v>
      </c>
      <c r="C8633" s="261">
        <v>105</v>
      </c>
      <c r="D8633" s="244" t="s">
        <v>11</v>
      </c>
      <c r="E8633" s="263">
        <v>2</v>
      </c>
      <c r="F8633" s="294" t="s">
        <v>441</v>
      </c>
      <c r="G8633" s="294" t="s">
        <v>126</v>
      </c>
      <c r="H8633" s="298">
        <v>1</v>
      </c>
      <c r="M8633" s="274"/>
    </row>
    <row r="8634" spans="2:13" ht="15" customHeight="1" x14ac:dyDescent="0.25">
      <c r="B8634" s="289">
        <v>6660</v>
      </c>
      <c r="C8634" s="261">
        <v>114</v>
      </c>
      <c r="D8634" s="244" t="s">
        <v>12</v>
      </c>
      <c r="E8634" s="263">
        <v>2</v>
      </c>
      <c r="F8634" s="294" t="s">
        <v>126</v>
      </c>
      <c r="G8634" s="294" t="s">
        <v>431</v>
      </c>
      <c r="H8634" s="298">
        <v>1</v>
      </c>
      <c r="M8634" s="274"/>
    </row>
    <row r="8635" spans="2:13" ht="15" customHeight="1" x14ac:dyDescent="0.25">
      <c r="B8635" s="289">
        <v>6661</v>
      </c>
      <c r="C8635" s="261">
        <v>107</v>
      </c>
      <c r="D8635" s="244" t="s">
        <v>11</v>
      </c>
      <c r="E8635" s="263">
        <v>3</v>
      </c>
      <c r="F8635" s="294" t="s">
        <v>863</v>
      </c>
      <c r="G8635" s="294" t="s">
        <v>126</v>
      </c>
      <c r="H8635" s="298">
        <v>1</v>
      </c>
      <c r="M8635" s="274"/>
    </row>
    <row r="8636" spans="2:13" ht="15" customHeight="1" x14ac:dyDescent="0.25">
      <c r="B8636" s="289">
        <v>6661</v>
      </c>
      <c r="C8636" s="261">
        <v>114</v>
      </c>
      <c r="D8636" s="244" t="s">
        <v>12</v>
      </c>
      <c r="E8636" s="263">
        <v>2</v>
      </c>
      <c r="F8636" s="294" t="s">
        <v>126</v>
      </c>
      <c r="G8636" s="294" t="s">
        <v>227</v>
      </c>
      <c r="H8636" s="298">
        <v>1</v>
      </c>
      <c r="M8636" s="274"/>
    </row>
    <row r="8637" spans="2:13" ht="15" customHeight="1" x14ac:dyDescent="0.25">
      <c r="B8637" s="289">
        <v>6662</v>
      </c>
      <c r="C8637" s="261">
        <v>102</v>
      </c>
      <c r="D8637" s="244" t="s">
        <v>11</v>
      </c>
      <c r="E8637" s="263">
        <v>3</v>
      </c>
      <c r="F8637" s="294" t="s">
        <v>648</v>
      </c>
      <c r="G8637" s="294" t="s">
        <v>126</v>
      </c>
      <c r="H8637" s="298">
        <v>1</v>
      </c>
      <c r="M8637" s="274"/>
    </row>
    <row r="8638" spans="2:13" ht="15" customHeight="1" x14ac:dyDescent="0.25">
      <c r="B8638" s="289">
        <v>6662</v>
      </c>
      <c r="C8638" s="261">
        <v>114</v>
      </c>
      <c r="D8638" s="244" t="s">
        <v>12</v>
      </c>
      <c r="E8638" s="263">
        <v>3</v>
      </c>
      <c r="F8638" s="294" t="s">
        <v>126</v>
      </c>
      <c r="G8638" s="294" t="s">
        <v>1472</v>
      </c>
      <c r="H8638" s="298">
        <v>1</v>
      </c>
      <c r="M8638" s="274"/>
    </row>
    <row r="8639" spans="2:13" ht="15" customHeight="1" x14ac:dyDescent="0.25">
      <c r="B8639" s="289">
        <v>6663</v>
      </c>
      <c r="C8639" s="261">
        <v>102</v>
      </c>
      <c r="D8639" s="244" t="s">
        <v>12</v>
      </c>
      <c r="E8639" s="263">
        <v>5</v>
      </c>
      <c r="F8639" s="294" t="s">
        <v>126</v>
      </c>
      <c r="G8639" s="294" t="s">
        <v>1565</v>
      </c>
      <c r="H8639" s="298">
        <v>1</v>
      </c>
      <c r="M8639" s="274"/>
    </row>
    <row r="8640" spans="2:13" ht="15" customHeight="1" x14ac:dyDescent="0.25">
      <c r="B8640" s="289">
        <v>6663</v>
      </c>
      <c r="C8640" s="261">
        <v>110</v>
      </c>
      <c r="D8640" s="244" t="s">
        <v>11</v>
      </c>
      <c r="E8640" s="263">
        <v>5</v>
      </c>
      <c r="F8640" s="294" t="s">
        <v>595</v>
      </c>
      <c r="G8640" s="294" t="s">
        <v>126</v>
      </c>
      <c r="H8640" s="298">
        <v>1</v>
      </c>
      <c r="M8640" s="274"/>
    </row>
    <row r="8641" spans="2:13" ht="15" customHeight="1" x14ac:dyDescent="0.25">
      <c r="B8641" s="289">
        <v>6664</v>
      </c>
      <c r="C8641" s="261">
        <v>104</v>
      </c>
      <c r="D8641" s="244" t="s">
        <v>11</v>
      </c>
      <c r="E8641" s="263">
        <v>2</v>
      </c>
      <c r="F8641" s="294" t="s">
        <v>214</v>
      </c>
      <c r="G8641" s="294" t="s">
        <v>126</v>
      </c>
      <c r="H8641" s="298">
        <v>1</v>
      </c>
      <c r="M8641" s="274"/>
    </row>
    <row r="8642" spans="2:13" ht="15" customHeight="1" x14ac:dyDescent="0.25">
      <c r="B8642" s="289">
        <v>6664</v>
      </c>
      <c r="C8642" s="261">
        <v>114</v>
      </c>
      <c r="D8642" s="244" t="s">
        <v>12</v>
      </c>
      <c r="E8642" s="263">
        <v>2</v>
      </c>
      <c r="F8642" s="294" t="s">
        <v>126</v>
      </c>
      <c r="G8642" s="294" t="s">
        <v>431</v>
      </c>
      <c r="H8642" s="298">
        <v>1</v>
      </c>
      <c r="M8642" s="274"/>
    </row>
    <row r="8643" spans="2:13" ht="15" customHeight="1" x14ac:dyDescent="0.25">
      <c r="B8643" s="289">
        <v>6665</v>
      </c>
      <c r="C8643" s="261">
        <v>103</v>
      </c>
      <c r="D8643" s="244" t="s">
        <v>11</v>
      </c>
      <c r="E8643" s="263">
        <v>1</v>
      </c>
      <c r="F8643" s="294" t="s">
        <v>437</v>
      </c>
      <c r="G8643" s="294" t="s">
        <v>126</v>
      </c>
      <c r="H8643" s="298">
        <v>1</v>
      </c>
      <c r="M8643" s="274"/>
    </row>
    <row r="8644" spans="2:13" ht="15" customHeight="1" x14ac:dyDescent="0.25">
      <c r="B8644" s="289">
        <v>6665</v>
      </c>
      <c r="C8644" s="261">
        <v>109</v>
      </c>
      <c r="D8644" s="244" t="s">
        <v>11</v>
      </c>
      <c r="E8644" s="263">
        <v>1</v>
      </c>
      <c r="F8644" s="294" t="s">
        <v>426</v>
      </c>
      <c r="G8644" s="294" t="s">
        <v>126</v>
      </c>
      <c r="H8644" s="298">
        <v>1</v>
      </c>
      <c r="M8644" s="274"/>
    </row>
    <row r="8645" spans="2:13" ht="15" customHeight="1" x14ac:dyDescent="0.25">
      <c r="B8645" s="289">
        <v>6665</v>
      </c>
      <c r="C8645" s="261">
        <v>114</v>
      </c>
      <c r="D8645" s="244" t="s">
        <v>12</v>
      </c>
      <c r="E8645" s="263">
        <v>2</v>
      </c>
      <c r="F8645" s="294" t="s">
        <v>126</v>
      </c>
      <c r="G8645" s="294" t="s">
        <v>420</v>
      </c>
      <c r="H8645" s="298">
        <v>1</v>
      </c>
      <c r="M8645" s="274"/>
    </row>
    <row r="8646" spans="2:13" ht="15" customHeight="1" x14ac:dyDescent="0.25">
      <c r="B8646" s="289">
        <v>6666</v>
      </c>
      <c r="C8646" s="261">
        <v>102</v>
      </c>
      <c r="D8646" s="244" t="s">
        <v>12</v>
      </c>
      <c r="E8646" s="263">
        <v>6</v>
      </c>
      <c r="F8646" s="294" t="s">
        <v>126</v>
      </c>
      <c r="G8646" s="294" t="s">
        <v>1566</v>
      </c>
      <c r="H8646" s="298">
        <v>1</v>
      </c>
      <c r="M8646" s="274"/>
    </row>
    <row r="8647" spans="2:13" ht="15" customHeight="1" x14ac:dyDescent="0.25">
      <c r="B8647" s="289">
        <v>6666</v>
      </c>
      <c r="C8647" s="261">
        <v>108</v>
      </c>
      <c r="D8647" s="244" t="s">
        <v>11</v>
      </c>
      <c r="E8647" s="263">
        <v>6</v>
      </c>
      <c r="F8647" s="294" t="s">
        <v>1500</v>
      </c>
      <c r="G8647" s="294" t="s">
        <v>126</v>
      </c>
      <c r="H8647" s="298">
        <v>1</v>
      </c>
      <c r="M8647" s="274"/>
    </row>
    <row r="8648" spans="2:13" ht="15" customHeight="1" x14ac:dyDescent="0.25">
      <c r="B8648" s="289">
        <v>6667</v>
      </c>
      <c r="C8648" s="261">
        <v>104</v>
      </c>
      <c r="D8648" s="244" t="s">
        <v>11</v>
      </c>
      <c r="E8648" s="263">
        <v>3</v>
      </c>
      <c r="F8648" s="294" t="s">
        <v>463</v>
      </c>
      <c r="G8648" s="294" t="s">
        <v>126</v>
      </c>
      <c r="H8648" s="298">
        <v>1</v>
      </c>
      <c r="M8648" s="274"/>
    </row>
    <row r="8649" spans="2:13" ht="15" customHeight="1" x14ac:dyDescent="0.25">
      <c r="B8649" s="289">
        <v>6667</v>
      </c>
      <c r="C8649" s="261">
        <v>114</v>
      </c>
      <c r="D8649" s="244" t="s">
        <v>12</v>
      </c>
      <c r="E8649" s="263">
        <v>3</v>
      </c>
      <c r="F8649" s="294" t="s">
        <v>126</v>
      </c>
      <c r="G8649" s="294" t="s">
        <v>423</v>
      </c>
      <c r="H8649" s="298">
        <v>1</v>
      </c>
      <c r="M8649" s="274"/>
    </row>
    <row r="8650" spans="2:13" ht="15" customHeight="1" x14ac:dyDescent="0.25">
      <c r="B8650" s="289">
        <v>6668</v>
      </c>
      <c r="C8650" s="261">
        <v>105</v>
      </c>
      <c r="D8650" s="244" t="s">
        <v>11</v>
      </c>
      <c r="E8650" s="263">
        <v>3</v>
      </c>
      <c r="F8650" s="294" t="s">
        <v>499</v>
      </c>
      <c r="G8650" s="294" t="s">
        <v>126</v>
      </c>
      <c r="H8650" s="298">
        <v>1</v>
      </c>
      <c r="M8650" s="274"/>
    </row>
    <row r="8651" spans="2:13" ht="15" customHeight="1" x14ac:dyDescent="0.25">
      <c r="B8651" s="289">
        <v>6668</v>
      </c>
      <c r="C8651" s="261">
        <v>114</v>
      </c>
      <c r="D8651" s="244" t="s">
        <v>12</v>
      </c>
      <c r="E8651" s="263">
        <v>3</v>
      </c>
      <c r="F8651" s="294" t="s">
        <v>126</v>
      </c>
      <c r="G8651" s="294" t="s">
        <v>1163</v>
      </c>
      <c r="H8651" s="298">
        <v>1</v>
      </c>
      <c r="M8651" s="274"/>
    </row>
    <row r="8652" spans="2:13" ht="15" customHeight="1" x14ac:dyDescent="0.25">
      <c r="B8652" s="289">
        <v>6669</v>
      </c>
      <c r="C8652" s="261">
        <v>105</v>
      </c>
      <c r="D8652" s="244" t="s">
        <v>12</v>
      </c>
      <c r="E8652" s="263">
        <v>2</v>
      </c>
      <c r="F8652" s="294" t="s">
        <v>126</v>
      </c>
      <c r="G8652" s="294" t="s">
        <v>420</v>
      </c>
      <c r="H8652" s="298">
        <v>1</v>
      </c>
      <c r="M8652" s="274"/>
    </row>
    <row r="8653" spans="2:13" ht="15" customHeight="1" x14ac:dyDescent="0.25">
      <c r="B8653" s="289">
        <v>6669</v>
      </c>
      <c r="C8653" s="261">
        <v>112</v>
      </c>
      <c r="D8653" s="244" t="s">
        <v>11</v>
      </c>
      <c r="E8653" s="263">
        <v>2</v>
      </c>
      <c r="F8653" s="294" t="s">
        <v>136</v>
      </c>
      <c r="G8653" s="294" t="s">
        <v>126</v>
      </c>
      <c r="H8653" s="298">
        <v>1</v>
      </c>
      <c r="M8653" s="274"/>
    </row>
    <row r="8654" spans="2:13" ht="15" customHeight="1" x14ac:dyDescent="0.25">
      <c r="B8654" s="289">
        <v>6670</v>
      </c>
      <c r="C8654" s="261">
        <v>107</v>
      </c>
      <c r="D8654" s="244" t="s">
        <v>12</v>
      </c>
      <c r="E8654" s="263">
        <v>9</v>
      </c>
      <c r="F8654" s="294" t="s">
        <v>126</v>
      </c>
      <c r="G8654" s="294" t="s">
        <v>1567</v>
      </c>
      <c r="H8654" s="298">
        <v>1</v>
      </c>
      <c r="M8654" s="274"/>
    </row>
    <row r="8655" spans="2:13" ht="15" customHeight="1" x14ac:dyDescent="0.25">
      <c r="B8655" s="289">
        <v>6671</v>
      </c>
      <c r="C8655" s="261">
        <v>104</v>
      </c>
      <c r="D8655" s="244" t="s">
        <v>11</v>
      </c>
      <c r="E8655" s="263">
        <v>1</v>
      </c>
      <c r="F8655" s="294" t="s">
        <v>235</v>
      </c>
      <c r="G8655" s="294" t="s">
        <v>126</v>
      </c>
      <c r="H8655" s="298">
        <v>1</v>
      </c>
      <c r="M8655" s="274"/>
    </row>
    <row r="8656" spans="2:13" ht="15" customHeight="1" x14ac:dyDescent="0.25">
      <c r="B8656" s="289">
        <v>6672</v>
      </c>
      <c r="C8656" s="261">
        <v>105</v>
      </c>
      <c r="D8656" s="244" t="s">
        <v>12</v>
      </c>
      <c r="E8656" s="263">
        <v>1</v>
      </c>
      <c r="F8656" s="294" t="s">
        <v>126</v>
      </c>
      <c r="G8656" s="294" t="s">
        <v>437</v>
      </c>
      <c r="H8656" s="298">
        <v>1</v>
      </c>
      <c r="M8656" s="274"/>
    </row>
    <row r="8657" spans="2:13" ht="15" customHeight="1" x14ac:dyDescent="0.25">
      <c r="B8657" s="289">
        <v>6673</v>
      </c>
      <c r="C8657" s="261">
        <v>105</v>
      </c>
      <c r="D8657" s="244" t="s">
        <v>12</v>
      </c>
      <c r="E8657" s="263">
        <v>4</v>
      </c>
      <c r="F8657" s="294" t="s">
        <v>126</v>
      </c>
      <c r="G8657" s="294" t="s">
        <v>1568</v>
      </c>
      <c r="H8657" s="298">
        <v>1</v>
      </c>
      <c r="M8657" s="274"/>
    </row>
    <row r="8658" spans="2:13" ht="15" customHeight="1" x14ac:dyDescent="0.25">
      <c r="B8658" s="289">
        <v>6674</v>
      </c>
      <c r="C8658" s="261">
        <v>110</v>
      </c>
      <c r="D8658" s="244" t="s">
        <v>12</v>
      </c>
      <c r="E8658" s="263">
        <v>9</v>
      </c>
      <c r="F8658" s="294" t="s">
        <v>126</v>
      </c>
      <c r="G8658" s="294" t="s">
        <v>1569</v>
      </c>
      <c r="H8658" s="298">
        <v>1</v>
      </c>
      <c r="M8658" s="274"/>
    </row>
    <row r="8659" spans="2:13" ht="15" customHeight="1" x14ac:dyDescent="0.25">
      <c r="B8659" s="289">
        <v>6675</v>
      </c>
      <c r="C8659" s="261">
        <v>105</v>
      </c>
      <c r="D8659" s="244" t="s">
        <v>12</v>
      </c>
      <c r="E8659" s="263">
        <v>1</v>
      </c>
      <c r="F8659" s="294" t="s">
        <v>126</v>
      </c>
      <c r="G8659" s="294" t="s">
        <v>437</v>
      </c>
      <c r="H8659" s="298">
        <v>1</v>
      </c>
      <c r="M8659" s="274"/>
    </row>
    <row r="8660" spans="2:13" ht="15" customHeight="1" x14ac:dyDescent="0.25">
      <c r="B8660" s="289">
        <v>6676</v>
      </c>
      <c r="C8660" s="261">
        <v>104</v>
      </c>
      <c r="D8660" s="244" t="s">
        <v>11</v>
      </c>
      <c r="E8660" s="263">
        <v>1</v>
      </c>
      <c r="F8660" s="294" t="s">
        <v>235</v>
      </c>
      <c r="G8660" s="294" t="s">
        <v>126</v>
      </c>
      <c r="H8660" s="298">
        <v>1</v>
      </c>
      <c r="M8660" s="274"/>
    </row>
    <row r="8661" spans="2:13" ht="15" customHeight="1" x14ac:dyDescent="0.25">
      <c r="B8661" s="289">
        <v>6677</v>
      </c>
      <c r="C8661" s="261">
        <v>106</v>
      </c>
      <c r="D8661" s="244" t="s">
        <v>11</v>
      </c>
      <c r="E8661" s="263">
        <v>5</v>
      </c>
      <c r="F8661" s="294" t="s">
        <v>1563</v>
      </c>
      <c r="G8661" s="294" t="s">
        <v>126</v>
      </c>
      <c r="H8661" s="298">
        <v>1</v>
      </c>
      <c r="M8661" s="274"/>
    </row>
    <row r="8662" spans="2:13" ht="15" customHeight="1" x14ac:dyDescent="0.25">
      <c r="B8662" s="289">
        <v>6678</v>
      </c>
      <c r="C8662" s="261">
        <v>102</v>
      </c>
      <c r="D8662" s="244" t="s">
        <v>11</v>
      </c>
      <c r="E8662" s="263">
        <v>4</v>
      </c>
      <c r="F8662" s="294" t="s">
        <v>964</v>
      </c>
      <c r="G8662" s="294" t="s">
        <v>126</v>
      </c>
      <c r="H8662" s="298">
        <v>1</v>
      </c>
      <c r="M8662" s="274"/>
    </row>
    <row r="8663" spans="2:13" ht="15" customHeight="1" x14ac:dyDescent="0.25">
      <c r="B8663" s="289">
        <v>6678</v>
      </c>
      <c r="C8663" s="261">
        <v>114</v>
      </c>
      <c r="D8663" s="244" t="s">
        <v>12</v>
      </c>
      <c r="E8663" s="263">
        <v>4</v>
      </c>
      <c r="F8663" s="294" t="s">
        <v>126</v>
      </c>
      <c r="G8663" s="294" t="s">
        <v>818</v>
      </c>
      <c r="H8663" s="298">
        <v>1</v>
      </c>
      <c r="M8663" s="274"/>
    </row>
    <row r="8664" spans="2:13" ht="15" customHeight="1" x14ac:dyDescent="0.25">
      <c r="B8664" s="289">
        <v>6679</v>
      </c>
      <c r="C8664" s="261">
        <v>102</v>
      </c>
      <c r="D8664" s="244" t="s">
        <v>12</v>
      </c>
      <c r="E8664" s="263">
        <v>1</v>
      </c>
      <c r="F8664" s="294" t="s">
        <v>126</v>
      </c>
      <c r="G8664" s="294" t="s">
        <v>426</v>
      </c>
      <c r="H8664" s="298">
        <v>1</v>
      </c>
      <c r="M8664" s="274"/>
    </row>
    <row r="8665" spans="2:13" ht="15" customHeight="1" x14ac:dyDescent="0.25">
      <c r="B8665" s="289">
        <v>6679</v>
      </c>
      <c r="C8665" s="261">
        <v>108</v>
      </c>
      <c r="D8665" s="244" t="s">
        <v>12</v>
      </c>
      <c r="E8665" s="263">
        <v>1</v>
      </c>
      <c r="F8665" s="294" t="s">
        <v>126</v>
      </c>
      <c r="G8665" s="294" t="s">
        <v>437</v>
      </c>
      <c r="H8665" s="298">
        <v>1</v>
      </c>
      <c r="M8665" s="274"/>
    </row>
    <row r="8666" spans="2:13" ht="15" customHeight="1" x14ac:dyDescent="0.25">
      <c r="B8666" s="289">
        <v>6679</v>
      </c>
      <c r="C8666" s="261">
        <v>112</v>
      </c>
      <c r="D8666" s="244" t="s">
        <v>11</v>
      </c>
      <c r="E8666" s="263">
        <v>2</v>
      </c>
      <c r="F8666" s="294" t="s">
        <v>136</v>
      </c>
      <c r="G8666" s="294" t="s">
        <v>126</v>
      </c>
      <c r="H8666" s="298">
        <v>1</v>
      </c>
      <c r="M8666" s="274"/>
    </row>
    <row r="8667" spans="2:13" ht="15" customHeight="1" x14ac:dyDescent="0.25">
      <c r="B8667" s="289">
        <v>6680</v>
      </c>
      <c r="C8667" s="261">
        <v>105</v>
      </c>
      <c r="D8667" s="244" t="s">
        <v>12</v>
      </c>
      <c r="E8667" s="263">
        <v>1</v>
      </c>
      <c r="F8667" s="294" t="s">
        <v>126</v>
      </c>
      <c r="G8667" s="294" t="s">
        <v>139</v>
      </c>
      <c r="H8667" s="298">
        <v>1</v>
      </c>
      <c r="M8667" s="274"/>
    </row>
    <row r="8668" spans="2:13" ht="15" customHeight="1" x14ac:dyDescent="0.25">
      <c r="B8668" s="289">
        <v>6681</v>
      </c>
      <c r="C8668" s="261">
        <v>83</v>
      </c>
      <c r="D8668" s="244" t="s">
        <v>11</v>
      </c>
      <c r="E8668" s="263">
        <v>41</v>
      </c>
      <c r="F8668" s="294" t="s">
        <v>1570</v>
      </c>
      <c r="G8668" s="294" t="s">
        <v>126</v>
      </c>
      <c r="H8668" s="298">
        <v>1</v>
      </c>
      <c r="M8668" s="274"/>
    </row>
    <row r="8669" spans="2:13" ht="15" customHeight="1" x14ac:dyDescent="0.25">
      <c r="B8669" s="289">
        <v>6682</v>
      </c>
      <c r="C8669" s="261">
        <v>105</v>
      </c>
      <c r="D8669" s="244" t="s">
        <v>11</v>
      </c>
      <c r="E8669" s="263">
        <v>3</v>
      </c>
      <c r="F8669" s="294" t="s">
        <v>499</v>
      </c>
      <c r="G8669" s="294" t="s">
        <v>126</v>
      </c>
      <c r="H8669" s="298">
        <v>1</v>
      </c>
      <c r="M8669" s="274"/>
    </row>
    <row r="8670" spans="2:13" ht="15" customHeight="1" x14ac:dyDescent="0.25">
      <c r="B8670" s="289">
        <v>6682</v>
      </c>
      <c r="C8670" s="261">
        <v>119</v>
      </c>
      <c r="D8670" s="244" t="s">
        <v>12</v>
      </c>
      <c r="E8670" s="263">
        <v>5</v>
      </c>
      <c r="F8670" s="294" t="s">
        <v>126</v>
      </c>
      <c r="G8670" s="294" t="s">
        <v>1571</v>
      </c>
      <c r="H8670" s="298">
        <v>1</v>
      </c>
      <c r="M8670" s="274"/>
    </row>
    <row r="8671" spans="2:13" ht="15" customHeight="1" x14ac:dyDescent="0.25">
      <c r="B8671" s="289">
        <v>6683</v>
      </c>
      <c r="C8671" s="261">
        <v>105</v>
      </c>
      <c r="D8671" s="244" t="s">
        <v>12</v>
      </c>
      <c r="E8671" s="263">
        <v>29</v>
      </c>
      <c r="F8671" s="294" t="s">
        <v>126</v>
      </c>
      <c r="G8671" s="294" t="s">
        <v>1572</v>
      </c>
      <c r="H8671" s="298">
        <v>1</v>
      </c>
      <c r="M8671" s="274"/>
    </row>
    <row r="8672" spans="2:13" ht="15" customHeight="1" x14ac:dyDescent="0.25">
      <c r="B8672" s="289">
        <v>6684</v>
      </c>
      <c r="C8672" s="261">
        <v>105</v>
      </c>
      <c r="D8672" s="244" t="s">
        <v>11</v>
      </c>
      <c r="E8672" s="263">
        <v>1</v>
      </c>
      <c r="F8672" s="294" t="s">
        <v>437</v>
      </c>
      <c r="G8672" s="294" t="s">
        <v>126</v>
      </c>
      <c r="H8672" s="298">
        <v>1</v>
      </c>
      <c r="M8672" s="274"/>
    </row>
    <row r="8673" spans="2:13" ht="15" customHeight="1" x14ac:dyDescent="0.25">
      <c r="B8673" s="289">
        <v>6685</v>
      </c>
      <c r="C8673" s="261">
        <v>105</v>
      </c>
      <c r="D8673" s="244" t="s">
        <v>11</v>
      </c>
      <c r="E8673" s="263">
        <v>5</v>
      </c>
      <c r="F8673" s="294" t="s">
        <v>1547</v>
      </c>
      <c r="G8673" s="294" t="s">
        <v>126</v>
      </c>
      <c r="H8673" s="298">
        <v>1</v>
      </c>
      <c r="M8673" s="274"/>
    </row>
    <row r="8674" spans="2:13" ht="15" customHeight="1" x14ac:dyDescent="0.25">
      <c r="B8674" s="289">
        <v>6686</v>
      </c>
      <c r="C8674" s="261">
        <v>105</v>
      </c>
      <c r="D8674" s="244" t="s">
        <v>12</v>
      </c>
      <c r="E8674" s="263">
        <v>37</v>
      </c>
      <c r="F8674" s="294" t="s">
        <v>126</v>
      </c>
      <c r="G8674" s="294" t="s">
        <v>1573</v>
      </c>
      <c r="H8674" s="298">
        <v>1</v>
      </c>
      <c r="M8674" s="274"/>
    </row>
    <row r="8675" spans="2:13" ht="15" customHeight="1" x14ac:dyDescent="0.25">
      <c r="B8675" s="289">
        <v>6686</v>
      </c>
      <c r="C8675" s="261">
        <v>114</v>
      </c>
      <c r="D8675" s="244" t="s">
        <v>12</v>
      </c>
      <c r="E8675" s="263">
        <v>4</v>
      </c>
      <c r="F8675" s="294" t="s">
        <v>126</v>
      </c>
      <c r="G8675" s="294" t="s">
        <v>1574</v>
      </c>
      <c r="H8675" s="298">
        <v>1</v>
      </c>
      <c r="M8675" s="274"/>
    </row>
    <row r="8676" spans="2:13" ht="15" customHeight="1" x14ac:dyDescent="0.25">
      <c r="B8676" s="289">
        <v>6687</v>
      </c>
      <c r="C8676" s="261">
        <v>102</v>
      </c>
      <c r="D8676" s="244" t="s">
        <v>11</v>
      </c>
      <c r="E8676" s="263">
        <v>5</v>
      </c>
      <c r="F8676" s="294" t="s">
        <v>1551</v>
      </c>
      <c r="G8676" s="294" t="s">
        <v>126</v>
      </c>
      <c r="H8676" s="298">
        <v>1</v>
      </c>
      <c r="M8676" s="274"/>
    </row>
    <row r="8677" spans="2:13" ht="15" customHeight="1" x14ac:dyDescent="0.25">
      <c r="B8677" s="289">
        <v>6687</v>
      </c>
      <c r="C8677" s="261">
        <v>114</v>
      </c>
      <c r="D8677" s="244" t="s">
        <v>12</v>
      </c>
      <c r="E8677" s="263">
        <v>5</v>
      </c>
      <c r="F8677" s="294" t="s">
        <v>126</v>
      </c>
      <c r="G8677" s="294" t="s">
        <v>1575</v>
      </c>
      <c r="H8677" s="298">
        <v>1</v>
      </c>
      <c r="M8677" s="274"/>
    </row>
    <row r="8678" spans="2:13" ht="15" customHeight="1" x14ac:dyDescent="0.25">
      <c r="B8678" s="289">
        <v>6688</v>
      </c>
      <c r="C8678" s="261">
        <v>102</v>
      </c>
      <c r="D8678" s="244" t="s">
        <v>11</v>
      </c>
      <c r="E8678" s="263">
        <v>5</v>
      </c>
      <c r="F8678" s="294" t="s">
        <v>1551</v>
      </c>
      <c r="G8678" s="294" t="s">
        <v>126</v>
      </c>
      <c r="H8678" s="298">
        <v>1</v>
      </c>
      <c r="M8678" s="274"/>
    </row>
    <row r="8679" spans="2:13" ht="15" customHeight="1" x14ac:dyDescent="0.25">
      <c r="B8679" s="289">
        <v>6688</v>
      </c>
      <c r="C8679" s="261">
        <v>112</v>
      </c>
      <c r="D8679" s="244" t="s">
        <v>12</v>
      </c>
      <c r="E8679" s="263">
        <v>3</v>
      </c>
      <c r="F8679" s="294" t="s">
        <v>126</v>
      </c>
      <c r="G8679" s="294" t="s">
        <v>1576</v>
      </c>
      <c r="H8679" s="298">
        <v>1</v>
      </c>
      <c r="M8679" s="274"/>
    </row>
    <row r="8680" spans="2:13" ht="15" customHeight="1" x14ac:dyDescent="0.25">
      <c r="B8680" s="289">
        <v>6688</v>
      </c>
      <c r="C8680" s="261">
        <v>115</v>
      </c>
      <c r="D8680" s="244" t="s">
        <v>12</v>
      </c>
      <c r="E8680" s="263">
        <v>2</v>
      </c>
      <c r="F8680" s="294" t="s">
        <v>126</v>
      </c>
      <c r="G8680" s="294" t="s">
        <v>441</v>
      </c>
      <c r="H8680" s="298">
        <v>1</v>
      </c>
      <c r="M8680" s="274"/>
    </row>
    <row r="8681" spans="2:13" ht="15" customHeight="1" x14ac:dyDescent="0.25">
      <c r="B8681" s="289">
        <v>6689</v>
      </c>
      <c r="C8681" s="261">
        <v>102</v>
      </c>
      <c r="D8681" s="244" t="s">
        <v>11</v>
      </c>
      <c r="E8681" s="263">
        <v>4</v>
      </c>
      <c r="F8681" s="294" t="s">
        <v>964</v>
      </c>
      <c r="G8681" s="294" t="s">
        <v>126</v>
      </c>
      <c r="H8681" s="298">
        <v>1</v>
      </c>
      <c r="M8681" s="274"/>
    </row>
    <row r="8682" spans="2:13" ht="15" customHeight="1" x14ac:dyDescent="0.25">
      <c r="B8682" s="289">
        <v>6689</v>
      </c>
      <c r="C8682" s="261">
        <v>114</v>
      </c>
      <c r="D8682" s="244" t="s">
        <v>12</v>
      </c>
      <c r="E8682" s="263">
        <v>4</v>
      </c>
      <c r="F8682" s="294" t="s">
        <v>126</v>
      </c>
      <c r="G8682" s="294" t="s">
        <v>1577</v>
      </c>
      <c r="H8682" s="298">
        <v>1</v>
      </c>
      <c r="M8682" s="274"/>
    </row>
    <row r="8683" spans="2:13" ht="15" customHeight="1" x14ac:dyDescent="0.25">
      <c r="B8683" s="289">
        <v>6690</v>
      </c>
      <c r="C8683" s="261">
        <v>102</v>
      </c>
      <c r="D8683" s="244" t="s">
        <v>11</v>
      </c>
      <c r="E8683" s="263">
        <v>1</v>
      </c>
      <c r="F8683" s="294" t="s">
        <v>235</v>
      </c>
      <c r="G8683" s="294" t="s">
        <v>126</v>
      </c>
      <c r="H8683" s="298">
        <v>1</v>
      </c>
      <c r="M8683" s="274"/>
    </row>
    <row r="8684" spans="2:13" ht="15" customHeight="1" x14ac:dyDescent="0.25">
      <c r="B8684" s="289">
        <v>6690</v>
      </c>
      <c r="C8684" s="261">
        <v>114</v>
      </c>
      <c r="D8684" s="244" t="s">
        <v>12</v>
      </c>
      <c r="E8684" s="263">
        <v>1</v>
      </c>
      <c r="F8684" s="294" t="s">
        <v>126</v>
      </c>
      <c r="G8684" s="294" t="s">
        <v>437</v>
      </c>
      <c r="H8684" s="298">
        <v>1</v>
      </c>
      <c r="M8684" s="274"/>
    </row>
    <row r="8685" spans="2:13" ht="15" customHeight="1" x14ac:dyDescent="0.25">
      <c r="B8685" s="289">
        <v>6691</v>
      </c>
      <c r="C8685" s="261">
        <v>99</v>
      </c>
      <c r="D8685" s="244" t="s">
        <v>12</v>
      </c>
      <c r="E8685" s="263">
        <v>4</v>
      </c>
      <c r="F8685" s="294" t="s">
        <v>126</v>
      </c>
      <c r="G8685" s="294" t="s">
        <v>1480</v>
      </c>
      <c r="H8685" s="298">
        <v>1</v>
      </c>
      <c r="M8685" s="274"/>
    </row>
    <row r="8686" spans="2:13" ht="15" customHeight="1" x14ac:dyDescent="0.25">
      <c r="B8686" s="289">
        <v>6691</v>
      </c>
      <c r="C8686" s="261">
        <v>110</v>
      </c>
      <c r="D8686" s="244" t="s">
        <v>11</v>
      </c>
      <c r="E8686" s="263">
        <v>4</v>
      </c>
      <c r="F8686" s="294" t="s">
        <v>682</v>
      </c>
      <c r="G8686" s="294" t="s">
        <v>126</v>
      </c>
      <c r="H8686" s="298">
        <v>1</v>
      </c>
      <c r="M8686" s="274"/>
    </row>
    <row r="8687" spans="2:13" ht="15" customHeight="1" x14ac:dyDescent="0.25">
      <c r="B8687" s="289">
        <v>6692</v>
      </c>
      <c r="C8687" s="261">
        <v>105</v>
      </c>
      <c r="D8687" s="244" t="s">
        <v>12</v>
      </c>
      <c r="E8687" s="263">
        <v>1</v>
      </c>
      <c r="F8687" s="294" t="s">
        <v>126</v>
      </c>
      <c r="G8687" s="294" t="s">
        <v>139</v>
      </c>
      <c r="H8687" s="298">
        <v>1</v>
      </c>
      <c r="M8687" s="274"/>
    </row>
    <row r="8688" spans="2:13" ht="15" customHeight="1" x14ac:dyDescent="0.25">
      <c r="B8688" s="289">
        <v>6692</v>
      </c>
      <c r="C8688" s="261">
        <v>113</v>
      </c>
      <c r="D8688" s="244" t="s">
        <v>11</v>
      </c>
      <c r="E8688" s="263">
        <v>1</v>
      </c>
      <c r="F8688" s="294" t="s">
        <v>139</v>
      </c>
      <c r="G8688" s="294" t="s">
        <v>126</v>
      </c>
      <c r="H8688" s="298">
        <v>1</v>
      </c>
      <c r="M8688" s="274"/>
    </row>
    <row r="8689" spans="2:13" ht="15" customHeight="1" x14ac:dyDescent="0.25">
      <c r="B8689" s="289">
        <v>6693</v>
      </c>
      <c r="C8689" s="261">
        <v>105</v>
      </c>
      <c r="D8689" s="244" t="s">
        <v>11</v>
      </c>
      <c r="E8689" s="263">
        <v>1</v>
      </c>
      <c r="F8689" s="294" t="s">
        <v>437</v>
      </c>
      <c r="G8689" s="294" t="s">
        <v>126</v>
      </c>
      <c r="H8689" s="298">
        <v>1</v>
      </c>
      <c r="M8689" s="274"/>
    </row>
    <row r="8690" spans="2:13" ht="15" customHeight="1" x14ac:dyDescent="0.25">
      <c r="B8690" s="289">
        <v>6693</v>
      </c>
      <c r="C8690" s="261">
        <v>114</v>
      </c>
      <c r="D8690" s="244" t="s">
        <v>12</v>
      </c>
      <c r="E8690" s="263">
        <v>1</v>
      </c>
      <c r="F8690" s="294" t="s">
        <v>126</v>
      </c>
      <c r="G8690" s="294" t="s">
        <v>437</v>
      </c>
      <c r="H8690" s="298">
        <v>1</v>
      </c>
      <c r="M8690" s="274"/>
    </row>
    <row r="8691" spans="2:13" ht="15" customHeight="1" x14ac:dyDescent="0.25">
      <c r="B8691" s="289">
        <v>6694</v>
      </c>
      <c r="C8691" s="261">
        <v>102</v>
      </c>
      <c r="D8691" s="244" t="s">
        <v>12</v>
      </c>
      <c r="E8691" s="263">
        <v>4</v>
      </c>
      <c r="F8691" s="294" t="s">
        <v>126</v>
      </c>
      <c r="G8691" s="294" t="s">
        <v>1483</v>
      </c>
      <c r="H8691" s="298">
        <v>1</v>
      </c>
      <c r="M8691" s="274"/>
    </row>
    <row r="8692" spans="2:13" ht="15" customHeight="1" x14ac:dyDescent="0.25">
      <c r="B8692" s="289">
        <v>6694</v>
      </c>
      <c r="C8692" s="261">
        <v>105</v>
      </c>
      <c r="D8692" s="244" t="s">
        <v>12</v>
      </c>
      <c r="E8692" s="263">
        <v>11</v>
      </c>
      <c r="F8692" s="294" t="s">
        <v>126</v>
      </c>
      <c r="G8692" s="294" t="s">
        <v>1578</v>
      </c>
      <c r="H8692" s="298">
        <v>1</v>
      </c>
      <c r="M8692" s="274"/>
    </row>
    <row r="8693" spans="2:13" ht="15" customHeight="1" x14ac:dyDescent="0.25">
      <c r="B8693" s="289">
        <v>6695</v>
      </c>
      <c r="C8693" s="261">
        <v>102</v>
      </c>
      <c r="D8693" s="244" t="s">
        <v>12</v>
      </c>
      <c r="E8693" s="263">
        <v>5</v>
      </c>
      <c r="F8693" s="294" t="s">
        <v>126</v>
      </c>
      <c r="G8693" s="294" t="s">
        <v>1579</v>
      </c>
      <c r="H8693" s="298">
        <v>1</v>
      </c>
      <c r="M8693" s="274"/>
    </row>
    <row r="8694" spans="2:13" ht="15" customHeight="1" x14ac:dyDescent="0.25">
      <c r="B8694" s="289">
        <v>6695</v>
      </c>
      <c r="C8694" s="261">
        <v>110</v>
      </c>
      <c r="D8694" s="244" t="s">
        <v>11</v>
      </c>
      <c r="E8694" s="263">
        <v>5</v>
      </c>
      <c r="F8694" s="294" t="s">
        <v>595</v>
      </c>
      <c r="G8694" s="294" t="s">
        <v>126</v>
      </c>
      <c r="H8694" s="298">
        <v>1</v>
      </c>
      <c r="M8694" s="274"/>
    </row>
    <row r="8695" spans="2:13" ht="15" customHeight="1" x14ac:dyDescent="0.25">
      <c r="B8695" s="289">
        <v>6696</v>
      </c>
      <c r="C8695" s="261">
        <v>105</v>
      </c>
      <c r="D8695" s="244" t="s">
        <v>11</v>
      </c>
      <c r="E8695" s="263">
        <v>1</v>
      </c>
      <c r="F8695" s="294" t="s">
        <v>437</v>
      </c>
      <c r="G8695" s="294" t="s">
        <v>126</v>
      </c>
      <c r="H8695" s="298">
        <v>1</v>
      </c>
      <c r="M8695" s="274"/>
    </row>
    <row r="8696" spans="2:13" ht="15" customHeight="1" x14ac:dyDescent="0.25">
      <c r="B8696" s="289">
        <v>6696</v>
      </c>
      <c r="C8696" s="261">
        <v>114</v>
      </c>
      <c r="D8696" s="244" t="s">
        <v>12</v>
      </c>
      <c r="E8696" s="263">
        <v>1</v>
      </c>
      <c r="F8696" s="294" t="s">
        <v>126</v>
      </c>
      <c r="G8696" s="294" t="s">
        <v>437</v>
      </c>
      <c r="H8696" s="298">
        <v>1</v>
      </c>
      <c r="M8696" s="274"/>
    </row>
    <row r="8697" spans="2:13" ht="15" customHeight="1" x14ac:dyDescent="0.25">
      <c r="B8697" s="289">
        <v>6697</v>
      </c>
      <c r="C8697" s="261">
        <v>102</v>
      </c>
      <c r="D8697" s="244" t="s">
        <v>12</v>
      </c>
      <c r="E8697" s="263">
        <v>4</v>
      </c>
      <c r="F8697" s="294" t="s">
        <v>126</v>
      </c>
      <c r="G8697" s="294" t="s">
        <v>1580</v>
      </c>
      <c r="H8697" s="298">
        <v>1</v>
      </c>
      <c r="M8697" s="274"/>
    </row>
    <row r="8698" spans="2:13" ht="15" customHeight="1" x14ac:dyDescent="0.25">
      <c r="B8698" s="289">
        <v>6697</v>
      </c>
      <c r="C8698" s="261">
        <v>105</v>
      </c>
      <c r="D8698" s="244" t="s">
        <v>12</v>
      </c>
      <c r="E8698" s="263">
        <v>11</v>
      </c>
      <c r="F8698" s="294" t="s">
        <v>126</v>
      </c>
      <c r="G8698" s="294" t="s">
        <v>1578</v>
      </c>
      <c r="H8698" s="298">
        <v>1</v>
      </c>
      <c r="M8698" s="274"/>
    </row>
    <row r="8699" spans="2:13" ht="15" customHeight="1" x14ac:dyDescent="0.25">
      <c r="B8699" s="289">
        <v>6698</v>
      </c>
      <c r="C8699" s="261">
        <v>103</v>
      </c>
      <c r="D8699" s="244" t="s">
        <v>11</v>
      </c>
      <c r="E8699" s="263">
        <v>19</v>
      </c>
      <c r="F8699" s="294" t="s">
        <v>1581</v>
      </c>
      <c r="G8699" s="294" t="s">
        <v>126</v>
      </c>
      <c r="H8699" s="298">
        <v>1</v>
      </c>
      <c r="M8699" s="274"/>
    </row>
    <row r="8700" spans="2:13" ht="15" customHeight="1" x14ac:dyDescent="0.25">
      <c r="B8700" s="289">
        <v>6699</v>
      </c>
      <c r="C8700" s="261">
        <v>89</v>
      </c>
      <c r="D8700" s="244" t="s">
        <v>11</v>
      </c>
      <c r="E8700" s="263">
        <v>17</v>
      </c>
      <c r="F8700" s="294" t="s">
        <v>1582</v>
      </c>
      <c r="G8700" s="294" t="s">
        <v>126</v>
      </c>
      <c r="H8700" s="298">
        <v>1</v>
      </c>
      <c r="M8700" s="274"/>
    </row>
    <row r="8701" spans="2:13" ht="15" customHeight="1" x14ac:dyDescent="0.25">
      <c r="B8701" s="289">
        <v>6700</v>
      </c>
      <c r="C8701" s="261">
        <v>105</v>
      </c>
      <c r="D8701" s="244" t="s">
        <v>12</v>
      </c>
      <c r="E8701" s="263">
        <v>1</v>
      </c>
      <c r="F8701" s="294" t="s">
        <v>126</v>
      </c>
      <c r="G8701" s="294" t="s">
        <v>437</v>
      </c>
      <c r="H8701" s="298">
        <v>1</v>
      </c>
      <c r="M8701" s="274"/>
    </row>
    <row r="8702" spans="2:13" ht="15" customHeight="1" x14ac:dyDescent="0.25">
      <c r="B8702" s="289">
        <v>6701</v>
      </c>
      <c r="C8702" s="261">
        <v>105</v>
      </c>
      <c r="D8702" s="244" t="s">
        <v>12</v>
      </c>
      <c r="E8702" s="263">
        <v>42</v>
      </c>
      <c r="F8702" s="294" t="s">
        <v>126</v>
      </c>
      <c r="G8702" s="294" t="s">
        <v>1583</v>
      </c>
      <c r="H8702" s="298">
        <v>1</v>
      </c>
      <c r="M8702" s="274"/>
    </row>
    <row r="8703" spans="2:13" ht="15" customHeight="1" x14ac:dyDescent="0.25">
      <c r="B8703" s="289">
        <v>6701</v>
      </c>
      <c r="C8703" s="261">
        <v>114</v>
      </c>
      <c r="D8703" s="244" t="s">
        <v>12</v>
      </c>
      <c r="E8703" s="263">
        <v>1</v>
      </c>
      <c r="F8703" s="294" t="s">
        <v>126</v>
      </c>
      <c r="G8703" s="294" t="s">
        <v>235</v>
      </c>
      <c r="H8703" s="298">
        <v>1</v>
      </c>
      <c r="M8703" s="274"/>
    </row>
    <row r="8704" spans="2:13" ht="15" customHeight="1" x14ac:dyDescent="0.25">
      <c r="B8704" s="289">
        <v>6702</v>
      </c>
      <c r="C8704" s="261">
        <v>105</v>
      </c>
      <c r="D8704" s="244" t="s">
        <v>12</v>
      </c>
      <c r="E8704" s="263">
        <v>41</v>
      </c>
      <c r="F8704" s="294" t="s">
        <v>126</v>
      </c>
      <c r="G8704" s="294" t="s">
        <v>1584</v>
      </c>
      <c r="H8704" s="298">
        <v>1</v>
      </c>
      <c r="M8704" s="274"/>
    </row>
    <row r="8705" spans="2:13" ht="15" customHeight="1" x14ac:dyDescent="0.25">
      <c r="B8705" s="289">
        <v>6703</v>
      </c>
      <c r="C8705" s="261">
        <v>111</v>
      </c>
      <c r="D8705" s="244" t="s">
        <v>11</v>
      </c>
      <c r="E8705" s="263">
        <v>1</v>
      </c>
      <c r="F8705" s="294" t="s">
        <v>235</v>
      </c>
      <c r="G8705" s="294" t="s">
        <v>126</v>
      </c>
      <c r="H8705" s="298">
        <v>1</v>
      </c>
      <c r="M8705" s="274"/>
    </row>
    <row r="8706" spans="2:13" ht="15" customHeight="1" x14ac:dyDescent="0.25">
      <c r="B8706" s="289">
        <v>6704</v>
      </c>
      <c r="C8706" s="261">
        <v>102</v>
      </c>
      <c r="D8706" s="244" t="s">
        <v>11</v>
      </c>
      <c r="E8706" s="263">
        <v>5</v>
      </c>
      <c r="F8706" s="294" t="s">
        <v>1551</v>
      </c>
      <c r="G8706" s="294" t="s">
        <v>126</v>
      </c>
      <c r="H8706" s="298">
        <v>1</v>
      </c>
      <c r="M8706" s="274"/>
    </row>
    <row r="8707" spans="2:13" ht="15" customHeight="1" x14ac:dyDescent="0.25">
      <c r="B8707" s="289">
        <v>6704</v>
      </c>
      <c r="C8707" s="261">
        <v>114</v>
      </c>
      <c r="D8707" s="244" t="s">
        <v>12</v>
      </c>
      <c r="E8707" s="263">
        <v>5</v>
      </c>
      <c r="F8707" s="294" t="s">
        <v>126</v>
      </c>
      <c r="G8707" s="294" t="s">
        <v>1585</v>
      </c>
      <c r="H8707" s="298">
        <v>1</v>
      </c>
      <c r="M8707" s="274"/>
    </row>
    <row r="8708" spans="2:13" ht="15" customHeight="1" x14ac:dyDescent="0.25">
      <c r="B8708" s="289">
        <v>6705</v>
      </c>
      <c r="C8708" s="261">
        <v>102</v>
      </c>
      <c r="D8708" s="244" t="s">
        <v>12</v>
      </c>
      <c r="E8708" s="263">
        <v>1</v>
      </c>
      <c r="F8708" s="294" t="s">
        <v>126</v>
      </c>
      <c r="G8708" s="294" t="s">
        <v>437</v>
      </c>
      <c r="H8708" s="298">
        <v>1</v>
      </c>
      <c r="M8708" s="274"/>
    </row>
    <row r="8709" spans="2:13" ht="15" customHeight="1" x14ac:dyDescent="0.25">
      <c r="B8709" s="289">
        <v>6705</v>
      </c>
      <c r="C8709" s="261">
        <v>105</v>
      </c>
      <c r="D8709" s="244" t="s">
        <v>12</v>
      </c>
      <c r="E8709" s="263">
        <v>1</v>
      </c>
      <c r="F8709" s="294" t="s">
        <v>126</v>
      </c>
      <c r="G8709" s="294" t="s">
        <v>235</v>
      </c>
      <c r="H8709" s="298">
        <v>1</v>
      </c>
      <c r="M8709" s="274"/>
    </row>
    <row r="8710" spans="2:13" ht="15" customHeight="1" x14ac:dyDescent="0.25">
      <c r="B8710" s="289">
        <v>6705</v>
      </c>
      <c r="C8710" s="261">
        <v>112</v>
      </c>
      <c r="D8710" s="244" t="s">
        <v>11</v>
      </c>
      <c r="E8710" s="263">
        <v>2</v>
      </c>
      <c r="F8710" s="294" t="s">
        <v>136</v>
      </c>
      <c r="G8710" s="294" t="s">
        <v>126</v>
      </c>
      <c r="H8710" s="298">
        <v>1</v>
      </c>
      <c r="M8710" s="274"/>
    </row>
    <row r="8711" spans="2:13" ht="15" customHeight="1" x14ac:dyDescent="0.25">
      <c r="B8711" s="289">
        <v>6706</v>
      </c>
      <c r="C8711" s="261">
        <v>102</v>
      </c>
      <c r="D8711" s="244" t="s">
        <v>12</v>
      </c>
      <c r="E8711" s="263">
        <v>1</v>
      </c>
      <c r="F8711" s="294" t="s">
        <v>126</v>
      </c>
      <c r="G8711" s="294" t="s">
        <v>426</v>
      </c>
      <c r="H8711" s="298">
        <v>1</v>
      </c>
      <c r="M8711" s="274"/>
    </row>
    <row r="8712" spans="2:13" ht="15" customHeight="1" x14ac:dyDescent="0.25">
      <c r="B8712" s="289">
        <v>6706</v>
      </c>
      <c r="C8712" s="261">
        <v>105</v>
      </c>
      <c r="D8712" s="244" t="s">
        <v>11</v>
      </c>
      <c r="E8712" s="263">
        <v>5</v>
      </c>
      <c r="F8712" s="294" t="s">
        <v>1547</v>
      </c>
      <c r="G8712" s="294" t="s">
        <v>126</v>
      </c>
      <c r="H8712" s="298">
        <v>1</v>
      </c>
      <c r="M8712" s="274"/>
    </row>
    <row r="8713" spans="2:13" ht="15" customHeight="1" x14ac:dyDescent="0.25">
      <c r="B8713" s="289">
        <v>6706</v>
      </c>
      <c r="C8713" s="261">
        <v>114</v>
      </c>
      <c r="D8713" s="244" t="s">
        <v>12</v>
      </c>
      <c r="E8713" s="263">
        <v>4</v>
      </c>
      <c r="F8713" s="294" t="s">
        <v>126</v>
      </c>
      <c r="G8713" s="294" t="s">
        <v>1577</v>
      </c>
      <c r="H8713" s="298">
        <v>1</v>
      </c>
      <c r="M8713" s="274"/>
    </row>
    <row r="8714" spans="2:13" ht="15" customHeight="1" x14ac:dyDescent="0.25">
      <c r="B8714" s="289">
        <v>6707</v>
      </c>
      <c r="C8714" s="261">
        <v>102</v>
      </c>
      <c r="D8714" s="244" t="s">
        <v>12</v>
      </c>
      <c r="E8714" s="263">
        <v>4</v>
      </c>
      <c r="F8714" s="294" t="s">
        <v>126</v>
      </c>
      <c r="G8714" s="294" t="s">
        <v>1586</v>
      </c>
      <c r="H8714" s="298">
        <v>1</v>
      </c>
      <c r="M8714" s="274"/>
    </row>
    <row r="8715" spans="2:13" ht="15" customHeight="1" x14ac:dyDescent="0.25">
      <c r="B8715" s="289">
        <v>6707</v>
      </c>
      <c r="C8715" s="261">
        <v>110</v>
      </c>
      <c r="D8715" s="244" t="s">
        <v>11</v>
      </c>
      <c r="E8715" s="263">
        <v>4</v>
      </c>
      <c r="F8715" s="294" t="s">
        <v>682</v>
      </c>
      <c r="G8715" s="294" t="s">
        <v>126</v>
      </c>
      <c r="H8715" s="298">
        <v>1</v>
      </c>
      <c r="M8715" s="274"/>
    </row>
    <row r="8716" spans="2:13" ht="15" customHeight="1" x14ac:dyDescent="0.25">
      <c r="B8716" s="289">
        <v>6708</v>
      </c>
      <c r="C8716" s="261">
        <v>103</v>
      </c>
      <c r="D8716" s="244" t="s">
        <v>11</v>
      </c>
      <c r="E8716" s="263">
        <v>1</v>
      </c>
      <c r="F8716" s="294" t="s">
        <v>437</v>
      </c>
      <c r="G8716" s="294" t="s">
        <v>126</v>
      </c>
      <c r="H8716" s="298">
        <v>1</v>
      </c>
      <c r="M8716" s="274"/>
    </row>
    <row r="8717" spans="2:13" ht="15" customHeight="1" x14ac:dyDescent="0.25">
      <c r="B8717" s="289">
        <v>6708</v>
      </c>
      <c r="C8717" s="261">
        <v>114</v>
      </c>
      <c r="D8717" s="244" t="s">
        <v>12</v>
      </c>
      <c r="E8717" s="263">
        <v>1</v>
      </c>
      <c r="F8717" s="294" t="s">
        <v>126</v>
      </c>
      <c r="G8717" s="294" t="s">
        <v>437</v>
      </c>
      <c r="H8717" s="298">
        <v>1</v>
      </c>
      <c r="M8717" s="274"/>
    </row>
    <row r="8718" spans="2:13" ht="15" customHeight="1" x14ac:dyDescent="0.25">
      <c r="B8718" s="289">
        <v>6709</v>
      </c>
      <c r="C8718" s="261">
        <v>87</v>
      </c>
      <c r="D8718" s="244" t="s">
        <v>11</v>
      </c>
      <c r="E8718" s="263">
        <v>40</v>
      </c>
      <c r="F8718" s="294" t="s">
        <v>1587</v>
      </c>
      <c r="G8718" s="294" t="s">
        <v>126</v>
      </c>
      <c r="H8718" s="298">
        <v>1</v>
      </c>
      <c r="M8718" s="274"/>
    </row>
    <row r="8719" spans="2:13" ht="15" customHeight="1" x14ac:dyDescent="0.25">
      <c r="B8719" s="289">
        <v>6710</v>
      </c>
      <c r="C8719" s="261">
        <v>105</v>
      </c>
      <c r="D8719" s="244" t="s">
        <v>12</v>
      </c>
      <c r="E8719" s="263">
        <v>2</v>
      </c>
      <c r="F8719" s="294" t="s">
        <v>126</v>
      </c>
      <c r="G8719" s="294" t="s">
        <v>1351</v>
      </c>
      <c r="H8719" s="298">
        <v>1</v>
      </c>
      <c r="M8719" s="274"/>
    </row>
    <row r="8720" spans="2:13" ht="15" customHeight="1" x14ac:dyDescent="0.25">
      <c r="B8720" s="289">
        <v>6710</v>
      </c>
      <c r="C8720" s="261">
        <v>112</v>
      </c>
      <c r="D8720" s="244" t="s">
        <v>11</v>
      </c>
      <c r="E8720" s="263">
        <v>2</v>
      </c>
      <c r="F8720" s="294" t="s">
        <v>136</v>
      </c>
      <c r="G8720" s="294" t="s">
        <v>126</v>
      </c>
      <c r="H8720" s="298">
        <v>1</v>
      </c>
      <c r="M8720" s="274"/>
    </row>
    <row r="8721" spans="2:13" ht="15" customHeight="1" x14ac:dyDescent="0.25">
      <c r="B8721" s="289">
        <v>6711</v>
      </c>
      <c r="C8721" s="261">
        <v>105</v>
      </c>
      <c r="D8721" s="244" t="s">
        <v>12</v>
      </c>
      <c r="E8721" s="263">
        <v>2</v>
      </c>
      <c r="F8721" s="294" t="s">
        <v>126</v>
      </c>
      <c r="G8721" s="294" t="s">
        <v>214</v>
      </c>
      <c r="H8721" s="298">
        <v>1</v>
      </c>
      <c r="M8721" s="274"/>
    </row>
    <row r="8722" spans="2:13" ht="15" customHeight="1" x14ac:dyDescent="0.25">
      <c r="B8722" s="289">
        <v>6711</v>
      </c>
      <c r="C8722" s="261">
        <v>112</v>
      </c>
      <c r="D8722" s="244" t="s">
        <v>11</v>
      </c>
      <c r="E8722" s="263">
        <v>2</v>
      </c>
      <c r="F8722" s="294" t="s">
        <v>136</v>
      </c>
      <c r="G8722" s="294" t="s">
        <v>126</v>
      </c>
      <c r="H8722" s="298">
        <v>1</v>
      </c>
      <c r="M8722" s="274"/>
    </row>
    <row r="8723" spans="2:13" ht="15" customHeight="1" x14ac:dyDescent="0.25">
      <c r="B8723" s="289">
        <v>6712</v>
      </c>
      <c r="C8723" s="261">
        <v>105</v>
      </c>
      <c r="D8723" s="244" t="s">
        <v>12</v>
      </c>
      <c r="E8723" s="263">
        <v>1</v>
      </c>
      <c r="F8723" s="294" t="s">
        <v>126</v>
      </c>
      <c r="G8723" s="294" t="s">
        <v>437</v>
      </c>
      <c r="H8723" s="298">
        <v>1</v>
      </c>
      <c r="M8723" s="274"/>
    </row>
    <row r="8724" spans="2:13" ht="15" customHeight="1" x14ac:dyDescent="0.25">
      <c r="B8724" s="289">
        <v>6713</v>
      </c>
      <c r="C8724" s="261">
        <v>93</v>
      </c>
      <c r="D8724" s="244" t="s">
        <v>11</v>
      </c>
      <c r="E8724" s="263">
        <v>1</v>
      </c>
      <c r="F8724" s="294" t="s">
        <v>139</v>
      </c>
      <c r="G8724" s="294" t="s">
        <v>126</v>
      </c>
      <c r="H8724" s="298">
        <v>1</v>
      </c>
      <c r="M8724" s="274"/>
    </row>
    <row r="8725" spans="2:13" ht="15" customHeight="1" x14ac:dyDescent="0.25">
      <c r="B8725" s="289">
        <v>6713</v>
      </c>
      <c r="C8725" s="261">
        <v>105</v>
      </c>
      <c r="D8725" s="244" t="s">
        <v>12</v>
      </c>
      <c r="E8725" s="263">
        <v>11</v>
      </c>
      <c r="F8725" s="294" t="s">
        <v>126</v>
      </c>
      <c r="G8725" s="294" t="s">
        <v>1588</v>
      </c>
      <c r="H8725" s="298">
        <v>1</v>
      </c>
      <c r="M8725" s="274"/>
    </row>
    <row r="8726" spans="2:13" ht="15" customHeight="1" x14ac:dyDescent="0.25">
      <c r="B8726" s="289">
        <v>6713</v>
      </c>
      <c r="C8726" s="261">
        <v>114</v>
      </c>
      <c r="D8726" s="244" t="s">
        <v>12</v>
      </c>
      <c r="E8726" s="263">
        <v>6</v>
      </c>
      <c r="F8726" s="294" t="s">
        <v>126</v>
      </c>
      <c r="G8726" s="294" t="s">
        <v>1589</v>
      </c>
      <c r="H8726" s="298">
        <v>1</v>
      </c>
      <c r="M8726" s="274"/>
    </row>
    <row r="8727" spans="2:13" ht="15" customHeight="1" x14ac:dyDescent="0.25">
      <c r="B8727" s="289">
        <v>6714</v>
      </c>
      <c r="C8727" s="261">
        <v>105</v>
      </c>
      <c r="D8727" s="244" t="s">
        <v>12</v>
      </c>
      <c r="E8727" s="263">
        <v>3</v>
      </c>
      <c r="F8727" s="294" t="s">
        <v>126</v>
      </c>
      <c r="G8727" s="294" t="s">
        <v>296</v>
      </c>
      <c r="H8727" s="298">
        <v>1</v>
      </c>
      <c r="M8727" s="274"/>
    </row>
    <row r="8728" spans="2:13" ht="15" customHeight="1" x14ac:dyDescent="0.25">
      <c r="B8728" s="289">
        <v>6716</v>
      </c>
      <c r="C8728" s="261">
        <v>105</v>
      </c>
      <c r="D8728" s="244" t="s">
        <v>12</v>
      </c>
      <c r="E8728" s="263">
        <v>19</v>
      </c>
      <c r="F8728" s="294" t="s">
        <v>126</v>
      </c>
      <c r="G8728" s="294" t="s">
        <v>1590</v>
      </c>
      <c r="H8728" s="298">
        <v>1</v>
      </c>
      <c r="M8728" s="274"/>
    </row>
    <row r="8729" spans="2:13" ht="15" customHeight="1" x14ac:dyDescent="0.25">
      <c r="B8729" s="289">
        <v>6717</v>
      </c>
      <c r="C8729" s="261">
        <v>105</v>
      </c>
      <c r="D8729" s="244" t="s">
        <v>11</v>
      </c>
      <c r="E8729" s="263">
        <v>2</v>
      </c>
      <c r="F8729" s="294" t="s">
        <v>441</v>
      </c>
      <c r="G8729" s="294" t="s">
        <v>126</v>
      </c>
      <c r="H8729" s="298">
        <v>1</v>
      </c>
      <c r="M8729" s="274"/>
    </row>
    <row r="8730" spans="2:13" ht="15" customHeight="1" x14ac:dyDescent="0.25">
      <c r="B8730" s="289">
        <v>6717</v>
      </c>
      <c r="C8730" s="261">
        <v>115</v>
      </c>
      <c r="D8730" s="244" t="s">
        <v>12</v>
      </c>
      <c r="E8730" s="263">
        <v>2</v>
      </c>
      <c r="F8730" s="294" t="s">
        <v>126</v>
      </c>
      <c r="G8730" s="294" t="s">
        <v>433</v>
      </c>
      <c r="H8730" s="298">
        <v>1</v>
      </c>
      <c r="M8730" s="274"/>
    </row>
    <row r="8731" spans="2:13" ht="15" customHeight="1" x14ac:dyDescent="0.25">
      <c r="B8731" s="289">
        <v>6718</v>
      </c>
      <c r="C8731" s="261">
        <v>103</v>
      </c>
      <c r="D8731" s="244" t="s">
        <v>11</v>
      </c>
      <c r="E8731" s="263">
        <v>1</v>
      </c>
      <c r="F8731" s="294" t="s">
        <v>437</v>
      </c>
      <c r="G8731" s="294" t="s">
        <v>126</v>
      </c>
      <c r="H8731" s="298">
        <v>1</v>
      </c>
      <c r="M8731" s="274"/>
    </row>
    <row r="8732" spans="2:13" ht="15" customHeight="1" x14ac:dyDescent="0.25">
      <c r="B8732" s="289">
        <v>6718</v>
      </c>
      <c r="C8732" s="261">
        <v>114</v>
      </c>
      <c r="D8732" s="244" t="s">
        <v>12</v>
      </c>
      <c r="E8732" s="263">
        <v>1</v>
      </c>
      <c r="F8732" s="294" t="s">
        <v>126</v>
      </c>
      <c r="G8732" s="294" t="s">
        <v>437</v>
      </c>
      <c r="H8732" s="298">
        <v>1</v>
      </c>
      <c r="M8732" s="274"/>
    </row>
    <row r="8733" spans="2:13" ht="15" customHeight="1" x14ac:dyDescent="0.25">
      <c r="B8733" s="289">
        <v>6719</v>
      </c>
      <c r="C8733" s="261">
        <v>102</v>
      </c>
      <c r="D8733" s="244" t="s">
        <v>11</v>
      </c>
      <c r="E8733" s="263">
        <v>4</v>
      </c>
      <c r="F8733" s="294" t="s">
        <v>964</v>
      </c>
      <c r="G8733" s="294" t="s">
        <v>126</v>
      </c>
      <c r="H8733" s="298">
        <v>1</v>
      </c>
      <c r="M8733" s="274"/>
    </row>
    <row r="8734" spans="2:13" ht="15" customHeight="1" x14ac:dyDescent="0.25">
      <c r="B8734" s="289">
        <v>6719</v>
      </c>
      <c r="C8734" s="261">
        <v>114</v>
      </c>
      <c r="D8734" s="244" t="s">
        <v>12</v>
      </c>
      <c r="E8734" s="263">
        <v>4</v>
      </c>
      <c r="F8734" s="294" t="s">
        <v>126</v>
      </c>
      <c r="G8734" s="294" t="s">
        <v>1591</v>
      </c>
      <c r="H8734" s="298">
        <v>1</v>
      </c>
      <c r="M8734" s="274"/>
    </row>
    <row r="8735" spans="2:13" ht="15" customHeight="1" x14ac:dyDescent="0.25">
      <c r="B8735" s="289">
        <v>6720</v>
      </c>
      <c r="C8735" s="261">
        <v>102</v>
      </c>
      <c r="D8735" s="244" t="s">
        <v>11</v>
      </c>
      <c r="E8735" s="263">
        <v>1</v>
      </c>
      <c r="F8735" s="294" t="s">
        <v>235</v>
      </c>
      <c r="G8735" s="294" t="s">
        <v>126</v>
      </c>
      <c r="H8735" s="298">
        <v>1</v>
      </c>
      <c r="M8735" s="274"/>
    </row>
    <row r="8736" spans="2:13" ht="15" customHeight="1" x14ac:dyDescent="0.25">
      <c r="B8736" s="289">
        <v>6720</v>
      </c>
      <c r="C8736" s="261">
        <v>114</v>
      </c>
      <c r="D8736" s="244" t="s">
        <v>12</v>
      </c>
      <c r="E8736" s="263">
        <v>1</v>
      </c>
      <c r="F8736" s="294" t="s">
        <v>126</v>
      </c>
      <c r="G8736" s="294" t="s">
        <v>139</v>
      </c>
      <c r="H8736" s="298">
        <v>1</v>
      </c>
      <c r="M8736" s="274"/>
    </row>
    <row r="8737" spans="2:13" ht="15" customHeight="1" x14ac:dyDescent="0.25">
      <c r="B8737" s="289">
        <v>6721</v>
      </c>
      <c r="C8737" s="261">
        <v>102</v>
      </c>
      <c r="D8737" s="244" t="s">
        <v>11</v>
      </c>
      <c r="E8737" s="263">
        <v>1</v>
      </c>
      <c r="F8737" s="294" t="s">
        <v>235</v>
      </c>
      <c r="G8737" s="294" t="s">
        <v>126</v>
      </c>
      <c r="H8737" s="298">
        <v>1</v>
      </c>
      <c r="M8737" s="274"/>
    </row>
    <row r="8738" spans="2:13" ht="15" customHeight="1" x14ac:dyDescent="0.25">
      <c r="B8738" s="289">
        <v>6721</v>
      </c>
      <c r="C8738" s="261">
        <v>114</v>
      </c>
      <c r="D8738" s="244" t="s">
        <v>12</v>
      </c>
      <c r="E8738" s="263">
        <v>1</v>
      </c>
      <c r="F8738" s="294" t="s">
        <v>126</v>
      </c>
      <c r="G8738" s="294" t="s">
        <v>437</v>
      </c>
      <c r="H8738" s="298">
        <v>1</v>
      </c>
      <c r="M8738" s="274"/>
    </row>
    <row r="8739" spans="2:13" ht="15" customHeight="1" x14ac:dyDescent="0.25">
      <c r="B8739" s="289">
        <v>6722</v>
      </c>
      <c r="C8739" s="261">
        <v>102</v>
      </c>
      <c r="D8739" s="244" t="s">
        <v>11</v>
      </c>
      <c r="E8739" s="263">
        <v>1</v>
      </c>
      <c r="F8739" s="294" t="s">
        <v>235</v>
      </c>
      <c r="G8739" s="294" t="s">
        <v>126</v>
      </c>
      <c r="H8739" s="298">
        <v>1</v>
      </c>
      <c r="M8739" s="274"/>
    </row>
    <row r="8740" spans="2:13" ht="15" customHeight="1" x14ac:dyDescent="0.25">
      <c r="B8740" s="289">
        <v>6722</v>
      </c>
      <c r="C8740" s="261">
        <v>114</v>
      </c>
      <c r="D8740" s="244" t="s">
        <v>12</v>
      </c>
      <c r="E8740" s="263">
        <v>1</v>
      </c>
      <c r="F8740" s="294" t="s">
        <v>126</v>
      </c>
      <c r="G8740" s="294" t="s">
        <v>437</v>
      </c>
      <c r="H8740" s="298">
        <v>1</v>
      </c>
      <c r="M8740" s="274"/>
    </row>
    <row r="8741" spans="2:13" ht="15" customHeight="1" x14ac:dyDescent="0.25">
      <c r="B8741" s="289">
        <v>6723</v>
      </c>
      <c r="C8741" s="261">
        <v>102</v>
      </c>
      <c r="D8741" s="244" t="s">
        <v>12</v>
      </c>
      <c r="E8741" s="263">
        <v>1</v>
      </c>
      <c r="F8741" s="294" t="s">
        <v>126</v>
      </c>
      <c r="G8741" s="294" t="s">
        <v>437</v>
      </c>
      <c r="H8741" s="298">
        <v>1</v>
      </c>
      <c r="M8741" s="274"/>
    </row>
    <row r="8742" spans="2:13" ht="15" customHeight="1" x14ac:dyDescent="0.25">
      <c r="B8742" s="289">
        <v>6723</v>
      </c>
      <c r="C8742" s="261">
        <v>105</v>
      </c>
      <c r="D8742" s="244" t="s">
        <v>11</v>
      </c>
      <c r="E8742" s="263">
        <v>3</v>
      </c>
      <c r="F8742" s="294" t="s">
        <v>499</v>
      </c>
      <c r="G8742" s="294" t="s">
        <v>126</v>
      </c>
      <c r="H8742" s="298">
        <v>1</v>
      </c>
      <c r="M8742" s="274"/>
    </row>
    <row r="8743" spans="2:13" ht="15" customHeight="1" x14ac:dyDescent="0.25">
      <c r="B8743" s="289">
        <v>6723</v>
      </c>
      <c r="C8743" s="261">
        <v>114</v>
      </c>
      <c r="D8743" s="244" t="s">
        <v>12</v>
      </c>
      <c r="E8743" s="263">
        <v>2</v>
      </c>
      <c r="F8743" s="294" t="s">
        <v>126</v>
      </c>
      <c r="G8743" s="294" t="s">
        <v>431</v>
      </c>
      <c r="H8743" s="298">
        <v>1</v>
      </c>
      <c r="M8743" s="274"/>
    </row>
    <row r="8744" spans="2:13" ht="15" customHeight="1" x14ac:dyDescent="0.25">
      <c r="B8744" s="289">
        <v>6724</v>
      </c>
      <c r="C8744" s="261">
        <v>102</v>
      </c>
      <c r="D8744" s="244" t="s">
        <v>12</v>
      </c>
      <c r="E8744" s="263">
        <v>1</v>
      </c>
      <c r="F8744" s="294" t="s">
        <v>126</v>
      </c>
      <c r="G8744" s="294" t="s">
        <v>437</v>
      </c>
      <c r="H8744" s="298">
        <v>1</v>
      </c>
      <c r="M8744" s="274"/>
    </row>
    <row r="8745" spans="2:13" ht="15" customHeight="1" x14ac:dyDescent="0.25">
      <c r="B8745" s="289">
        <v>6724</v>
      </c>
      <c r="C8745" s="261">
        <v>113</v>
      </c>
      <c r="D8745" s="244" t="s">
        <v>11</v>
      </c>
      <c r="E8745" s="263">
        <v>1</v>
      </c>
      <c r="F8745" s="294" t="s">
        <v>139</v>
      </c>
      <c r="G8745" s="294" t="s">
        <v>126</v>
      </c>
      <c r="H8745" s="298">
        <v>1</v>
      </c>
      <c r="M8745" s="274"/>
    </row>
    <row r="8746" spans="2:13" ht="15" customHeight="1" x14ac:dyDescent="0.25">
      <c r="B8746" s="289">
        <v>6725</v>
      </c>
      <c r="C8746" s="261">
        <v>104</v>
      </c>
      <c r="D8746" s="244" t="s">
        <v>12</v>
      </c>
      <c r="E8746" s="263">
        <v>1</v>
      </c>
      <c r="F8746" s="294" t="s">
        <v>126</v>
      </c>
      <c r="G8746" s="294" t="s">
        <v>139</v>
      </c>
      <c r="H8746" s="298">
        <v>1</v>
      </c>
      <c r="M8746" s="274"/>
    </row>
    <row r="8747" spans="2:13" ht="15" customHeight="1" x14ac:dyDescent="0.25">
      <c r="B8747" s="289">
        <v>6725</v>
      </c>
      <c r="C8747" s="261">
        <v>113</v>
      </c>
      <c r="D8747" s="244" t="s">
        <v>11</v>
      </c>
      <c r="E8747" s="263">
        <v>1</v>
      </c>
      <c r="F8747" s="294" t="s">
        <v>139</v>
      </c>
      <c r="G8747" s="294" t="s">
        <v>126</v>
      </c>
      <c r="H8747" s="298">
        <v>1</v>
      </c>
      <c r="M8747" s="274"/>
    </row>
    <row r="8748" spans="2:13" ht="15" customHeight="1" x14ac:dyDescent="0.25">
      <c r="B8748" s="289">
        <v>6726</v>
      </c>
      <c r="C8748" s="261">
        <v>102</v>
      </c>
      <c r="D8748" s="244" t="s">
        <v>12</v>
      </c>
      <c r="E8748" s="263">
        <v>1</v>
      </c>
      <c r="F8748" s="294" t="s">
        <v>126</v>
      </c>
      <c r="G8748" s="294" t="s">
        <v>139</v>
      </c>
      <c r="H8748" s="298">
        <v>1</v>
      </c>
      <c r="M8748" s="274"/>
    </row>
    <row r="8749" spans="2:13" ht="15" customHeight="1" x14ac:dyDescent="0.25">
      <c r="B8749" s="289">
        <v>6726</v>
      </c>
      <c r="C8749" s="261">
        <v>113</v>
      </c>
      <c r="D8749" s="244" t="s">
        <v>11</v>
      </c>
      <c r="E8749" s="263">
        <v>1</v>
      </c>
      <c r="F8749" s="294" t="s">
        <v>139</v>
      </c>
      <c r="G8749" s="294" t="s">
        <v>126</v>
      </c>
      <c r="H8749" s="298">
        <v>1</v>
      </c>
      <c r="M8749" s="274"/>
    </row>
    <row r="8750" spans="2:13" ht="15" customHeight="1" x14ac:dyDescent="0.25">
      <c r="B8750" s="289">
        <v>6727</v>
      </c>
      <c r="C8750" s="261">
        <v>102</v>
      </c>
      <c r="D8750" s="244" t="s">
        <v>12</v>
      </c>
      <c r="E8750" s="263">
        <v>3</v>
      </c>
      <c r="F8750" s="294" t="s">
        <v>126</v>
      </c>
      <c r="G8750" s="294" t="s">
        <v>1592</v>
      </c>
      <c r="H8750" s="298">
        <v>1</v>
      </c>
      <c r="M8750" s="274"/>
    </row>
    <row r="8751" spans="2:13" ht="15" customHeight="1" x14ac:dyDescent="0.25">
      <c r="B8751" s="289">
        <v>6727</v>
      </c>
      <c r="C8751" s="261">
        <v>111</v>
      </c>
      <c r="D8751" s="244" t="s">
        <v>11</v>
      </c>
      <c r="E8751" s="263">
        <v>3</v>
      </c>
      <c r="F8751" s="294" t="s">
        <v>1478</v>
      </c>
      <c r="G8751" s="294" t="s">
        <v>126</v>
      </c>
      <c r="H8751" s="298">
        <v>1</v>
      </c>
      <c r="M8751" s="274"/>
    </row>
    <row r="8752" spans="2:13" ht="15" customHeight="1" x14ac:dyDescent="0.25">
      <c r="B8752" s="289">
        <v>6728</v>
      </c>
      <c r="C8752" s="261">
        <v>104</v>
      </c>
      <c r="D8752" s="244" t="s">
        <v>11</v>
      </c>
      <c r="E8752" s="263">
        <v>2</v>
      </c>
      <c r="F8752" s="294" t="s">
        <v>214</v>
      </c>
      <c r="G8752" s="294" t="s">
        <v>126</v>
      </c>
      <c r="H8752" s="298">
        <v>1</v>
      </c>
      <c r="M8752" s="274"/>
    </row>
    <row r="8753" spans="2:13" ht="15" customHeight="1" x14ac:dyDescent="0.25">
      <c r="B8753" s="289">
        <v>6728</v>
      </c>
      <c r="C8753" s="261">
        <v>115</v>
      </c>
      <c r="D8753" s="244" t="s">
        <v>12</v>
      </c>
      <c r="E8753" s="263">
        <v>2</v>
      </c>
      <c r="F8753" s="294" t="s">
        <v>126</v>
      </c>
      <c r="G8753" s="294" t="s">
        <v>433</v>
      </c>
      <c r="H8753" s="298">
        <v>1</v>
      </c>
      <c r="M8753" s="274"/>
    </row>
    <row r="8754" spans="2:13" ht="15" customHeight="1" x14ac:dyDescent="0.25">
      <c r="B8754" s="289">
        <v>6729</v>
      </c>
      <c r="C8754" s="261">
        <v>102</v>
      </c>
      <c r="D8754" s="244" t="s">
        <v>12</v>
      </c>
      <c r="E8754" s="263">
        <v>5</v>
      </c>
      <c r="F8754" s="294" t="s">
        <v>126</v>
      </c>
      <c r="G8754" s="294" t="s">
        <v>1593</v>
      </c>
      <c r="H8754" s="298">
        <v>1</v>
      </c>
      <c r="M8754" s="274"/>
    </row>
    <row r="8755" spans="2:13" ht="15" customHeight="1" x14ac:dyDescent="0.25">
      <c r="B8755" s="289">
        <v>6729</v>
      </c>
      <c r="C8755" s="261">
        <v>110</v>
      </c>
      <c r="D8755" s="244" t="s">
        <v>11</v>
      </c>
      <c r="E8755" s="263">
        <v>5</v>
      </c>
      <c r="F8755" s="294" t="s">
        <v>595</v>
      </c>
      <c r="G8755" s="294" t="s">
        <v>126</v>
      </c>
      <c r="H8755" s="298">
        <v>1</v>
      </c>
      <c r="M8755" s="274"/>
    </row>
    <row r="8756" spans="2:13" ht="15" customHeight="1" x14ac:dyDescent="0.25">
      <c r="B8756" s="289">
        <v>6730</v>
      </c>
      <c r="C8756" s="261">
        <v>104</v>
      </c>
      <c r="D8756" s="244" t="s">
        <v>12</v>
      </c>
      <c r="E8756" s="263">
        <v>1</v>
      </c>
      <c r="F8756" s="294" t="s">
        <v>126</v>
      </c>
      <c r="G8756" s="294" t="s">
        <v>426</v>
      </c>
      <c r="H8756" s="298">
        <v>1</v>
      </c>
      <c r="M8756" s="274"/>
    </row>
    <row r="8757" spans="2:13" ht="15" customHeight="1" x14ac:dyDescent="0.25">
      <c r="B8757" s="289">
        <v>6730</v>
      </c>
      <c r="C8757" s="261">
        <v>113</v>
      </c>
      <c r="D8757" s="244" t="s">
        <v>11</v>
      </c>
      <c r="E8757" s="263">
        <v>1</v>
      </c>
      <c r="F8757" s="294" t="s">
        <v>139</v>
      </c>
      <c r="G8757" s="294" t="s">
        <v>126</v>
      </c>
      <c r="H8757" s="298">
        <v>1</v>
      </c>
      <c r="M8757" s="274"/>
    </row>
    <row r="8758" spans="2:13" ht="15" customHeight="1" x14ac:dyDescent="0.25">
      <c r="B8758" s="289">
        <v>6731</v>
      </c>
      <c r="C8758" s="261">
        <v>105</v>
      </c>
      <c r="D8758" s="244" t="s">
        <v>12</v>
      </c>
      <c r="E8758" s="263">
        <v>1</v>
      </c>
      <c r="F8758" s="294" t="s">
        <v>126</v>
      </c>
      <c r="G8758" s="294" t="s">
        <v>437</v>
      </c>
      <c r="H8758" s="298">
        <v>1</v>
      </c>
      <c r="M8758" s="274"/>
    </row>
    <row r="8759" spans="2:13" ht="15" customHeight="1" x14ac:dyDescent="0.25">
      <c r="B8759" s="289">
        <v>6732</v>
      </c>
      <c r="C8759" s="261">
        <v>94</v>
      </c>
      <c r="D8759" s="244" t="s">
        <v>11</v>
      </c>
      <c r="E8759" s="263">
        <v>15</v>
      </c>
      <c r="F8759" s="294" t="s">
        <v>1594</v>
      </c>
      <c r="G8759" s="294" t="s">
        <v>126</v>
      </c>
      <c r="H8759" s="298">
        <v>1</v>
      </c>
      <c r="M8759" s="274"/>
    </row>
    <row r="8760" spans="2:13" ht="15" customHeight="1" x14ac:dyDescent="0.25">
      <c r="B8760" s="289">
        <v>6733</v>
      </c>
      <c r="C8760" s="261">
        <v>105</v>
      </c>
      <c r="D8760" s="244" t="s">
        <v>12</v>
      </c>
      <c r="E8760" s="263">
        <v>1</v>
      </c>
      <c r="F8760" s="294" t="s">
        <v>126</v>
      </c>
      <c r="G8760" s="294" t="s">
        <v>437</v>
      </c>
      <c r="H8760" s="298">
        <v>1</v>
      </c>
      <c r="M8760" s="274"/>
    </row>
    <row r="8761" spans="2:13" ht="15" customHeight="1" x14ac:dyDescent="0.25">
      <c r="B8761" s="289">
        <v>6734</v>
      </c>
      <c r="C8761" s="261">
        <v>105</v>
      </c>
      <c r="D8761" s="244" t="s">
        <v>12</v>
      </c>
      <c r="E8761" s="263">
        <v>1</v>
      </c>
      <c r="F8761" s="294" t="s">
        <v>126</v>
      </c>
      <c r="G8761" s="294" t="s">
        <v>437</v>
      </c>
      <c r="H8761" s="298">
        <v>1</v>
      </c>
      <c r="M8761" s="274"/>
    </row>
    <row r="8762" spans="2:13" ht="15" customHeight="1" x14ac:dyDescent="0.25">
      <c r="B8762" s="289">
        <v>6735</v>
      </c>
      <c r="C8762" s="261">
        <v>105</v>
      </c>
      <c r="D8762" s="244" t="s">
        <v>12</v>
      </c>
      <c r="E8762" s="263">
        <v>1</v>
      </c>
      <c r="F8762" s="294" t="s">
        <v>126</v>
      </c>
      <c r="G8762" s="294" t="s">
        <v>437</v>
      </c>
      <c r="H8762" s="298">
        <v>1</v>
      </c>
      <c r="M8762" s="274"/>
    </row>
    <row r="8763" spans="2:13" ht="15" customHeight="1" x14ac:dyDescent="0.25">
      <c r="B8763" s="289">
        <v>6736</v>
      </c>
      <c r="C8763" s="261">
        <v>108</v>
      </c>
      <c r="D8763" s="244" t="s">
        <v>12</v>
      </c>
      <c r="E8763" s="263">
        <v>1</v>
      </c>
      <c r="F8763" s="294" t="s">
        <v>126</v>
      </c>
      <c r="G8763" s="294" t="s">
        <v>426</v>
      </c>
      <c r="H8763" s="298">
        <v>1</v>
      </c>
      <c r="M8763" s="274"/>
    </row>
    <row r="8764" spans="2:13" ht="15" customHeight="1" x14ac:dyDescent="0.25">
      <c r="B8764" s="289">
        <v>6737</v>
      </c>
      <c r="C8764" s="261">
        <v>105</v>
      </c>
      <c r="D8764" s="244" t="s">
        <v>12</v>
      </c>
      <c r="E8764" s="263">
        <v>1</v>
      </c>
      <c r="F8764" s="294" t="s">
        <v>126</v>
      </c>
      <c r="G8764" s="294" t="s">
        <v>437</v>
      </c>
      <c r="H8764" s="298">
        <v>1</v>
      </c>
      <c r="M8764" s="274"/>
    </row>
    <row r="8765" spans="2:13" ht="15" customHeight="1" x14ac:dyDescent="0.25">
      <c r="B8765" s="289">
        <v>6738</v>
      </c>
      <c r="C8765" s="261">
        <v>107</v>
      </c>
      <c r="D8765" s="244" t="s">
        <v>11</v>
      </c>
      <c r="E8765" s="263">
        <v>5</v>
      </c>
      <c r="F8765" s="294" t="s">
        <v>1549</v>
      </c>
      <c r="G8765" s="294" t="s">
        <v>126</v>
      </c>
      <c r="H8765" s="298">
        <v>1</v>
      </c>
      <c r="M8765" s="274"/>
    </row>
    <row r="8766" spans="2:13" ht="15" customHeight="1" x14ac:dyDescent="0.25">
      <c r="B8766" s="289">
        <v>6739</v>
      </c>
      <c r="C8766" s="261">
        <v>102</v>
      </c>
      <c r="D8766" s="244" t="s">
        <v>12</v>
      </c>
      <c r="E8766" s="263">
        <v>1</v>
      </c>
      <c r="F8766" s="294" t="s">
        <v>126</v>
      </c>
      <c r="G8766" s="294" t="s">
        <v>437</v>
      </c>
      <c r="H8766" s="298">
        <v>1</v>
      </c>
      <c r="M8766" s="274"/>
    </row>
    <row r="8767" spans="2:13" ht="15" customHeight="1" x14ac:dyDescent="0.25">
      <c r="B8767" s="289">
        <v>6739</v>
      </c>
      <c r="C8767" s="261">
        <v>113</v>
      </c>
      <c r="D8767" s="244" t="s">
        <v>11</v>
      </c>
      <c r="E8767" s="263">
        <v>1</v>
      </c>
      <c r="F8767" s="294" t="s">
        <v>139</v>
      </c>
      <c r="G8767" s="294" t="s">
        <v>126</v>
      </c>
      <c r="H8767" s="298">
        <v>1</v>
      </c>
      <c r="M8767" s="274"/>
    </row>
    <row r="8768" spans="2:13" ht="15" customHeight="1" x14ac:dyDescent="0.25">
      <c r="B8768" s="289">
        <v>6741</v>
      </c>
      <c r="C8768" s="261">
        <v>105</v>
      </c>
      <c r="D8768" s="244" t="s">
        <v>12</v>
      </c>
      <c r="E8768" s="263">
        <v>5</v>
      </c>
      <c r="F8768" s="294" t="s">
        <v>126</v>
      </c>
      <c r="G8768" s="294" t="s">
        <v>1595</v>
      </c>
      <c r="H8768" s="298">
        <v>1</v>
      </c>
      <c r="M8768" s="274"/>
    </row>
    <row r="8769" spans="2:13" ht="15" customHeight="1" x14ac:dyDescent="0.25">
      <c r="B8769" s="289">
        <v>6742</v>
      </c>
      <c r="C8769" s="261">
        <v>105</v>
      </c>
      <c r="D8769" s="244" t="s">
        <v>11</v>
      </c>
      <c r="E8769" s="263">
        <v>2</v>
      </c>
      <c r="F8769" s="294" t="s">
        <v>441</v>
      </c>
      <c r="G8769" s="294" t="s">
        <v>126</v>
      </c>
      <c r="H8769" s="298">
        <v>1</v>
      </c>
      <c r="M8769" s="274"/>
    </row>
    <row r="8770" spans="2:13" ht="15" customHeight="1" x14ac:dyDescent="0.25">
      <c r="B8770" s="289">
        <v>6743</v>
      </c>
      <c r="C8770" s="261">
        <v>105</v>
      </c>
      <c r="D8770" s="244" t="s">
        <v>12</v>
      </c>
      <c r="E8770" s="263">
        <v>1</v>
      </c>
      <c r="F8770" s="294" t="s">
        <v>126</v>
      </c>
      <c r="G8770" s="294" t="s">
        <v>437</v>
      </c>
      <c r="H8770" s="298">
        <v>1</v>
      </c>
      <c r="M8770" s="274"/>
    </row>
    <row r="8771" spans="2:13" ht="15" customHeight="1" x14ac:dyDescent="0.25">
      <c r="B8771" s="289">
        <v>6744</v>
      </c>
      <c r="C8771" s="261">
        <v>105</v>
      </c>
      <c r="D8771" s="244" t="s">
        <v>12</v>
      </c>
      <c r="E8771" s="263">
        <v>1</v>
      </c>
      <c r="F8771" s="294" t="s">
        <v>126</v>
      </c>
      <c r="G8771" s="294" t="s">
        <v>139</v>
      </c>
      <c r="H8771" s="298">
        <v>1</v>
      </c>
      <c r="M8771" s="274"/>
    </row>
    <row r="8772" spans="2:13" ht="15" customHeight="1" x14ac:dyDescent="0.25">
      <c r="B8772" s="289">
        <v>6746</v>
      </c>
      <c r="C8772" s="261">
        <v>103</v>
      </c>
      <c r="D8772" s="244" t="s">
        <v>11</v>
      </c>
      <c r="E8772" s="263">
        <v>17</v>
      </c>
      <c r="F8772" s="294" t="s">
        <v>1596</v>
      </c>
      <c r="G8772" s="294" t="s">
        <v>126</v>
      </c>
      <c r="H8772" s="298">
        <v>1</v>
      </c>
      <c r="M8772" s="274"/>
    </row>
    <row r="8773" spans="2:13" ht="15" customHeight="1" x14ac:dyDescent="0.25">
      <c r="B8773" s="289">
        <v>6747</v>
      </c>
      <c r="C8773" s="261">
        <v>104</v>
      </c>
      <c r="D8773" s="244" t="s">
        <v>11</v>
      </c>
      <c r="E8773" s="263">
        <v>1</v>
      </c>
      <c r="F8773" s="294" t="s">
        <v>235</v>
      </c>
      <c r="G8773" s="294" t="s">
        <v>126</v>
      </c>
      <c r="H8773" s="298">
        <v>1</v>
      </c>
      <c r="M8773" s="274"/>
    </row>
    <row r="8774" spans="2:13" ht="15" customHeight="1" x14ac:dyDescent="0.25">
      <c r="B8774" s="289">
        <v>6747</v>
      </c>
      <c r="C8774" s="261">
        <v>114</v>
      </c>
      <c r="D8774" s="244" t="s">
        <v>12</v>
      </c>
      <c r="E8774" s="263">
        <v>1</v>
      </c>
      <c r="F8774" s="294" t="s">
        <v>126</v>
      </c>
      <c r="G8774" s="294" t="s">
        <v>437</v>
      </c>
      <c r="H8774" s="298">
        <v>1</v>
      </c>
      <c r="M8774" s="274"/>
    </row>
    <row r="8775" spans="2:13" ht="15" customHeight="1" x14ac:dyDescent="0.25">
      <c r="B8775" s="289">
        <v>6749</v>
      </c>
      <c r="C8775" s="261">
        <v>99</v>
      </c>
      <c r="D8775" s="244" t="s">
        <v>11</v>
      </c>
      <c r="E8775" s="263">
        <v>25</v>
      </c>
      <c r="F8775" s="294" t="s">
        <v>1494</v>
      </c>
      <c r="G8775" s="294" t="s">
        <v>126</v>
      </c>
      <c r="H8775" s="298">
        <v>1</v>
      </c>
      <c r="M8775" s="274"/>
    </row>
    <row r="8776" spans="2:13" ht="15" customHeight="1" x14ac:dyDescent="0.25">
      <c r="B8776" s="289">
        <v>6750</v>
      </c>
      <c r="C8776" s="261">
        <v>105</v>
      </c>
      <c r="D8776" s="244" t="s">
        <v>12</v>
      </c>
      <c r="E8776" s="263">
        <v>2</v>
      </c>
      <c r="F8776" s="294" t="s">
        <v>126</v>
      </c>
      <c r="G8776" s="294" t="s">
        <v>441</v>
      </c>
      <c r="H8776" s="298">
        <v>1</v>
      </c>
      <c r="M8776" s="274"/>
    </row>
    <row r="8777" spans="2:13" ht="15" customHeight="1" x14ac:dyDescent="0.25">
      <c r="B8777" s="289">
        <v>6751</v>
      </c>
      <c r="C8777" s="261">
        <v>105</v>
      </c>
      <c r="D8777" s="244" t="s">
        <v>12</v>
      </c>
      <c r="E8777" s="263">
        <v>1</v>
      </c>
      <c r="F8777" s="294" t="s">
        <v>126</v>
      </c>
      <c r="G8777" s="294" t="s">
        <v>139</v>
      </c>
      <c r="H8777" s="298">
        <v>1</v>
      </c>
      <c r="M8777" s="274"/>
    </row>
    <row r="8778" spans="2:13" ht="15" customHeight="1" x14ac:dyDescent="0.25">
      <c r="B8778" s="289">
        <v>6752</v>
      </c>
      <c r="C8778" s="261">
        <v>105</v>
      </c>
      <c r="D8778" s="244" t="s">
        <v>12</v>
      </c>
      <c r="E8778" s="263">
        <v>1</v>
      </c>
      <c r="F8778" s="294" t="s">
        <v>126</v>
      </c>
      <c r="G8778" s="294" t="s">
        <v>437</v>
      </c>
      <c r="H8778" s="298">
        <v>1</v>
      </c>
      <c r="M8778" s="274"/>
    </row>
    <row r="8779" spans="2:13" ht="15" customHeight="1" x14ac:dyDescent="0.25">
      <c r="B8779" s="289">
        <v>6753</v>
      </c>
      <c r="C8779" s="261">
        <v>106</v>
      </c>
      <c r="D8779" s="244" t="s">
        <v>11</v>
      </c>
      <c r="E8779" s="263">
        <v>4</v>
      </c>
      <c r="F8779" s="294" t="s">
        <v>1483</v>
      </c>
      <c r="G8779" s="294" t="s">
        <v>126</v>
      </c>
      <c r="H8779" s="298">
        <v>1</v>
      </c>
      <c r="M8779" s="274"/>
    </row>
    <row r="8780" spans="2:13" ht="15" customHeight="1" x14ac:dyDescent="0.25">
      <c r="B8780" s="289">
        <v>6754</v>
      </c>
      <c r="C8780" s="261">
        <v>105</v>
      </c>
      <c r="D8780" s="244" t="s">
        <v>12</v>
      </c>
      <c r="E8780" s="263">
        <v>1</v>
      </c>
      <c r="F8780" s="294" t="s">
        <v>126</v>
      </c>
      <c r="G8780" s="294" t="s">
        <v>437</v>
      </c>
      <c r="H8780" s="298">
        <v>1</v>
      </c>
      <c r="M8780" s="274"/>
    </row>
    <row r="8781" spans="2:13" ht="15" customHeight="1" x14ac:dyDescent="0.25">
      <c r="B8781" s="289">
        <v>6755</v>
      </c>
      <c r="C8781" s="261">
        <v>105</v>
      </c>
      <c r="D8781" s="244" t="s">
        <v>12</v>
      </c>
      <c r="E8781" s="263">
        <v>2</v>
      </c>
      <c r="F8781" s="294" t="s">
        <v>126</v>
      </c>
      <c r="G8781" s="294" t="s">
        <v>441</v>
      </c>
      <c r="H8781" s="298">
        <v>1</v>
      </c>
      <c r="M8781" s="274"/>
    </row>
    <row r="8782" spans="2:13" ht="15" customHeight="1" x14ac:dyDescent="0.25">
      <c r="B8782" s="289">
        <v>6756</v>
      </c>
      <c r="C8782" s="261">
        <v>105</v>
      </c>
      <c r="D8782" s="244" t="s">
        <v>12</v>
      </c>
      <c r="E8782" s="263">
        <v>1</v>
      </c>
      <c r="F8782" s="294" t="s">
        <v>126</v>
      </c>
      <c r="G8782" s="294" t="s">
        <v>437</v>
      </c>
      <c r="H8782" s="298">
        <v>1</v>
      </c>
      <c r="M8782" s="274"/>
    </row>
    <row r="8783" spans="2:13" ht="15" customHeight="1" x14ac:dyDescent="0.25">
      <c r="B8783" s="289">
        <v>6757</v>
      </c>
      <c r="C8783" s="261">
        <v>105</v>
      </c>
      <c r="D8783" s="244" t="s">
        <v>12</v>
      </c>
      <c r="E8783" s="263">
        <v>1</v>
      </c>
      <c r="F8783" s="294" t="s">
        <v>126</v>
      </c>
      <c r="G8783" s="294" t="s">
        <v>235</v>
      </c>
      <c r="H8783" s="298">
        <v>1</v>
      </c>
      <c r="M8783" s="274"/>
    </row>
    <row r="8784" spans="2:13" ht="15" customHeight="1" x14ac:dyDescent="0.25">
      <c r="B8784" s="289">
        <v>6758</v>
      </c>
      <c r="C8784" s="261">
        <v>102</v>
      </c>
      <c r="D8784" s="244" t="s">
        <v>11</v>
      </c>
      <c r="E8784" s="263">
        <v>3</v>
      </c>
      <c r="F8784" s="294" t="s">
        <v>648</v>
      </c>
      <c r="G8784" s="294" t="s">
        <v>126</v>
      </c>
      <c r="H8784" s="298">
        <v>1</v>
      </c>
      <c r="M8784" s="274"/>
    </row>
    <row r="8785" spans="2:13" ht="15" customHeight="1" x14ac:dyDescent="0.25">
      <c r="B8785" s="289">
        <v>6758</v>
      </c>
      <c r="C8785" s="261">
        <v>114</v>
      </c>
      <c r="D8785" s="244" t="s">
        <v>12</v>
      </c>
      <c r="E8785" s="263">
        <v>3</v>
      </c>
      <c r="F8785" s="294" t="s">
        <v>126</v>
      </c>
      <c r="G8785" s="294" t="s">
        <v>1327</v>
      </c>
      <c r="H8785" s="298">
        <v>1</v>
      </c>
      <c r="M8785" s="274"/>
    </row>
    <row r="8786" spans="2:13" ht="15" customHeight="1" x14ac:dyDescent="0.25">
      <c r="B8786" s="289">
        <v>6759</v>
      </c>
      <c r="C8786" s="261">
        <v>102</v>
      </c>
      <c r="D8786" s="244" t="s">
        <v>11</v>
      </c>
      <c r="E8786" s="263">
        <v>1</v>
      </c>
      <c r="F8786" s="294" t="s">
        <v>235</v>
      </c>
      <c r="G8786" s="294" t="s">
        <v>126</v>
      </c>
      <c r="H8786" s="298">
        <v>1</v>
      </c>
      <c r="M8786" s="274"/>
    </row>
    <row r="8787" spans="2:13" ht="15" customHeight="1" x14ac:dyDescent="0.25">
      <c r="B8787" s="289">
        <v>6759</v>
      </c>
      <c r="C8787" s="261">
        <v>115</v>
      </c>
      <c r="D8787" s="244" t="s">
        <v>12</v>
      </c>
      <c r="E8787" s="263">
        <v>1</v>
      </c>
      <c r="F8787" s="294" t="s">
        <v>126</v>
      </c>
      <c r="G8787" s="294" t="s">
        <v>426</v>
      </c>
      <c r="H8787" s="298">
        <v>1</v>
      </c>
      <c r="M8787" s="274"/>
    </row>
    <row r="8788" spans="2:13" ht="15" customHeight="1" x14ac:dyDescent="0.25">
      <c r="B8788" s="289">
        <v>6760</v>
      </c>
      <c r="C8788" s="261">
        <v>102</v>
      </c>
      <c r="D8788" s="244" t="s">
        <v>11</v>
      </c>
      <c r="E8788" s="263">
        <v>1</v>
      </c>
      <c r="F8788" s="294" t="s">
        <v>235</v>
      </c>
      <c r="G8788" s="294" t="s">
        <v>126</v>
      </c>
      <c r="H8788" s="298">
        <v>1</v>
      </c>
      <c r="M8788" s="274"/>
    </row>
    <row r="8789" spans="2:13" ht="15" customHeight="1" x14ac:dyDescent="0.25">
      <c r="B8789" s="289">
        <v>6760</v>
      </c>
      <c r="C8789" s="261">
        <v>115</v>
      </c>
      <c r="D8789" s="244" t="s">
        <v>12</v>
      </c>
      <c r="E8789" s="263">
        <v>1</v>
      </c>
      <c r="F8789" s="294" t="s">
        <v>126</v>
      </c>
      <c r="G8789" s="294" t="s">
        <v>426</v>
      </c>
      <c r="H8789" s="298">
        <v>1</v>
      </c>
      <c r="M8789" s="274"/>
    </row>
    <row r="8790" spans="2:13" ht="15" customHeight="1" x14ac:dyDescent="0.25">
      <c r="B8790" s="289">
        <v>6761</v>
      </c>
      <c r="C8790" s="261">
        <v>103</v>
      </c>
      <c r="D8790" s="244" t="s">
        <v>12</v>
      </c>
      <c r="E8790" s="263">
        <v>3</v>
      </c>
      <c r="F8790" s="294" t="s">
        <v>126</v>
      </c>
      <c r="G8790" s="294" t="s">
        <v>463</v>
      </c>
      <c r="H8790" s="298">
        <v>1</v>
      </c>
      <c r="M8790" s="274"/>
    </row>
    <row r="8791" spans="2:13" ht="15" customHeight="1" x14ac:dyDescent="0.25">
      <c r="B8791" s="289">
        <v>6761</v>
      </c>
      <c r="C8791" s="261">
        <v>111</v>
      </c>
      <c r="D8791" s="244" t="s">
        <v>11</v>
      </c>
      <c r="E8791" s="263">
        <v>3</v>
      </c>
      <c r="F8791" s="294" t="s">
        <v>1478</v>
      </c>
      <c r="G8791" s="294" t="s">
        <v>126</v>
      </c>
      <c r="H8791" s="298">
        <v>1</v>
      </c>
      <c r="M8791" s="274"/>
    </row>
    <row r="8792" spans="2:13" ht="15" customHeight="1" x14ac:dyDescent="0.25">
      <c r="B8792" s="289">
        <v>6762</v>
      </c>
      <c r="C8792" s="261">
        <v>105</v>
      </c>
      <c r="D8792" s="244" t="s">
        <v>12</v>
      </c>
      <c r="E8792" s="263">
        <v>2</v>
      </c>
      <c r="F8792" s="294" t="s">
        <v>126</v>
      </c>
      <c r="G8792" s="294" t="s">
        <v>587</v>
      </c>
      <c r="H8792" s="298">
        <v>1</v>
      </c>
      <c r="M8792" s="274"/>
    </row>
    <row r="8793" spans="2:13" ht="15" customHeight="1" x14ac:dyDescent="0.25">
      <c r="B8793" s="289">
        <v>6762</v>
      </c>
      <c r="C8793" s="261">
        <v>112</v>
      </c>
      <c r="D8793" s="244" t="s">
        <v>11</v>
      </c>
      <c r="E8793" s="263">
        <v>2</v>
      </c>
      <c r="F8793" s="294" t="s">
        <v>136</v>
      </c>
      <c r="G8793" s="294" t="s">
        <v>126</v>
      </c>
      <c r="H8793" s="298">
        <v>1</v>
      </c>
      <c r="M8793" s="274"/>
    </row>
    <row r="8794" spans="2:13" ht="15" customHeight="1" x14ac:dyDescent="0.25">
      <c r="B8794" s="289">
        <v>6763</v>
      </c>
      <c r="C8794" s="261">
        <v>102</v>
      </c>
      <c r="D8794" s="244" t="s">
        <v>12</v>
      </c>
      <c r="E8794" s="263">
        <v>1</v>
      </c>
      <c r="F8794" s="294" t="s">
        <v>126</v>
      </c>
      <c r="G8794" s="294" t="s">
        <v>139</v>
      </c>
      <c r="H8794" s="298">
        <v>1</v>
      </c>
      <c r="M8794" s="274"/>
    </row>
    <row r="8795" spans="2:13" ht="15" customHeight="1" x14ac:dyDescent="0.25">
      <c r="B8795" s="289">
        <v>6763</v>
      </c>
      <c r="C8795" s="261">
        <v>113</v>
      </c>
      <c r="D8795" s="244" t="s">
        <v>11</v>
      </c>
      <c r="E8795" s="263">
        <v>1</v>
      </c>
      <c r="F8795" s="294" t="s">
        <v>139</v>
      </c>
      <c r="G8795" s="294" t="s">
        <v>126</v>
      </c>
      <c r="H8795" s="298">
        <v>1</v>
      </c>
      <c r="M8795" s="274"/>
    </row>
    <row r="8796" spans="2:13" ht="15" customHeight="1" x14ac:dyDescent="0.25">
      <c r="B8796" s="289">
        <v>6764</v>
      </c>
      <c r="C8796" s="261">
        <v>103</v>
      </c>
      <c r="D8796" s="244" t="s">
        <v>12</v>
      </c>
      <c r="E8796" s="263">
        <v>4</v>
      </c>
      <c r="F8796" s="294" t="s">
        <v>126</v>
      </c>
      <c r="G8796" s="294" t="s">
        <v>1560</v>
      </c>
      <c r="H8796" s="298">
        <v>1</v>
      </c>
      <c r="M8796" s="274"/>
    </row>
    <row r="8797" spans="2:13" ht="15" customHeight="1" x14ac:dyDescent="0.25">
      <c r="B8797" s="289">
        <v>6764</v>
      </c>
      <c r="C8797" s="261">
        <v>110</v>
      </c>
      <c r="D8797" s="244" t="s">
        <v>11</v>
      </c>
      <c r="E8797" s="263">
        <v>4</v>
      </c>
      <c r="F8797" s="294" t="s">
        <v>682</v>
      </c>
      <c r="G8797" s="294" t="s">
        <v>126</v>
      </c>
      <c r="H8797" s="298">
        <v>1</v>
      </c>
      <c r="M8797" s="274"/>
    </row>
    <row r="8798" spans="2:13" ht="15" customHeight="1" x14ac:dyDescent="0.25">
      <c r="B8798" s="289">
        <v>6765</v>
      </c>
      <c r="C8798" s="261">
        <v>102</v>
      </c>
      <c r="D8798" s="244" t="s">
        <v>11</v>
      </c>
      <c r="E8798" s="263">
        <v>1</v>
      </c>
      <c r="F8798" s="294" t="s">
        <v>235</v>
      </c>
      <c r="G8798" s="294" t="s">
        <v>126</v>
      </c>
      <c r="H8798" s="298">
        <v>1</v>
      </c>
      <c r="M8798" s="274"/>
    </row>
    <row r="8799" spans="2:13" ht="15" customHeight="1" x14ac:dyDescent="0.25">
      <c r="B8799" s="289">
        <v>6765</v>
      </c>
      <c r="C8799" s="261">
        <v>105</v>
      </c>
      <c r="D8799" s="244" t="s">
        <v>11</v>
      </c>
      <c r="E8799" s="263">
        <v>3</v>
      </c>
      <c r="F8799" s="294" t="s">
        <v>499</v>
      </c>
      <c r="G8799" s="294" t="s">
        <v>126</v>
      </c>
      <c r="H8799" s="298">
        <v>1</v>
      </c>
      <c r="M8799" s="274"/>
    </row>
    <row r="8800" spans="2:13" ht="15" customHeight="1" x14ac:dyDescent="0.25">
      <c r="B8800" s="289">
        <v>6765</v>
      </c>
      <c r="C8800" s="261">
        <v>114</v>
      </c>
      <c r="D8800" s="244" t="s">
        <v>12</v>
      </c>
      <c r="E8800" s="263">
        <v>4</v>
      </c>
      <c r="F8800" s="294" t="s">
        <v>126</v>
      </c>
      <c r="G8800" s="294" t="s">
        <v>1597</v>
      </c>
      <c r="H8800" s="298">
        <v>1</v>
      </c>
      <c r="M8800" s="274"/>
    </row>
    <row r="8801" spans="2:13" ht="15" customHeight="1" x14ac:dyDescent="0.25">
      <c r="B8801" s="289">
        <v>6766</v>
      </c>
      <c r="C8801" s="261">
        <v>107</v>
      </c>
      <c r="D8801" s="244" t="s">
        <v>11</v>
      </c>
      <c r="E8801" s="263">
        <v>3</v>
      </c>
      <c r="F8801" s="294" t="s">
        <v>863</v>
      </c>
      <c r="G8801" s="294" t="s">
        <v>126</v>
      </c>
      <c r="H8801" s="298">
        <v>1</v>
      </c>
      <c r="M8801" s="274"/>
    </row>
    <row r="8802" spans="2:13" ht="15" customHeight="1" x14ac:dyDescent="0.25">
      <c r="B8802" s="289">
        <v>6767</v>
      </c>
      <c r="C8802" s="261">
        <v>107</v>
      </c>
      <c r="D8802" s="244" t="s">
        <v>11</v>
      </c>
      <c r="E8802" s="263">
        <v>3</v>
      </c>
      <c r="F8802" s="294" t="s">
        <v>863</v>
      </c>
      <c r="G8802" s="294" t="s">
        <v>126</v>
      </c>
      <c r="H8802" s="298">
        <v>1</v>
      </c>
      <c r="M8802" s="274"/>
    </row>
    <row r="8803" spans="2:13" ht="15" customHeight="1" x14ac:dyDescent="0.25">
      <c r="B8803" s="289">
        <v>6769</v>
      </c>
      <c r="C8803" s="261">
        <v>102</v>
      </c>
      <c r="D8803" s="244" t="s">
        <v>12</v>
      </c>
      <c r="E8803" s="263">
        <v>3</v>
      </c>
      <c r="F8803" s="294" t="s">
        <v>126</v>
      </c>
      <c r="G8803" s="294" t="s">
        <v>1163</v>
      </c>
      <c r="H8803" s="298">
        <v>1</v>
      </c>
      <c r="M8803" s="274"/>
    </row>
    <row r="8804" spans="2:13" ht="15" customHeight="1" x14ac:dyDescent="0.25">
      <c r="B8804" s="289">
        <v>6769</v>
      </c>
      <c r="C8804" s="261">
        <v>111</v>
      </c>
      <c r="D8804" s="244" t="s">
        <v>11</v>
      </c>
      <c r="E8804" s="263">
        <v>3</v>
      </c>
      <c r="F8804" s="294" t="s">
        <v>1478</v>
      </c>
      <c r="G8804" s="294" t="s">
        <v>126</v>
      </c>
      <c r="H8804" s="298">
        <v>1</v>
      </c>
      <c r="M8804" s="274"/>
    </row>
    <row r="8805" spans="2:13" ht="15" customHeight="1" x14ac:dyDescent="0.25">
      <c r="B8805" s="289">
        <v>6770</v>
      </c>
      <c r="C8805" s="261">
        <v>100</v>
      </c>
      <c r="D8805" s="244" t="s">
        <v>12</v>
      </c>
      <c r="E8805" s="263">
        <v>3</v>
      </c>
      <c r="F8805" s="294" t="s">
        <v>126</v>
      </c>
      <c r="G8805" s="294" t="s">
        <v>438</v>
      </c>
      <c r="H8805" s="298">
        <v>1</v>
      </c>
      <c r="M8805" s="274"/>
    </row>
    <row r="8806" spans="2:13" ht="15" customHeight="1" x14ac:dyDescent="0.25">
      <c r="B8806" s="289">
        <v>6770</v>
      </c>
      <c r="C8806" s="261">
        <v>111</v>
      </c>
      <c r="D8806" s="244" t="s">
        <v>11</v>
      </c>
      <c r="E8806" s="263">
        <v>3</v>
      </c>
      <c r="F8806" s="294" t="s">
        <v>1478</v>
      </c>
      <c r="G8806" s="294" t="s">
        <v>126</v>
      </c>
      <c r="H8806" s="298">
        <v>1</v>
      </c>
      <c r="M8806" s="274"/>
    </row>
    <row r="8807" spans="2:13" ht="15" customHeight="1" x14ac:dyDescent="0.25">
      <c r="B8807" s="289">
        <v>6771</v>
      </c>
      <c r="C8807" s="261">
        <v>103</v>
      </c>
      <c r="D8807" s="244" t="s">
        <v>12</v>
      </c>
      <c r="E8807" s="263">
        <v>1</v>
      </c>
      <c r="F8807" s="294" t="s">
        <v>126</v>
      </c>
      <c r="G8807" s="294" t="s">
        <v>139</v>
      </c>
      <c r="H8807" s="298">
        <v>1</v>
      </c>
      <c r="M8807" s="274"/>
    </row>
    <row r="8808" spans="2:13" ht="15" customHeight="1" x14ac:dyDescent="0.25">
      <c r="B8808" s="289">
        <v>6771</v>
      </c>
      <c r="C8808" s="261">
        <v>113</v>
      </c>
      <c r="D8808" s="244" t="s">
        <v>11</v>
      </c>
      <c r="E8808" s="263">
        <v>1</v>
      </c>
      <c r="F8808" s="294" t="s">
        <v>139</v>
      </c>
      <c r="G8808" s="294" t="s">
        <v>126</v>
      </c>
      <c r="H8808" s="298">
        <v>1</v>
      </c>
      <c r="M8808" s="274"/>
    </row>
    <row r="8809" spans="2:13" ht="15" customHeight="1" x14ac:dyDescent="0.25">
      <c r="B8809" s="289">
        <v>6772</v>
      </c>
      <c r="C8809" s="261">
        <v>103</v>
      </c>
      <c r="D8809" s="244" t="s">
        <v>11</v>
      </c>
      <c r="E8809" s="263">
        <v>3</v>
      </c>
      <c r="F8809" s="294" t="s">
        <v>1163</v>
      </c>
      <c r="G8809" s="294" t="s">
        <v>126</v>
      </c>
      <c r="H8809" s="298">
        <v>1</v>
      </c>
      <c r="M8809" s="274"/>
    </row>
    <row r="8810" spans="2:13" ht="15" customHeight="1" x14ac:dyDescent="0.25">
      <c r="B8810" s="289">
        <v>6772</v>
      </c>
      <c r="C8810" s="261">
        <v>114</v>
      </c>
      <c r="D8810" s="244" t="s">
        <v>12</v>
      </c>
      <c r="E8810" s="263">
        <v>3</v>
      </c>
      <c r="F8810" s="294" t="s">
        <v>126</v>
      </c>
      <c r="G8810" s="294" t="s">
        <v>1327</v>
      </c>
      <c r="H8810" s="298">
        <v>1</v>
      </c>
      <c r="M8810" s="274"/>
    </row>
    <row r="8811" spans="2:13" ht="15" customHeight="1" x14ac:dyDescent="0.25">
      <c r="B8811" s="289">
        <v>6773</v>
      </c>
      <c r="C8811" s="261">
        <v>102</v>
      </c>
      <c r="D8811" s="244" t="s">
        <v>12</v>
      </c>
      <c r="E8811" s="263">
        <v>3</v>
      </c>
      <c r="F8811" s="294" t="s">
        <v>126</v>
      </c>
      <c r="G8811" s="294" t="s">
        <v>1598</v>
      </c>
      <c r="H8811" s="298">
        <v>1</v>
      </c>
      <c r="M8811" s="274"/>
    </row>
    <row r="8812" spans="2:13" ht="15" customHeight="1" x14ac:dyDescent="0.25">
      <c r="B8812" s="289">
        <v>6773</v>
      </c>
      <c r="C8812" s="261">
        <v>111</v>
      </c>
      <c r="D8812" s="244" t="s">
        <v>11</v>
      </c>
      <c r="E8812" s="263">
        <v>3</v>
      </c>
      <c r="F8812" s="294" t="s">
        <v>1478</v>
      </c>
      <c r="G8812" s="294" t="s">
        <v>126</v>
      </c>
      <c r="H8812" s="298">
        <v>1</v>
      </c>
      <c r="M8812" s="274"/>
    </row>
    <row r="8813" spans="2:13" ht="15" customHeight="1" x14ac:dyDescent="0.25">
      <c r="B8813" s="289">
        <v>6774</v>
      </c>
      <c r="C8813" s="261">
        <v>105</v>
      </c>
      <c r="D8813" s="244" t="s">
        <v>12</v>
      </c>
      <c r="E8813" s="263">
        <v>35</v>
      </c>
      <c r="F8813" s="294" t="s">
        <v>126</v>
      </c>
      <c r="G8813" s="294" t="s">
        <v>1599</v>
      </c>
      <c r="H8813" s="298">
        <v>1</v>
      </c>
      <c r="M8813" s="274"/>
    </row>
    <row r="8814" spans="2:13" ht="15" customHeight="1" x14ac:dyDescent="0.25">
      <c r="B8814" s="289">
        <v>6775</v>
      </c>
      <c r="C8814" s="261">
        <v>105</v>
      </c>
      <c r="D8814" s="244" t="s">
        <v>11</v>
      </c>
      <c r="E8814" s="263">
        <v>2</v>
      </c>
      <c r="F8814" s="294" t="s">
        <v>441</v>
      </c>
      <c r="G8814" s="294" t="s">
        <v>126</v>
      </c>
      <c r="H8814" s="298">
        <v>1</v>
      </c>
      <c r="M8814" s="274"/>
    </row>
    <row r="8815" spans="2:13" ht="15" customHeight="1" x14ac:dyDescent="0.25">
      <c r="B8815" s="289">
        <v>6775</v>
      </c>
      <c r="C8815" s="261">
        <v>115</v>
      </c>
      <c r="D8815" s="244" t="s">
        <v>12</v>
      </c>
      <c r="E8815" s="263">
        <v>2</v>
      </c>
      <c r="F8815" s="294" t="s">
        <v>126</v>
      </c>
      <c r="G8815" s="294" t="s">
        <v>441</v>
      </c>
      <c r="H8815" s="298">
        <v>1</v>
      </c>
      <c r="M8815" s="274"/>
    </row>
    <row r="8816" spans="2:13" ht="15" customHeight="1" x14ac:dyDescent="0.25">
      <c r="B8816" s="289">
        <v>6776</v>
      </c>
      <c r="C8816" s="261">
        <v>102</v>
      </c>
      <c r="D8816" s="244" t="s">
        <v>12</v>
      </c>
      <c r="E8816" s="263">
        <v>3</v>
      </c>
      <c r="F8816" s="294" t="s">
        <v>126</v>
      </c>
      <c r="G8816" s="294" t="s">
        <v>829</v>
      </c>
      <c r="H8816" s="298">
        <v>1</v>
      </c>
      <c r="M8816" s="274"/>
    </row>
    <row r="8817" spans="2:13" ht="15" customHeight="1" x14ac:dyDescent="0.25">
      <c r="B8817" s="289">
        <v>6776</v>
      </c>
      <c r="C8817" s="261">
        <v>111</v>
      </c>
      <c r="D8817" s="244" t="s">
        <v>11</v>
      </c>
      <c r="E8817" s="263">
        <v>3</v>
      </c>
      <c r="F8817" s="294" t="s">
        <v>1478</v>
      </c>
      <c r="G8817" s="294" t="s">
        <v>126</v>
      </c>
      <c r="H8817" s="298">
        <v>1</v>
      </c>
      <c r="M8817" s="274"/>
    </row>
    <row r="8818" spans="2:13" ht="15" customHeight="1" x14ac:dyDescent="0.25">
      <c r="B8818" s="289">
        <v>6777</v>
      </c>
      <c r="C8818" s="261">
        <v>108</v>
      </c>
      <c r="D8818" s="244" t="s">
        <v>11</v>
      </c>
      <c r="E8818" s="263">
        <v>1</v>
      </c>
      <c r="F8818" s="294" t="s">
        <v>139</v>
      </c>
      <c r="G8818" s="294" t="s">
        <v>126</v>
      </c>
      <c r="H8818" s="298">
        <v>1</v>
      </c>
      <c r="M8818" s="274"/>
    </row>
    <row r="8819" spans="2:13" ht="15" customHeight="1" x14ac:dyDescent="0.25">
      <c r="B8819" s="289">
        <v>6779</v>
      </c>
      <c r="C8819" s="261">
        <v>107</v>
      </c>
      <c r="D8819" s="244" t="s">
        <v>11</v>
      </c>
      <c r="E8819" s="263">
        <v>2</v>
      </c>
      <c r="F8819" s="294" t="s">
        <v>233</v>
      </c>
      <c r="G8819" s="294" t="s">
        <v>126</v>
      </c>
      <c r="H8819" s="298">
        <v>1</v>
      </c>
      <c r="M8819" s="274"/>
    </row>
    <row r="8820" spans="2:13" ht="15" customHeight="1" x14ac:dyDescent="0.25">
      <c r="B8820" s="289">
        <v>6780</v>
      </c>
      <c r="C8820" s="261">
        <v>102</v>
      </c>
      <c r="D8820" s="244" t="s">
        <v>11</v>
      </c>
      <c r="E8820" s="263">
        <v>4</v>
      </c>
      <c r="F8820" s="294" t="s">
        <v>964</v>
      </c>
      <c r="G8820" s="294" t="s">
        <v>126</v>
      </c>
      <c r="H8820" s="298">
        <v>1</v>
      </c>
      <c r="M8820" s="274"/>
    </row>
    <row r="8821" spans="2:13" ht="15" customHeight="1" x14ac:dyDescent="0.25">
      <c r="B8821" s="289">
        <v>6780</v>
      </c>
      <c r="C8821" s="261">
        <v>111</v>
      </c>
      <c r="D8821" s="244" t="s">
        <v>12</v>
      </c>
      <c r="E8821" s="263">
        <v>1</v>
      </c>
      <c r="F8821" s="294" t="s">
        <v>126</v>
      </c>
      <c r="G8821" s="294" t="s">
        <v>437</v>
      </c>
      <c r="H8821" s="298">
        <v>1</v>
      </c>
      <c r="M8821" s="274"/>
    </row>
    <row r="8822" spans="2:13" ht="15" customHeight="1" x14ac:dyDescent="0.25">
      <c r="B8822" s="289">
        <v>6780</v>
      </c>
      <c r="C8822" s="261">
        <v>115</v>
      </c>
      <c r="D8822" s="244" t="s">
        <v>12</v>
      </c>
      <c r="E8822" s="263">
        <v>3</v>
      </c>
      <c r="F8822" s="294" t="s">
        <v>126</v>
      </c>
      <c r="G8822" s="294" t="s">
        <v>463</v>
      </c>
      <c r="H8822" s="298">
        <v>1</v>
      </c>
      <c r="M8822" s="274"/>
    </row>
    <row r="8823" spans="2:13" ht="15" customHeight="1" x14ac:dyDescent="0.25">
      <c r="B8823" s="289">
        <v>6781</v>
      </c>
      <c r="C8823" s="261">
        <v>102</v>
      </c>
      <c r="D8823" s="244" t="s">
        <v>12</v>
      </c>
      <c r="E8823" s="263">
        <v>1</v>
      </c>
      <c r="F8823" s="294" t="s">
        <v>126</v>
      </c>
      <c r="G8823" s="294" t="s">
        <v>426</v>
      </c>
      <c r="H8823" s="298">
        <v>1</v>
      </c>
      <c r="M8823" s="274"/>
    </row>
    <row r="8824" spans="2:13" ht="15" customHeight="1" x14ac:dyDescent="0.25">
      <c r="B8824" s="289">
        <v>6781</v>
      </c>
      <c r="C8824" s="261">
        <v>105</v>
      </c>
      <c r="D8824" s="244" t="s">
        <v>12</v>
      </c>
      <c r="E8824" s="263">
        <v>1</v>
      </c>
      <c r="F8824" s="294" t="s">
        <v>126</v>
      </c>
      <c r="G8824" s="294" t="s">
        <v>437</v>
      </c>
      <c r="H8824" s="298">
        <v>1</v>
      </c>
      <c r="M8824" s="274"/>
    </row>
    <row r="8825" spans="2:13" ht="15" customHeight="1" x14ac:dyDescent="0.25">
      <c r="B8825" s="289">
        <v>6781</v>
      </c>
      <c r="C8825" s="261">
        <v>114</v>
      </c>
      <c r="D8825" s="244" t="s">
        <v>11</v>
      </c>
      <c r="E8825" s="263">
        <v>2</v>
      </c>
      <c r="F8825" s="294" t="s">
        <v>341</v>
      </c>
      <c r="G8825" s="294" t="s">
        <v>126</v>
      </c>
      <c r="H8825" s="298">
        <v>1</v>
      </c>
      <c r="M8825" s="274"/>
    </row>
    <row r="8826" spans="2:13" ht="15" customHeight="1" x14ac:dyDescent="0.25">
      <c r="B8826" s="289">
        <v>6782</v>
      </c>
      <c r="C8826" s="261">
        <v>102</v>
      </c>
      <c r="D8826" s="244" t="s">
        <v>11</v>
      </c>
      <c r="E8826" s="263">
        <v>1</v>
      </c>
      <c r="F8826" s="294" t="s">
        <v>235</v>
      </c>
      <c r="G8826" s="294" t="s">
        <v>126</v>
      </c>
      <c r="H8826" s="298">
        <v>1</v>
      </c>
      <c r="M8826" s="274"/>
    </row>
    <row r="8827" spans="2:13" ht="15" customHeight="1" x14ac:dyDescent="0.25">
      <c r="B8827" s="289">
        <v>6782</v>
      </c>
      <c r="C8827" s="261">
        <v>105</v>
      </c>
      <c r="D8827" s="244" t="s">
        <v>11</v>
      </c>
      <c r="E8827" s="263">
        <v>1</v>
      </c>
      <c r="F8827" s="294" t="s">
        <v>437</v>
      </c>
      <c r="G8827" s="294" t="s">
        <v>126</v>
      </c>
      <c r="H8827" s="298">
        <v>1</v>
      </c>
      <c r="M8827" s="274"/>
    </row>
    <row r="8828" spans="2:13" ht="15" customHeight="1" x14ac:dyDescent="0.25">
      <c r="B8828" s="289">
        <v>6782</v>
      </c>
      <c r="C8828" s="261">
        <v>114</v>
      </c>
      <c r="D8828" s="244" t="s">
        <v>12</v>
      </c>
      <c r="E8828" s="263">
        <v>2</v>
      </c>
      <c r="F8828" s="294" t="s">
        <v>126</v>
      </c>
      <c r="G8828" s="294" t="s">
        <v>227</v>
      </c>
      <c r="H8828" s="298">
        <v>1</v>
      </c>
      <c r="M8828" s="274"/>
    </row>
    <row r="8829" spans="2:13" ht="15" customHeight="1" x14ac:dyDescent="0.25">
      <c r="B8829" s="289">
        <v>6783</v>
      </c>
      <c r="C8829" s="261">
        <v>102</v>
      </c>
      <c r="D8829" s="244" t="s">
        <v>11</v>
      </c>
      <c r="E8829" s="263">
        <v>1</v>
      </c>
      <c r="F8829" s="294" t="s">
        <v>235</v>
      </c>
      <c r="G8829" s="294" t="s">
        <v>126</v>
      </c>
      <c r="H8829" s="298">
        <v>1</v>
      </c>
      <c r="M8829" s="274"/>
    </row>
    <row r="8830" spans="2:13" ht="15" customHeight="1" x14ac:dyDescent="0.25">
      <c r="B8830" s="289">
        <v>6783</v>
      </c>
      <c r="C8830" s="261">
        <v>105</v>
      </c>
      <c r="D8830" s="244" t="s">
        <v>12</v>
      </c>
      <c r="E8830" s="263">
        <v>3</v>
      </c>
      <c r="F8830" s="294" t="s">
        <v>126</v>
      </c>
      <c r="G8830" s="294" t="s">
        <v>1600</v>
      </c>
      <c r="H8830" s="298">
        <v>1</v>
      </c>
      <c r="M8830" s="274"/>
    </row>
    <row r="8831" spans="2:13" ht="15" customHeight="1" x14ac:dyDescent="0.25">
      <c r="B8831" s="289">
        <v>6783</v>
      </c>
      <c r="C8831" s="261">
        <v>112</v>
      </c>
      <c r="D8831" s="244" t="s">
        <v>11</v>
      </c>
      <c r="E8831" s="263">
        <v>2</v>
      </c>
      <c r="F8831" s="294" t="s">
        <v>136</v>
      </c>
      <c r="G8831" s="294" t="s">
        <v>126</v>
      </c>
      <c r="H8831" s="298">
        <v>1</v>
      </c>
      <c r="M8831" s="274"/>
    </row>
    <row r="8832" spans="2:13" ht="15" customHeight="1" x14ac:dyDescent="0.25">
      <c r="B8832" s="289">
        <v>6784</v>
      </c>
      <c r="C8832" s="261">
        <v>103</v>
      </c>
      <c r="D8832" s="244" t="s">
        <v>11</v>
      </c>
      <c r="E8832" s="263">
        <v>1</v>
      </c>
      <c r="F8832" s="294" t="s">
        <v>437</v>
      </c>
      <c r="G8832" s="294" t="s">
        <v>126</v>
      </c>
      <c r="H8832" s="298">
        <v>1</v>
      </c>
      <c r="M8832" s="274"/>
    </row>
    <row r="8833" spans="2:13" ht="15" customHeight="1" x14ac:dyDescent="0.25">
      <c r="B8833" s="289">
        <v>6784</v>
      </c>
      <c r="C8833" s="261">
        <v>115</v>
      </c>
      <c r="D8833" s="244" t="s">
        <v>12</v>
      </c>
      <c r="E8833" s="263">
        <v>1</v>
      </c>
      <c r="F8833" s="294" t="s">
        <v>126</v>
      </c>
      <c r="G8833" s="294" t="s">
        <v>426</v>
      </c>
      <c r="H8833" s="298">
        <v>1</v>
      </c>
      <c r="M8833" s="274"/>
    </row>
    <row r="8834" spans="2:13" ht="15" customHeight="1" x14ac:dyDescent="0.25">
      <c r="B8834" s="289">
        <v>6785</v>
      </c>
      <c r="C8834" s="261">
        <v>105</v>
      </c>
      <c r="D8834" s="244" t="s">
        <v>12</v>
      </c>
      <c r="E8834" s="263">
        <v>2</v>
      </c>
      <c r="F8834" s="294" t="s">
        <v>126</v>
      </c>
      <c r="G8834" s="294" t="s">
        <v>233</v>
      </c>
      <c r="H8834" s="298">
        <v>1</v>
      </c>
      <c r="M8834" s="274"/>
    </row>
    <row r="8835" spans="2:13" ht="15" customHeight="1" x14ac:dyDescent="0.25">
      <c r="B8835" s="289">
        <v>6785</v>
      </c>
      <c r="C8835" s="261">
        <v>112</v>
      </c>
      <c r="D8835" s="244" t="s">
        <v>11</v>
      </c>
      <c r="E8835" s="263">
        <v>2</v>
      </c>
      <c r="F8835" s="294" t="s">
        <v>136</v>
      </c>
      <c r="G8835" s="294" t="s">
        <v>126</v>
      </c>
      <c r="H8835" s="298">
        <v>1</v>
      </c>
      <c r="M8835" s="274"/>
    </row>
    <row r="8836" spans="2:13" ht="15" customHeight="1" x14ac:dyDescent="0.25">
      <c r="B8836" s="289">
        <v>6786</v>
      </c>
      <c r="C8836" s="261">
        <v>106</v>
      </c>
      <c r="D8836" s="244" t="s">
        <v>11</v>
      </c>
      <c r="E8836" s="263">
        <v>1</v>
      </c>
      <c r="F8836" s="294" t="s">
        <v>426</v>
      </c>
      <c r="G8836" s="294" t="s">
        <v>126</v>
      </c>
      <c r="H8836" s="298">
        <v>1</v>
      </c>
      <c r="M8836" s="274"/>
    </row>
    <row r="8837" spans="2:13" ht="15" customHeight="1" x14ac:dyDescent="0.25">
      <c r="B8837" s="289">
        <v>6787</v>
      </c>
      <c r="C8837" s="261">
        <v>105</v>
      </c>
      <c r="D8837" s="244" t="s">
        <v>12</v>
      </c>
      <c r="E8837" s="263">
        <v>1</v>
      </c>
      <c r="F8837" s="294" t="s">
        <v>126</v>
      </c>
      <c r="G8837" s="294" t="s">
        <v>437</v>
      </c>
      <c r="H8837" s="298">
        <v>1</v>
      </c>
      <c r="M8837" s="274"/>
    </row>
    <row r="8838" spans="2:13" ht="15" customHeight="1" x14ac:dyDescent="0.25">
      <c r="B8838" s="289">
        <v>6788</v>
      </c>
      <c r="C8838" s="261">
        <v>105</v>
      </c>
      <c r="D8838" s="244" t="s">
        <v>12</v>
      </c>
      <c r="E8838" s="263">
        <v>1</v>
      </c>
      <c r="F8838" s="294" t="s">
        <v>126</v>
      </c>
      <c r="G8838" s="294" t="s">
        <v>437</v>
      </c>
      <c r="H8838" s="298">
        <v>1</v>
      </c>
      <c r="M8838" s="274"/>
    </row>
    <row r="8839" spans="2:13" ht="15" customHeight="1" x14ac:dyDescent="0.25">
      <c r="B8839" s="289">
        <v>6789</v>
      </c>
      <c r="C8839" s="261">
        <v>102</v>
      </c>
      <c r="D8839" s="244" t="s">
        <v>11</v>
      </c>
      <c r="E8839" s="263">
        <v>6</v>
      </c>
      <c r="F8839" s="294" t="s">
        <v>1522</v>
      </c>
      <c r="G8839" s="294" t="s">
        <v>126</v>
      </c>
      <c r="H8839" s="298">
        <v>1</v>
      </c>
      <c r="M8839" s="274"/>
    </row>
    <row r="8840" spans="2:13" ht="15" customHeight="1" x14ac:dyDescent="0.25">
      <c r="B8840" s="289">
        <v>6790</v>
      </c>
      <c r="C8840" s="261">
        <v>107</v>
      </c>
      <c r="D8840" s="244" t="s">
        <v>11</v>
      </c>
      <c r="E8840" s="263">
        <v>3</v>
      </c>
      <c r="F8840" s="294" t="s">
        <v>863</v>
      </c>
      <c r="G8840" s="294" t="s">
        <v>126</v>
      </c>
      <c r="H8840" s="298">
        <v>1</v>
      </c>
      <c r="M8840" s="274"/>
    </row>
    <row r="8841" spans="2:13" ht="15" customHeight="1" x14ac:dyDescent="0.25">
      <c r="B8841" s="289">
        <v>6792</v>
      </c>
      <c r="C8841" s="261">
        <v>105</v>
      </c>
      <c r="D8841" s="244" t="s">
        <v>12</v>
      </c>
      <c r="E8841" s="263">
        <v>10</v>
      </c>
      <c r="F8841" s="294" t="s">
        <v>126</v>
      </c>
      <c r="G8841" s="294" t="s">
        <v>1601</v>
      </c>
      <c r="H8841" s="298">
        <v>1</v>
      </c>
      <c r="M8841" s="274"/>
    </row>
    <row r="8842" spans="2:13" ht="15" customHeight="1" x14ac:dyDescent="0.25">
      <c r="B8842" s="289">
        <v>6793</v>
      </c>
      <c r="C8842" s="261">
        <v>102</v>
      </c>
      <c r="D8842" s="244" t="s">
        <v>11</v>
      </c>
      <c r="E8842" s="263">
        <v>5</v>
      </c>
      <c r="F8842" s="294" t="s">
        <v>1551</v>
      </c>
      <c r="G8842" s="294" t="s">
        <v>126</v>
      </c>
      <c r="H8842" s="298">
        <v>1</v>
      </c>
      <c r="M8842" s="274"/>
    </row>
    <row r="8843" spans="2:13" ht="15" customHeight="1" x14ac:dyDescent="0.25">
      <c r="B8843" s="289">
        <v>6793</v>
      </c>
      <c r="C8843" s="261">
        <v>114</v>
      </c>
      <c r="D8843" s="244" t="s">
        <v>12</v>
      </c>
      <c r="E8843" s="263">
        <v>5</v>
      </c>
      <c r="F8843" s="294" t="s">
        <v>126</v>
      </c>
      <c r="G8843" s="294" t="s">
        <v>1575</v>
      </c>
      <c r="H8843" s="298">
        <v>1</v>
      </c>
      <c r="M8843" s="274"/>
    </row>
    <row r="8844" spans="2:13" ht="15" customHeight="1" x14ac:dyDescent="0.25">
      <c r="B8844" s="289">
        <v>6794</v>
      </c>
      <c r="C8844" s="261">
        <v>105</v>
      </c>
      <c r="D8844" s="244" t="s">
        <v>11</v>
      </c>
      <c r="E8844" s="263">
        <v>7</v>
      </c>
      <c r="F8844" s="294" t="s">
        <v>1602</v>
      </c>
      <c r="G8844" s="294" t="s">
        <v>126</v>
      </c>
      <c r="H8844" s="298">
        <v>1</v>
      </c>
      <c r="M8844" s="274"/>
    </row>
    <row r="8845" spans="2:13" ht="15" customHeight="1" x14ac:dyDescent="0.25">
      <c r="B8845" s="289">
        <v>6795</v>
      </c>
      <c r="C8845" s="261">
        <v>103</v>
      </c>
      <c r="D8845" s="244" t="s">
        <v>11</v>
      </c>
      <c r="E8845" s="263">
        <v>1</v>
      </c>
      <c r="F8845" s="294" t="s">
        <v>437</v>
      </c>
      <c r="G8845" s="294" t="s">
        <v>126</v>
      </c>
      <c r="H8845" s="298">
        <v>1</v>
      </c>
      <c r="M8845" s="274"/>
    </row>
    <row r="8846" spans="2:13" ht="15" customHeight="1" x14ac:dyDescent="0.25">
      <c r="B8846" s="289">
        <v>6795</v>
      </c>
      <c r="C8846" s="261">
        <v>114</v>
      </c>
      <c r="D8846" s="244" t="s">
        <v>12</v>
      </c>
      <c r="E8846" s="263">
        <v>4</v>
      </c>
      <c r="F8846" s="294" t="s">
        <v>126</v>
      </c>
      <c r="G8846" s="294" t="s">
        <v>1603</v>
      </c>
      <c r="H8846" s="298">
        <v>1</v>
      </c>
      <c r="M8846" s="274"/>
    </row>
    <row r="8847" spans="2:13" ht="15" customHeight="1" x14ac:dyDescent="0.25">
      <c r="B8847" s="289">
        <v>6796</v>
      </c>
      <c r="C8847" s="261">
        <v>105</v>
      </c>
      <c r="D8847" s="244" t="s">
        <v>12</v>
      </c>
      <c r="E8847" s="263">
        <v>1</v>
      </c>
      <c r="F8847" s="294" t="s">
        <v>126</v>
      </c>
      <c r="G8847" s="294" t="s">
        <v>437</v>
      </c>
      <c r="H8847" s="298">
        <v>1</v>
      </c>
      <c r="M8847" s="274"/>
    </row>
    <row r="8848" spans="2:13" ht="15" customHeight="1" x14ac:dyDescent="0.25">
      <c r="B8848" s="289">
        <v>6797</v>
      </c>
      <c r="C8848" s="261">
        <v>106</v>
      </c>
      <c r="D8848" s="244" t="s">
        <v>11</v>
      </c>
      <c r="E8848" s="263">
        <v>5</v>
      </c>
      <c r="F8848" s="294" t="s">
        <v>1563</v>
      </c>
      <c r="G8848" s="294" t="s">
        <v>126</v>
      </c>
      <c r="H8848" s="298">
        <v>1</v>
      </c>
      <c r="M8848" s="274"/>
    </row>
    <row r="8849" spans="2:13" ht="15" customHeight="1" x14ac:dyDescent="0.25">
      <c r="B8849" s="289">
        <v>6798</v>
      </c>
      <c r="C8849" s="261">
        <v>98</v>
      </c>
      <c r="D8849" s="244" t="s">
        <v>11</v>
      </c>
      <c r="E8849" s="263">
        <v>7</v>
      </c>
      <c r="F8849" s="294" t="s">
        <v>1544</v>
      </c>
      <c r="G8849" s="294" t="s">
        <v>126</v>
      </c>
      <c r="H8849" s="298">
        <v>1</v>
      </c>
      <c r="M8849" s="274"/>
    </row>
    <row r="8850" spans="2:13" ht="15" customHeight="1" x14ac:dyDescent="0.25">
      <c r="B8850" s="289">
        <v>6799</v>
      </c>
      <c r="C8850" s="261">
        <v>98</v>
      </c>
      <c r="D8850" s="244" t="s">
        <v>11</v>
      </c>
      <c r="E8850" s="263">
        <v>7</v>
      </c>
      <c r="F8850" s="294" t="s">
        <v>1544</v>
      </c>
      <c r="G8850" s="294" t="s">
        <v>126</v>
      </c>
      <c r="H8850" s="298">
        <v>1</v>
      </c>
      <c r="M8850" s="274"/>
    </row>
    <row r="8851" spans="2:13" ht="15" customHeight="1" x14ac:dyDescent="0.25">
      <c r="B8851" s="289">
        <v>6800</v>
      </c>
      <c r="C8851" s="261">
        <v>100</v>
      </c>
      <c r="D8851" s="244" t="s">
        <v>11</v>
      </c>
      <c r="E8851" s="263">
        <v>14</v>
      </c>
      <c r="F8851" s="294" t="s">
        <v>1604</v>
      </c>
      <c r="G8851" s="294" t="s">
        <v>126</v>
      </c>
      <c r="H8851" s="298">
        <v>1</v>
      </c>
      <c r="M8851" s="274"/>
    </row>
    <row r="8852" spans="2:13" ht="15" customHeight="1" x14ac:dyDescent="0.25">
      <c r="B8852" s="289">
        <v>6801</v>
      </c>
      <c r="C8852" s="261">
        <v>105</v>
      </c>
      <c r="D8852" s="244" t="s">
        <v>11</v>
      </c>
      <c r="E8852" s="263">
        <v>7</v>
      </c>
      <c r="F8852" s="294" t="s">
        <v>1602</v>
      </c>
      <c r="G8852" s="294" t="s">
        <v>126</v>
      </c>
      <c r="H8852" s="298">
        <v>1</v>
      </c>
      <c r="M8852" s="274"/>
    </row>
    <row r="8853" spans="2:13" ht="15" customHeight="1" x14ac:dyDescent="0.25">
      <c r="B8853" s="289">
        <v>6802</v>
      </c>
      <c r="C8853" s="261">
        <v>102</v>
      </c>
      <c r="D8853" s="244" t="s">
        <v>12</v>
      </c>
      <c r="E8853" s="263">
        <v>10</v>
      </c>
      <c r="F8853" s="294" t="s">
        <v>126</v>
      </c>
      <c r="G8853" s="294" t="s">
        <v>1605</v>
      </c>
      <c r="H8853" s="298">
        <v>1</v>
      </c>
      <c r="M8853" s="274"/>
    </row>
    <row r="8854" spans="2:13" ht="15" customHeight="1" x14ac:dyDescent="0.25">
      <c r="B8854" s="289">
        <v>6803</v>
      </c>
      <c r="C8854" s="261">
        <v>92</v>
      </c>
      <c r="D8854" s="244" t="s">
        <v>12</v>
      </c>
      <c r="E8854" s="263">
        <v>5</v>
      </c>
      <c r="F8854" s="294" t="s">
        <v>126</v>
      </c>
      <c r="G8854" s="294" t="s">
        <v>1606</v>
      </c>
      <c r="H8854" s="298">
        <v>1</v>
      </c>
      <c r="M8854" s="274"/>
    </row>
    <row r="8855" spans="2:13" ht="15" customHeight="1" x14ac:dyDescent="0.25">
      <c r="B8855" s="289">
        <v>6803</v>
      </c>
      <c r="C8855" s="261">
        <v>105</v>
      </c>
      <c r="D8855" s="244" t="s">
        <v>12</v>
      </c>
      <c r="E8855" s="263">
        <v>16</v>
      </c>
      <c r="F8855" s="294" t="s">
        <v>126</v>
      </c>
      <c r="G8855" s="294" t="s">
        <v>1607</v>
      </c>
      <c r="H8855" s="298">
        <v>1</v>
      </c>
      <c r="M8855" s="274"/>
    </row>
    <row r="8856" spans="2:13" ht="15" customHeight="1" x14ac:dyDescent="0.25">
      <c r="B8856" s="289">
        <v>6804</v>
      </c>
      <c r="C8856" s="261">
        <v>99</v>
      </c>
      <c r="D8856" s="244" t="s">
        <v>12</v>
      </c>
      <c r="E8856" s="263">
        <v>4</v>
      </c>
      <c r="F8856" s="294" t="s">
        <v>126</v>
      </c>
      <c r="G8856" s="294" t="s">
        <v>1608</v>
      </c>
      <c r="H8856" s="298">
        <v>1</v>
      </c>
      <c r="M8856" s="274"/>
    </row>
    <row r="8857" spans="2:13" ht="15" customHeight="1" x14ac:dyDescent="0.25">
      <c r="B8857" s="289">
        <v>6804</v>
      </c>
      <c r="C8857" s="261">
        <v>105</v>
      </c>
      <c r="D8857" s="244" t="s">
        <v>12</v>
      </c>
      <c r="E8857" s="263">
        <v>35</v>
      </c>
      <c r="F8857" s="294" t="s">
        <v>126</v>
      </c>
      <c r="G8857" s="294" t="s">
        <v>1609</v>
      </c>
      <c r="H8857" s="298">
        <v>1</v>
      </c>
      <c r="M8857" s="274"/>
    </row>
    <row r="8858" spans="2:13" ht="15" customHeight="1" x14ac:dyDescent="0.25">
      <c r="B8858" s="289">
        <v>6805</v>
      </c>
      <c r="C8858" s="261">
        <v>105</v>
      </c>
      <c r="D8858" s="244" t="s">
        <v>11</v>
      </c>
      <c r="E8858" s="263">
        <v>1</v>
      </c>
      <c r="F8858" s="294" t="s">
        <v>437</v>
      </c>
      <c r="G8858" s="294" t="s">
        <v>126</v>
      </c>
      <c r="H8858" s="298">
        <v>1</v>
      </c>
      <c r="M8858" s="274"/>
    </row>
    <row r="8859" spans="2:13" ht="15" customHeight="1" x14ac:dyDescent="0.25">
      <c r="B8859" s="289">
        <v>6805</v>
      </c>
      <c r="C8859" s="261">
        <v>110</v>
      </c>
      <c r="D8859" s="244" t="s">
        <v>12</v>
      </c>
      <c r="E8859" s="263">
        <v>2</v>
      </c>
      <c r="F8859" s="294" t="s">
        <v>126</v>
      </c>
      <c r="G8859" s="294" t="s">
        <v>789</v>
      </c>
      <c r="H8859" s="298">
        <v>1</v>
      </c>
      <c r="M8859" s="274"/>
    </row>
    <row r="8860" spans="2:13" ht="15" customHeight="1" x14ac:dyDescent="0.25">
      <c r="B8860" s="289">
        <v>6807</v>
      </c>
      <c r="C8860" s="261">
        <v>105</v>
      </c>
      <c r="D8860" s="244" t="s">
        <v>12</v>
      </c>
      <c r="E8860" s="263">
        <v>1</v>
      </c>
      <c r="F8860" s="294" t="s">
        <v>126</v>
      </c>
      <c r="G8860" s="294" t="s">
        <v>139</v>
      </c>
      <c r="H8860" s="298">
        <v>1</v>
      </c>
      <c r="M8860" s="274"/>
    </row>
    <row r="8861" spans="2:13" ht="15" customHeight="1" x14ac:dyDescent="0.25">
      <c r="B8861" s="289">
        <v>6808</v>
      </c>
      <c r="C8861" s="261">
        <v>92</v>
      </c>
      <c r="D8861" s="244" t="s">
        <v>12</v>
      </c>
      <c r="E8861" s="263">
        <v>13</v>
      </c>
      <c r="F8861" s="294" t="s">
        <v>126</v>
      </c>
      <c r="G8861" s="294" t="s">
        <v>1610</v>
      </c>
      <c r="H8861" s="298">
        <v>1</v>
      </c>
      <c r="M8861" s="274"/>
    </row>
    <row r="8862" spans="2:13" ht="15" customHeight="1" x14ac:dyDescent="0.25">
      <c r="B8862" s="289">
        <v>6808</v>
      </c>
      <c r="C8862" s="261">
        <v>105</v>
      </c>
      <c r="D8862" s="244" t="s">
        <v>12</v>
      </c>
      <c r="E8862" s="263">
        <v>17</v>
      </c>
      <c r="F8862" s="294" t="s">
        <v>126</v>
      </c>
      <c r="G8862" s="294" t="s">
        <v>1611</v>
      </c>
      <c r="H8862" s="298">
        <v>1</v>
      </c>
      <c r="M8862" s="274"/>
    </row>
    <row r="8863" spans="2:13" ht="15" customHeight="1" x14ac:dyDescent="0.25">
      <c r="B8863" s="289">
        <v>6809</v>
      </c>
      <c r="C8863" s="261">
        <v>105</v>
      </c>
      <c r="D8863" s="244" t="s">
        <v>12</v>
      </c>
      <c r="E8863" s="263">
        <v>4</v>
      </c>
      <c r="F8863" s="294" t="s">
        <v>126</v>
      </c>
      <c r="G8863" s="294" t="s">
        <v>1612</v>
      </c>
      <c r="H8863" s="298">
        <v>1</v>
      </c>
      <c r="M8863" s="274"/>
    </row>
    <row r="8864" spans="2:13" ht="15" customHeight="1" x14ac:dyDescent="0.25">
      <c r="B8864" s="289">
        <v>6810</v>
      </c>
      <c r="C8864" s="261">
        <v>107</v>
      </c>
      <c r="D8864" s="244" t="s">
        <v>11</v>
      </c>
      <c r="E8864" s="263">
        <v>3</v>
      </c>
      <c r="F8864" s="294" t="s">
        <v>863</v>
      </c>
      <c r="G8864" s="294" t="s">
        <v>126</v>
      </c>
      <c r="H8864" s="298">
        <v>1</v>
      </c>
      <c r="M8864" s="274"/>
    </row>
    <row r="8865" spans="2:13" ht="15" customHeight="1" x14ac:dyDescent="0.25">
      <c r="B8865" s="289">
        <v>6811</v>
      </c>
      <c r="C8865" s="261">
        <v>107</v>
      </c>
      <c r="D8865" s="244" t="s">
        <v>11</v>
      </c>
      <c r="E8865" s="263">
        <v>3</v>
      </c>
      <c r="F8865" s="294" t="s">
        <v>863</v>
      </c>
      <c r="G8865" s="294" t="s">
        <v>126</v>
      </c>
      <c r="H8865" s="298">
        <v>1</v>
      </c>
      <c r="M8865" s="274"/>
    </row>
    <row r="8866" spans="2:13" ht="15" customHeight="1" x14ac:dyDescent="0.25">
      <c r="B8866" s="289">
        <v>6812</v>
      </c>
      <c r="C8866" s="261">
        <v>104</v>
      </c>
      <c r="D8866" s="244" t="s">
        <v>11</v>
      </c>
      <c r="E8866" s="263">
        <v>1</v>
      </c>
      <c r="F8866" s="294" t="s">
        <v>235</v>
      </c>
      <c r="G8866" s="294" t="s">
        <v>126</v>
      </c>
      <c r="H8866" s="298">
        <v>1</v>
      </c>
      <c r="M8866" s="274"/>
    </row>
    <row r="8867" spans="2:13" ht="15" customHeight="1" x14ac:dyDescent="0.25">
      <c r="B8867" s="289">
        <v>6813</v>
      </c>
      <c r="C8867" s="261">
        <v>100</v>
      </c>
      <c r="D8867" s="244" t="s">
        <v>11</v>
      </c>
      <c r="E8867" s="263">
        <v>5</v>
      </c>
      <c r="F8867" s="294" t="s">
        <v>1495</v>
      </c>
      <c r="G8867" s="294" t="s">
        <v>126</v>
      </c>
      <c r="H8867" s="298">
        <v>1</v>
      </c>
      <c r="M8867" s="274"/>
    </row>
    <row r="8868" spans="2:13" ht="15" customHeight="1" x14ac:dyDescent="0.25">
      <c r="B8868" s="289">
        <v>6814</v>
      </c>
      <c r="C8868" s="261">
        <v>105</v>
      </c>
      <c r="D8868" s="244" t="s">
        <v>12</v>
      </c>
      <c r="E8868" s="263">
        <v>1</v>
      </c>
      <c r="F8868" s="294" t="s">
        <v>126</v>
      </c>
      <c r="G8868" s="294" t="s">
        <v>437</v>
      </c>
      <c r="H8868" s="298">
        <v>1</v>
      </c>
      <c r="M8868" s="274"/>
    </row>
    <row r="8869" spans="2:13" ht="15" customHeight="1" x14ac:dyDescent="0.25">
      <c r="B8869" s="289">
        <v>6815</v>
      </c>
      <c r="C8869" s="261">
        <v>102</v>
      </c>
      <c r="D8869" s="244" t="s">
        <v>11</v>
      </c>
      <c r="E8869" s="263">
        <v>5</v>
      </c>
      <c r="F8869" s="294" t="s">
        <v>1551</v>
      </c>
      <c r="G8869" s="294" t="s">
        <v>126</v>
      </c>
      <c r="H8869" s="298">
        <v>1</v>
      </c>
      <c r="M8869" s="274"/>
    </row>
    <row r="8870" spans="2:13" ht="15" customHeight="1" x14ac:dyDescent="0.25">
      <c r="B8870" s="289">
        <v>6815</v>
      </c>
      <c r="C8870" s="261">
        <v>114</v>
      </c>
      <c r="D8870" s="244" t="s">
        <v>12</v>
      </c>
      <c r="E8870" s="263">
        <v>5</v>
      </c>
      <c r="F8870" s="294" t="s">
        <v>126</v>
      </c>
      <c r="G8870" s="294" t="s">
        <v>1613</v>
      </c>
      <c r="H8870" s="298">
        <v>1</v>
      </c>
      <c r="M8870" s="274"/>
    </row>
    <row r="8871" spans="2:13" ht="15" customHeight="1" x14ac:dyDescent="0.25">
      <c r="B8871" s="289">
        <v>6816</v>
      </c>
      <c r="C8871" s="261">
        <v>102</v>
      </c>
      <c r="D8871" s="244" t="s">
        <v>11</v>
      </c>
      <c r="E8871" s="263">
        <v>4</v>
      </c>
      <c r="F8871" s="294" t="s">
        <v>964</v>
      </c>
      <c r="G8871" s="294" t="s">
        <v>126</v>
      </c>
      <c r="H8871" s="298">
        <v>1</v>
      </c>
      <c r="M8871" s="274"/>
    </row>
    <row r="8872" spans="2:13" ht="15" customHeight="1" x14ac:dyDescent="0.25">
      <c r="B8872" s="289">
        <v>6816</v>
      </c>
      <c r="C8872" s="261">
        <v>115</v>
      </c>
      <c r="D8872" s="244" t="s">
        <v>12</v>
      </c>
      <c r="E8872" s="263">
        <v>4</v>
      </c>
      <c r="F8872" s="294" t="s">
        <v>126</v>
      </c>
      <c r="G8872" s="294" t="s">
        <v>1614</v>
      </c>
      <c r="H8872" s="298">
        <v>1</v>
      </c>
      <c r="M8872" s="274"/>
    </row>
    <row r="8873" spans="2:13" ht="15" customHeight="1" x14ac:dyDescent="0.25">
      <c r="B8873" s="289">
        <v>6817</v>
      </c>
      <c r="C8873" s="261">
        <v>104</v>
      </c>
      <c r="D8873" s="244" t="s">
        <v>11</v>
      </c>
      <c r="E8873" s="263">
        <v>2</v>
      </c>
      <c r="F8873" s="294" t="s">
        <v>214</v>
      </c>
      <c r="G8873" s="294" t="s">
        <v>126</v>
      </c>
      <c r="H8873" s="298">
        <v>1</v>
      </c>
      <c r="M8873" s="274"/>
    </row>
    <row r="8874" spans="2:13" ht="15" customHeight="1" x14ac:dyDescent="0.25">
      <c r="B8874" s="289">
        <v>6817</v>
      </c>
      <c r="C8874" s="261">
        <v>114</v>
      </c>
      <c r="D8874" s="244" t="s">
        <v>12</v>
      </c>
      <c r="E8874" s="263">
        <v>2</v>
      </c>
      <c r="F8874" s="294" t="s">
        <v>126</v>
      </c>
      <c r="G8874" s="294" t="s">
        <v>433</v>
      </c>
      <c r="H8874" s="298">
        <v>1</v>
      </c>
      <c r="M8874" s="274"/>
    </row>
    <row r="8875" spans="2:13" ht="15" customHeight="1" x14ac:dyDescent="0.25">
      <c r="B8875" s="289">
        <v>6818</v>
      </c>
      <c r="C8875" s="261">
        <v>105</v>
      </c>
      <c r="D8875" s="244" t="s">
        <v>12</v>
      </c>
      <c r="E8875" s="263">
        <v>1</v>
      </c>
      <c r="F8875" s="294" t="s">
        <v>126</v>
      </c>
      <c r="G8875" s="294" t="s">
        <v>437</v>
      </c>
      <c r="H8875" s="298">
        <v>1</v>
      </c>
      <c r="M8875" s="274"/>
    </row>
    <row r="8876" spans="2:13" ht="15" customHeight="1" x14ac:dyDescent="0.25">
      <c r="B8876" s="289">
        <v>6819</v>
      </c>
      <c r="C8876" s="261">
        <v>105</v>
      </c>
      <c r="D8876" s="244" t="s">
        <v>12</v>
      </c>
      <c r="E8876" s="263">
        <v>1</v>
      </c>
      <c r="F8876" s="294" t="s">
        <v>126</v>
      </c>
      <c r="G8876" s="294" t="s">
        <v>437</v>
      </c>
      <c r="H8876" s="298">
        <v>1</v>
      </c>
      <c r="M8876" s="274"/>
    </row>
    <row r="8877" spans="2:13" ht="15" customHeight="1" x14ac:dyDescent="0.25">
      <c r="B8877" s="289">
        <v>6820</v>
      </c>
      <c r="C8877" s="261">
        <v>105</v>
      </c>
      <c r="D8877" s="244" t="s">
        <v>12</v>
      </c>
      <c r="E8877" s="263">
        <v>1</v>
      </c>
      <c r="F8877" s="294" t="s">
        <v>126</v>
      </c>
      <c r="G8877" s="294" t="s">
        <v>437</v>
      </c>
      <c r="H8877" s="298">
        <v>1</v>
      </c>
      <c r="M8877" s="274"/>
    </row>
    <row r="8878" spans="2:13" ht="15" customHeight="1" x14ac:dyDescent="0.25">
      <c r="B8878" s="289">
        <v>6821</v>
      </c>
      <c r="C8878" s="261">
        <v>106</v>
      </c>
      <c r="D8878" s="244" t="s">
        <v>11</v>
      </c>
      <c r="E8878" s="263">
        <v>1</v>
      </c>
      <c r="F8878" s="294" t="s">
        <v>426</v>
      </c>
      <c r="G8878" s="294" t="s">
        <v>126</v>
      </c>
      <c r="H8878" s="298">
        <v>1</v>
      </c>
      <c r="M8878" s="274"/>
    </row>
    <row r="8879" spans="2:13" ht="15" customHeight="1" x14ac:dyDescent="0.25">
      <c r="B8879" s="289">
        <v>6822</v>
      </c>
      <c r="C8879" s="261">
        <v>105</v>
      </c>
      <c r="D8879" s="244" t="s">
        <v>12</v>
      </c>
      <c r="E8879" s="263">
        <v>1</v>
      </c>
      <c r="F8879" s="294" t="s">
        <v>126</v>
      </c>
      <c r="G8879" s="294" t="s">
        <v>437</v>
      </c>
      <c r="H8879" s="298">
        <v>1</v>
      </c>
      <c r="M8879" s="274"/>
    </row>
    <row r="8880" spans="2:13" ht="15" customHeight="1" x14ac:dyDescent="0.25">
      <c r="B8880" s="289">
        <v>6823</v>
      </c>
      <c r="C8880" s="261">
        <v>85</v>
      </c>
      <c r="D8880" s="244" t="s">
        <v>11</v>
      </c>
      <c r="E8880" s="263">
        <v>21</v>
      </c>
      <c r="F8880" s="294" t="s">
        <v>1615</v>
      </c>
      <c r="G8880" s="294" t="s">
        <v>126</v>
      </c>
      <c r="H8880" s="298">
        <v>1</v>
      </c>
      <c r="M8880" s="274"/>
    </row>
    <row r="8881" spans="2:13" ht="15" customHeight="1" x14ac:dyDescent="0.25">
      <c r="B8881" s="289">
        <v>6824</v>
      </c>
      <c r="C8881" s="261">
        <v>101</v>
      </c>
      <c r="D8881" s="244" t="s">
        <v>11</v>
      </c>
      <c r="E8881" s="263">
        <v>20</v>
      </c>
      <c r="F8881" s="294" t="s">
        <v>1535</v>
      </c>
      <c r="G8881" s="294" t="s">
        <v>126</v>
      </c>
      <c r="H8881" s="298">
        <v>1</v>
      </c>
      <c r="M8881" s="274"/>
    </row>
    <row r="8882" spans="2:13" ht="15" customHeight="1" x14ac:dyDescent="0.25">
      <c r="B8882" s="289">
        <v>6825</v>
      </c>
      <c r="C8882" s="261">
        <v>104</v>
      </c>
      <c r="D8882" s="244" t="s">
        <v>11</v>
      </c>
      <c r="E8882" s="263">
        <v>9</v>
      </c>
      <c r="F8882" s="294" t="s">
        <v>1520</v>
      </c>
      <c r="G8882" s="294" t="s">
        <v>126</v>
      </c>
      <c r="H8882" s="298">
        <v>1</v>
      </c>
      <c r="M8882" s="274"/>
    </row>
    <row r="8883" spans="2:13" ht="15" customHeight="1" x14ac:dyDescent="0.25">
      <c r="B8883" s="289">
        <v>6826</v>
      </c>
      <c r="C8883" s="261">
        <v>105</v>
      </c>
      <c r="D8883" s="244" t="s">
        <v>12</v>
      </c>
      <c r="E8883" s="263">
        <v>1</v>
      </c>
      <c r="F8883" s="294" t="s">
        <v>126</v>
      </c>
      <c r="G8883" s="294" t="s">
        <v>437</v>
      </c>
      <c r="H8883" s="298">
        <v>1</v>
      </c>
      <c r="M8883" s="274"/>
    </row>
    <row r="8884" spans="2:13" ht="15" customHeight="1" x14ac:dyDescent="0.25">
      <c r="B8884" s="289">
        <v>6827</v>
      </c>
      <c r="C8884" s="261">
        <v>105</v>
      </c>
      <c r="D8884" s="244" t="s">
        <v>12</v>
      </c>
      <c r="E8884" s="263">
        <v>1</v>
      </c>
      <c r="F8884" s="294" t="s">
        <v>126</v>
      </c>
      <c r="G8884" s="294" t="s">
        <v>437</v>
      </c>
      <c r="H8884" s="298">
        <v>1</v>
      </c>
      <c r="M8884" s="274"/>
    </row>
    <row r="8885" spans="2:13" ht="15" customHeight="1" x14ac:dyDescent="0.25">
      <c r="B8885" s="289">
        <v>6828</v>
      </c>
      <c r="C8885" s="261">
        <v>105</v>
      </c>
      <c r="D8885" s="244" t="s">
        <v>12</v>
      </c>
      <c r="E8885" s="263">
        <v>4</v>
      </c>
      <c r="F8885" s="294" t="s">
        <v>126</v>
      </c>
      <c r="G8885" s="294" t="s">
        <v>1616</v>
      </c>
      <c r="H8885" s="298">
        <v>1</v>
      </c>
      <c r="M8885" s="274"/>
    </row>
    <row r="8886" spans="2:13" ht="15" customHeight="1" x14ac:dyDescent="0.25">
      <c r="B8886" s="289">
        <v>6829</v>
      </c>
      <c r="C8886" s="261">
        <v>105</v>
      </c>
      <c r="D8886" s="244" t="s">
        <v>12</v>
      </c>
      <c r="E8886" s="263">
        <v>39</v>
      </c>
      <c r="F8886" s="294" t="s">
        <v>126</v>
      </c>
      <c r="G8886" s="294" t="s">
        <v>1617</v>
      </c>
      <c r="H8886" s="298">
        <v>1</v>
      </c>
      <c r="M8886" s="274"/>
    </row>
    <row r="8887" spans="2:13" ht="15" customHeight="1" x14ac:dyDescent="0.25">
      <c r="B8887" s="289">
        <v>6829</v>
      </c>
      <c r="C8887" s="261">
        <v>108</v>
      </c>
      <c r="D8887" s="244" t="s">
        <v>11</v>
      </c>
      <c r="E8887" s="263">
        <v>1</v>
      </c>
      <c r="F8887" s="294" t="s">
        <v>139</v>
      </c>
      <c r="G8887" s="294" t="s">
        <v>126</v>
      </c>
      <c r="H8887" s="298">
        <v>1</v>
      </c>
      <c r="M8887" s="274"/>
    </row>
    <row r="8888" spans="2:13" ht="15" customHeight="1" x14ac:dyDescent="0.25">
      <c r="B8888" s="289">
        <v>6829</v>
      </c>
      <c r="C8888" s="261">
        <v>115</v>
      </c>
      <c r="D8888" s="244" t="s">
        <v>12</v>
      </c>
      <c r="E8888" s="263">
        <v>2</v>
      </c>
      <c r="F8888" s="294" t="s">
        <v>126</v>
      </c>
      <c r="G8888" s="294" t="s">
        <v>433</v>
      </c>
      <c r="H8888" s="298">
        <v>1</v>
      </c>
      <c r="M8888" s="274"/>
    </row>
    <row r="8889" spans="2:13" ht="15" customHeight="1" x14ac:dyDescent="0.25">
      <c r="B8889" s="289">
        <v>6830</v>
      </c>
      <c r="C8889" s="261">
        <v>104</v>
      </c>
      <c r="D8889" s="244" t="s">
        <v>11</v>
      </c>
      <c r="E8889" s="263">
        <v>2</v>
      </c>
      <c r="F8889" s="294" t="s">
        <v>214</v>
      </c>
      <c r="G8889" s="294" t="s">
        <v>126</v>
      </c>
      <c r="H8889" s="298">
        <v>1</v>
      </c>
      <c r="M8889" s="274"/>
    </row>
    <row r="8890" spans="2:13" ht="15" customHeight="1" x14ac:dyDescent="0.25">
      <c r="B8890" s="289">
        <v>6830</v>
      </c>
      <c r="C8890" s="261">
        <v>114</v>
      </c>
      <c r="D8890" s="244" t="s">
        <v>12</v>
      </c>
      <c r="E8890" s="263">
        <v>2</v>
      </c>
      <c r="F8890" s="294" t="s">
        <v>126</v>
      </c>
      <c r="G8890" s="294" t="s">
        <v>431</v>
      </c>
      <c r="H8890" s="298">
        <v>1</v>
      </c>
      <c r="M8890" s="274"/>
    </row>
    <row r="8891" spans="2:13" ht="15" customHeight="1" x14ac:dyDescent="0.25">
      <c r="B8891" s="289">
        <v>6831</v>
      </c>
      <c r="C8891" s="261">
        <v>106</v>
      </c>
      <c r="D8891" s="244" t="s">
        <v>11</v>
      </c>
      <c r="E8891" s="263">
        <v>1</v>
      </c>
      <c r="F8891" s="294" t="s">
        <v>426</v>
      </c>
      <c r="G8891" s="294" t="s">
        <v>126</v>
      </c>
      <c r="H8891" s="298">
        <v>1</v>
      </c>
      <c r="M8891" s="274"/>
    </row>
    <row r="8892" spans="2:13" ht="15" customHeight="1" x14ac:dyDescent="0.25">
      <c r="B8892" s="289">
        <v>6832</v>
      </c>
      <c r="C8892" s="261">
        <v>105</v>
      </c>
      <c r="D8892" s="244" t="s">
        <v>12</v>
      </c>
      <c r="E8892" s="263">
        <v>1</v>
      </c>
      <c r="F8892" s="294" t="s">
        <v>126</v>
      </c>
      <c r="G8892" s="294" t="s">
        <v>437</v>
      </c>
      <c r="H8892" s="298">
        <v>1</v>
      </c>
      <c r="M8892" s="274"/>
    </row>
    <row r="8893" spans="2:13" ht="15" customHeight="1" x14ac:dyDescent="0.25">
      <c r="B8893" s="289">
        <v>6833</v>
      </c>
      <c r="C8893" s="261">
        <v>103</v>
      </c>
      <c r="D8893" s="244" t="s">
        <v>12</v>
      </c>
      <c r="E8893" s="263">
        <v>5</v>
      </c>
      <c r="F8893" s="294" t="s">
        <v>126</v>
      </c>
      <c r="G8893" s="294" t="s">
        <v>1618</v>
      </c>
      <c r="H8893" s="298">
        <v>1</v>
      </c>
      <c r="M8893" s="274"/>
    </row>
    <row r="8894" spans="2:13" ht="15" customHeight="1" x14ac:dyDescent="0.25">
      <c r="B8894" s="289">
        <v>6834</v>
      </c>
      <c r="C8894" s="261">
        <v>105</v>
      </c>
      <c r="D8894" s="244" t="s">
        <v>12</v>
      </c>
      <c r="E8894" s="263">
        <v>2</v>
      </c>
      <c r="F8894" s="294" t="s">
        <v>126</v>
      </c>
      <c r="G8894" s="294" t="s">
        <v>1351</v>
      </c>
      <c r="H8894" s="298">
        <v>1</v>
      </c>
      <c r="M8894" s="274"/>
    </row>
    <row r="8895" spans="2:13" ht="15" customHeight="1" x14ac:dyDescent="0.25">
      <c r="B8895" s="289">
        <v>6834</v>
      </c>
      <c r="C8895" s="261">
        <v>112</v>
      </c>
      <c r="D8895" s="244" t="s">
        <v>11</v>
      </c>
      <c r="E8895" s="263">
        <v>2</v>
      </c>
      <c r="F8895" s="294" t="s">
        <v>136</v>
      </c>
      <c r="G8895" s="294" t="s">
        <v>126</v>
      </c>
      <c r="H8895" s="298">
        <v>1</v>
      </c>
      <c r="M8895" s="274"/>
    </row>
    <row r="8896" spans="2:13" ht="15" customHeight="1" x14ac:dyDescent="0.25">
      <c r="B8896" s="289">
        <v>6835</v>
      </c>
      <c r="C8896" s="261">
        <v>99</v>
      </c>
      <c r="D8896" s="244" t="s">
        <v>11</v>
      </c>
      <c r="E8896" s="263">
        <v>2</v>
      </c>
      <c r="F8896" s="294" t="s">
        <v>431</v>
      </c>
      <c r="G8896" s="294" t="s">
        <v>126</v>
      </c>
      <c r="H8896" s="298">
        <v>1</v>
      </c>
      <c r="M8896" s="274"/>
    </row>
    <row r="8897" spans="2:13" ht="15" customHeight="1" x14ac:dyDescent="0.25">
      <c r="B8897" s="289">
        <v>6836</v>
      </c>
      <c r="C8897" s="261">
        <v>105</v>
      </c>
      <c r="D8897" s="244" t="s">
        <v>12</v>
      </c>
      <c r="E8897" s="263">
        <v>23</v>
      </c>
      <c r="F8897" s="294" t="s">
        <v>126</v>
      </c>
      <c r="G8897" s="294" t="s">
        <v>1619</v>
      </c>
      <c r="H8897" s="298">
        <v>1</v>
      </c>
      <c r="M8897" s="274"/>
    </row>
    <row r="8898" spans="2:13" ht="15" customHeight="1" x14ac:dyDescent="0.25">
      <c r="B8898" s="289">
        <v>6836</v>
      </c>
      <c r="C8898" s="261">
        <v>114</v>
      </c>
      <c r="D8898" s="244" t="s">
        <v>12</v>
      </c>
      <c r="E8898" s="263">
        <v>15</v>
      </c>
      <c r="F8898" s="294" t="s">
        <v>126</v>
      </c>
      <c r="G8898" s="294" t="s">
        <v>1620</v>
      </c>
      <c r="H8898" s="298">
        <v>1</v>
      </c>
      <c r="M8898" s="274"/>
    </row>
    <row r="8899" spans="2:13" ht="15" customHeight="1" x14ac:dyDescent="0.25">
      <c r="B8899" s="289">
        <v>6837</v>
      </c>
      <c r="C8899" s="261">
        <v>107</v>
      </c>
      <c r="D8899" s="244" t="s">
        <v>11</v>
      </c>
      <c r="E8899" s="263">
        <v>3</v>
      </c>
      <c r="F8899" s="294" t="s">
        <v>863</v>
      </c>
      <c r="G8899" s="294" t="s">
        <v>126</v>
      </c>
      <c r="H8899" s="298">
        <v>1</v>
      </c>
      <c r="M8899" s="274"/>
    </row>
    <row r="8900" spans="2:13" ht="15" customHeight="1" x14ac:dyDescent="0.25">
      <c r="B8900" s="289">
        <v>6838</v>
      </c>
      <c r="C8900" s="261">
        <v>107</v>
      </c>
      <c r="D8900" s="244" t="s">
        <v>11</v>
      </c>
      <c r="E8900" s="263">
        <v>3</v>
      </c>
      <c r="F8900" s="294" t="s">
        <v>863</v>
      </c>
      <c r="G8900" s="294" t="s">
        <v>126</v>
      </c>
      <c r="H8900" s="298">
        <v>1</v>
      </c>
      <c r="M8900" s="274"/>
    </row>
    <row r="8901" spans="2:13" ht="15" customHeight="1" x14ac:dyDescent="0.25">
      <c r="B8901" s="289">
        <v>6839</v>
      </c>
      <c r="C8901" s="261">
        <v>105</v>
      </c>
      <c r="D8901" s="244" t="s">
        <v>12</v>
      </c>
      <c r="E8901" s="263">
        <v>3</v>
      </c>
      <c r="F8901" s="294" t="s">
        <v>126</v>
      </c>
      <c r="G8901" s="294" t="s">
        <v>1523</v>
      </c>
      <c r="H8901" s="298">
        <v>1</v>
      </c>
      <c r="M8901" s="274"/>
    </row>
    <row r="8902" spans="2:13" ht="15" customHeight="1" x14ac:dyDescent="0.25">
      <c r="B8902" s="289">
        <v>6840</v>
      </c>
      <c r="C8902" s="261">
        <v>89</v>
      </c>
      <c r="D8902" s="244" t="s">
        <v>12</v>
      </c>
      <c r="E8902" s="263">
        <v>6</v>
      </c>
      <c r="F8902" s="294" t="s">
        <v>126</v>
      </c>
      <c r="G8902" s="294" t="s">
        <v>1621</v>
      </c>
      <c r="H8902" s="298">
        <v>1</v>
      </c>
      <c r="M8902" s="274"/>
    </row>
    <row r="8903" spans="2:13" ht="15" customHeight="1" x14ac:dyDescent="0.25">
      <c r="B8903" s="289">
        <v>6840</v>
      </c>
      <c r="C8903" s="261">
        <v>113</v>
      </c>
      <c r="D8903" s="244" t="s">
        <v>11</v>
      </c>
      <c r="E8903" s="263">
        <v>5</v>
      </c>
      <c r="F8903" s="294" t="s">
        <v>275</v>
      </c>
      <c r="G8903" s="294" t="s">
        <v>126</v>
      </c>
      <c r="H8903" s="298">
        <v>1</v>
      </c>
      <c r="M8903" s="274"/>
    </row>
    <row r="8904" spans="2:13" ht="15" customHeight="1" x14ac:dyDescent="0.25">
      <c r="B8904" s="289">
        <v>6840</v>
      </c>
      <c r="C8904" s="261">
        <v>121</v>
      </c>
      <c r="D8904" s="244" t="s">
        <v>11</v>
      </c>
      <c r="E8904" s="263">
        <v>4</v>
      </c>
      <c r="F8904" s="294" t="s">
        <v>1622</v>
      </c>
      <c r="G8904" s="294" t="s">
        <v>126</v>
      </c>
      <c r="H8904" s="298">
        <v>1</v>
      </c>
      <c r="M8904" s="274"/>
    </row>
    <row r="8905" spans="2:13" ht="15" customHeight="1" x14ac:dyDescent="0.25">
      <c r="B8905" s="289">
        <v>6841</v>
      </c>
      <c r="C8905" s="261">
        <v>83</v>
      </c>
      <c r="D8905" s="244" t="s">
        <v>11</v>
      </c>
      <c r="E8905" s="263">
        <v>5</v>
      </c>
      <c r="F8905" s="294" t="s">
        <v>1623</v>
      </c>
      <c r="G8905" s="294" t="s">
        <v>126</v>
      </c>
      <c r="H8905" s="298">
        <v>1</v>
      </c>
      <c r="M8905" s="274"/>
    </row>
    <row r="8906" spans="2:13" ht="15" customHeight="1" x14ac:dyDescent="0.25">
      <c r="B8906" s="289">
        <v>6841</v>
      </c>
      <c r="C8906" s="261">
        <v>105</v>
      </c>
      <c r="D8906" s="244" t="s">
        <v>12</v>
      </c>
      <c r="E8906" s="263">
        <v>9</v>
      </c>
      <c r="F8906" s="294" t="s">
        <v>126</v>
      </c>
      <c r="G8906" s="294" t="s">
        <v>1624</v>
      </c>
      <c r="H8906" s="298">
        <v>1</v>
      </c>
      <c r="M8906" s="274"/>
    </row>
    <row r="8907" spans="2:13" ht="15" customHeight="1" x14ac:dyDescent="0.25">
      <c r="B8907" s="289">
        <v>6842</v>
      </c>
      <c r="C8907" s="261">
        <v>105</v>
      </c>
      <c r="D8907" s="244" t="s">
        <v>12</v>
      </c>
      <c r="E8907" s="263">
        <v>11</v>
      </c>
      <c r="F8907" s="294" t="s">
        <v>126</v>
      </c>
      <c r="G8907" s="294" t="s">
        <v>1625</v>
      </c>
      <c r="H8907" s="298">
        <v>1</v>
      </c>
      <c r="M8907" s="274"/>
    </row>
    <row r="8908" spans="2:13" ht="15" customHeight="1" x14ac:dyDescent="0.25">
      <c r="B8908" s="289">
        <v>6843</v>
      </c>
      <c r="C8908" s="261">
        <v>105</v>
      </c>
      <c r="D8908" s="244" t="s">
        <v>12</v>
      </c>
      <c r="E8908" s="263">
        <v>1</v>
      </c>
      <c r="F8908" s="294" t="s">
        <v>126</v>
      </c>
      <c r="G8908" s="294" t="s">
        <v>437</v>
      </c>
      <c r="H8908" s="298">
        <v>1</v>
      </c>
      <c r="M8908" s="274"/>
    </row>
    <row r="8909" spans="2:13" ht="15" customHeight="1" x14ac:dyDescent="0.25">
      <c r="B8909" s="289">
        <v>6844</v>
      </c>
      <c r="C8909" s="261">
        <v>105</v>
      </c>
      <c r="D8909" s="244" t="s">
        <v>12</v>
      </c>
      <c r="E8909" s="263">
        <v>1</v>
      </c>
      <c r="F8909" s="294" t="s">
        <v>126</v>
      </c>
      <c r="G8909" s="294" t="s">
        <v>139</v>
      </c>
      <c r="H8909" s="298">
        <v>1</v>
      </c>
      <c r="M8909" s="274"/>
    </row>
    <row r="8910" spans="2:13" ht="15" customHeight="1" x14ac:dyDescent="0.25">
      <c r="B8910" s="289">
        <v>6845</v>
      </c>
      <c r="C8910" s="261">
        <v>107</v>
      </c>
      <c r="D8910" s="244" t="s">
        <v>11</v>
      </c>
      <c r="E8910" s="263">
        <v>2</v>
      </c>
      <c r="F8910" s="294" t="s">
        <v>233</v>
      </c>
      <c r="G8910" s="294" t="s">
        <v>126</v>
      </c>
      <c r="H8910" s="298">
        <v>1</v>
      </c>
      <c r="M8910" s="274"/>
    </row>
    <row r="8911" spans="2:13" ht="15" customHeight="1" x14ac:dyDescent="0.25">
      <c r="B8911" s="289">
        <v>6846</v>
      </c>
      <c r="C8911" s="261">
        <v>105</v>
      </c>
      <c r="D8911" s="244" t="s">
        <v>12</v>
      </c>
      <c r="E8911" s="263">
        <v>35</v>
      </c>
      <c r="F8911" s="294" t="s">
        <v>126</v>
      </c>
      <c r="G8911" s="294" t="s">
        <v>1626</v>
      </c>
      <c r="H8911" s="298">
        <v>1</v>
      </c>
      <c r="M8911" s="274"/>
    </row>
    <row r="8912" spans="2:13" ht="15" customHeight="1" x14ac:dyDescent="0.25">
      <c r="B8912" s="289">
        <v>6846</v>
      </c>
      <c r="C8912" s="261">
        <v>114</v>
      </c>
      <c r="D8912" s="244" t="s">
        <v>12</v>
      </c>
      <c r="E8912" s="263">
        <v>3</v>
      </c>
      <c r="F8912" s="294" t="s">
        <v>126</v>
      </c>
      <c r="G8912" s="294" t="s">
        <v>1472</v>
      </c>
      <c r="H8912" s="298">
        <v>1</v>
      </c>
      <c r="M8912" s="274"/>
    </row>
    <row r="8913" spans="2:13" ht="15" customHeight="1" x14ac:dyDescent="0.25">
      <c r="B8913" s="289">
        <v>6847</v>
      </c>
      <c r="C8913" s="261">
        <v>105</v>
      </c>
      <c r="D8913" s="244" t="s">
        <v>12</v>
      </c>
      <c r="E8913" s="263">
        <v>22</v>
      </c>
      <c r="F8913" s="294" t="s">
        <v>126</v>
      </c>
      <c r="G8913" s="294" t="s">
        <v>1627</v>
      </c>
      <c r="H8913" s="298">
        <v>1</v>
      </c>
      <c r="M8913" s="274"/>
    </row>
    <row r="8914" spans="2:13" ht="15" customHeight="1" x14ac:dyDescent="0.25">
      <c r="B8914" s="289">
        <v>6847</v>
      </c>
      <c r="C8914" s="261">
        <v>112</v>
      </c>
      <c r="D8914" s="244" t="s">
        <v>11</v>
      </c>
      <c r="E8914" s="263">
        <v>2</v>
      </c>
      <c r="F8914" s="294" t="s">
        <v>136</v>
      </c>
      <c r="G8914" s="294" t="s">
        <v>126</v>
      </c>
      <c r="H8914" s="298">
        <v>1</v>
      </c>
      <c r="M8914" s="274"/>
    </row>
    <row r="8915" spans="2:13" ht="15" customHeight="1" x14ac:dyDescent="0.25">
      <c r="B8915" s="289">
        <v>6848</v>
      </c>
      <c r="C8915" s="261">
        <v>112</v>
      </c>
      <c r="D8915" s="244" t="s">
        <v>12</v>
      </c>
      <c r="E8915" s="263">
        <v>1</v>
      </c>
      <c r="F8915" s="294" t="s">
        <v>126</v>
      </c>
      <c r="G8915" s="294" t="s">
        <v>426</v>
      </c>
      <c r="H8915" s="298">
        <v>1</v>
      </c>
      <c r="M8915" s="274"/>
    </row>
    <row r="8916" spans="2:13" ht="15" customHeight="1" x14ac:dyDescent="0.25">
      <c r="B8916" s="289">
        <v>6849</v>
      </c>
      <c r="C8916" s="261">
        <v>102</v>
      </c>
      <c r="D8916" s="244" t="s">
        <v>11</v>
      </c>
      <c r="E8916" s="263">
        <v>3</v>
      </c>
      <c r="F8916" s="294" t="s">
        <v>648</v>
      </c>
      <c r="G8916" s="294" t="s">
        <v>126</v>
      </c>
      <c r="H8916" s="298">
        <v>1</v>
      </c>
      <c r="M8916" s="274"/>
    </row>
    <row r="8917" spans="2:13" ht="15" customHeight="1" x14ac:dyDescent="0.25">
      <c r="B8917" s="289">
        <v>6849</v>
      </c>
      <c r="C8917" s="261">
        <v>114</v>
      </c>
      <c r="D8917" s="244" t="s">
        <v>12</v>
      </c>
      <c r="E8917" s="263">
        <v>3</v>
      </c>
      <c r="F8917" s="294" t="s">
        <v>126</v>
      </c>
      <c r="G8917" s="294" t="s">
        <v>623</v>
      </c>
      <c r="H8917" s="298">
        <v>1</v>
      </c>
      <c r="M8917" s="274"/>
    </row>
    <row r="8918" spans="2:13" ht="15" customHeight="1" x14ac:dyDescent="0.25">
      <c r="B8918" s="289">
        <v>6850</v>
      </c>
      <c r="C8918" s="261">
        <v>99</v>
      </c>
      <c r="D8918" s="244" t="s">
        <v>12</v>
      </c>
      <c r="E8918" s="263">
        <v>12</v>
      </c>
      <c r="F8918" s="294" t="s">
        <v>126</v>
      </c>
      <c r="G8918" s="294" t="s">
        <v>1628</v>
      </c>
      <c r="H8918" s="298">
        <v>1</v>
      </c>
      <c r="M8918" s="274"/>
    </row>
    <row r="8919" spans="2:13" ht="15" customHeight="1" x14ac:dyDescent="0.25">
      <c r="B8919" s="289">
        <v>6850</v>
      </c>
      <c r="C8919" s="261">
        <v>105</v>
      </c>
      <c r="D8919" s="244" t="s">
        <v>12</v>
      </c>
      <c r="E8919" s="263">
        <v>4</v>
      </c>
      <c r="F8919" s="294" t="s">
        <v>126</v>
      </c>
      <c r="G8919" s="294" t="s">
        <v>1629</v>
      </c>
      <c r="H8919" s="298">
        <v>1</v>
      </c>
      <c r="M8919" s="274"/>
    </row>
    <row r="8920" spans="2:13" ht="15" customHeight="1" x14ac:dyDescent="0.25">
      <c r="B8920" s="289">
        <v>6851</v>
      </c>
      <c r="C8920" s="261">
        <v>106</v>
      </c>
      <c r="D8920" s="244" t="s">
        <v>12</v>
      </c>
      <c r="E8920" s="263">
        <v>5</v>
      </c>
      <c r="F8920" s="294" t="s">
        <v>126</v>
      </c>
      <c r="G8920" s="294" t="s">
        <v>1165</v>
      </c>
      <c r="H8920" s="298">
        <v>1</v>
      </c>
      <c r="M8920" s="274"/>
    </row>
    <row r="8921" spans="2:13" ht="15" customHeight="1" x14ac:dyDescent="0.25">
      <c r="B8921" s="289">
        <v>6851</v>
      </c>
      <c r="C8921" s="261">
        <v>114</v>
      </c>
      <c r="D8921" s="244" t="s">
        <v>12</v>
      </c>
      <c r="E8921" s="263">
        <v>6</v>
      </c>
      <c r="F8921" s="294" t="s">
        <v>126</v>
      </c>
      <c r="G8921" s="294" t="s">
        <v>1630</v>
      </c>
      <c r="H8921" s="298">
        <v>1</v>
      </c>
      <c r="M8921" s="274"/>
    </row>
    <row r="8922" spans="2:13" ht="15" customHeight="1" x14ac:dyDescent="0.25">
      <c r="B8922" s="289">
        <v>6852</v>
      </c>
      <c r="C8922" s="261">
        <v>102</v>
      </c>
      <c r="D8922" s="244" t="s">
        <v>11</v>
      </c>
      <c r="E8922" s="263">
        <v>3</v>
      </c>
      <c r="F8922" s="294" t="s">
        <v>648</v>
      </c>
      <c r="G8922" s="294" t="s">
        <v>126</v>
      </c>
      <c r="H8922" s="298">
        <v>1</v>
      </c>
      <c r="M8922" s="274"/>
    </row>
    <row r="8923" spans="2:13" ht="15" customHeight="1" x14ac:dyDescent="0.25">
      <c r="B8923" s="289">
        <v>6852</v>
      </c>
      <c r="C8923" s="261">
        <v>108</v>
      </c>
      <c r="D8923" s="244" t="s">
        <v>11</v>
      </c>
      <c r="E8923" s="263">
        <v>1</v>
      </c>
      <c r="F8923" s="294" t="s">
        <v>139</v>
      </c>
      <c r="G8923" s="294" t="s">
        <v>126</v>
      </c>
      <c r="H8923" s="298">
        <v>1</v>
      </c>
      <c r="M8923" s="274"/>
    </row>
    <row r="8924" spans="2:13" ht="15" customHeight="1" x14ac:dyDescent="0.25">
      <c r="B8924" s="289">
        <v>6852</v>
      </c>
      <c r="C8924" s="261">
        <v>114</v>
      </c>
      <c r="D8924" s="244" t="s">
        <v>12</v>
      </c>
      <c r="E8924" s="263">
        <v>4</v>
      </c>
      <c r="F8924" s="294" t="s">
        <v>126</v>
      </c>
      <c r="G8924" s="294" t="s">
        <v>1631</v>
      </c>
      <c r="H8924" s="298">
        <v>1</v>
      </c>
      <c r="M8924" s="274"/>
    </row>
    <row r="8925" spans="2:13" ht="15" customHeight="1" x14ac:dyDescent="0.25">
      <c r="B8925" s="289">
        <v>6853</v>
      </c>
      <c r="C8925" s="261">
        <v>99</v>
      </c>
      <c r="D8925" s="244" t="s">
        <v>12</v>
      </c>
      <c r="E8925" s="263">
        <v>4</v>
      </c>
      <c r="F8925" s="294" t="s">
        <v>126</v>
      </c>
      <c r="G8925" s="294" t="s">
        <v>1509</v>
      </c>
      <c r="H8925" s="298">
        <v>1</v>
      </c>
      <c r="M8925" s="274"/>
    </row>
    <row r="8926" spans="2:13" ht="15" customHeight="1" x14ac:dyDescent="0.25">
      <c r="B8926" s="289">
        <v>6853</v>
      </c>
      <c r="C8926" s="261">
        <v>110</v>
      </c>
      <c r="D8926" s="244" t="s">
        <v>11</v>
      </c>
      <c r="E8926" s="263">
        <v>4</v>
      </c>
      <c r="F8926" s="294" t="s">
        <v>682</v>
      </c>
      <c r="G8926" s="294" t="s">
        <v>126</v>
      </c>
      <c r="H8926" s="298">
        <v>1</v>
      </c>
      <c r="M8926" s="274"/>
    </row>
    <row r="8927" spans="2:13" ht="15" customHeight="1" x14ac:dyDescent="0.25">
      <c r="B8927" s="289">
        <v>6854</v>
      </c>
      <c r="C8927" s="261">
        <v>105</v>
      </c>
      <c r="D8927" s="244" t="s">
        <v>11</v>
      </c>
      <c r="E8927" s="263">
        <v>11</v>
      </c>
      <c r="F8927" s="294" t="s">
        <v>1632</v>
      </c>
      <c r="G8927" s="294" t="s">
        <v>126</v>
      </c>
      <c r="H8927" s="298">
        <v>1</v>
      </c>
      <c r="M8927" s="274"/>
    </row>
    <row r="8928" spans="2:13" ht="15" customHeight="1" x14ac:dyDescent="0.25">
      <c r="B8928" s="289">
        <v>6855</v>
      </c>
      <c r="C8928" s="261">
        <v>99</v>
      </c>
      <c r="D8928" s="244" t="s">
        <v>12</v>
      </c>
      <c r="E8928" s="263">
        <v>8</v>
      </c>
      <c r="F8928" s="294" t="s">
        <v>126</v>
      </c>
      <c r="G8928" s="294" t="s">
        <v>1633</v>
      </c>
      <c r="H8928" s="298">
        <v>1</v>
      </c>
      <c r="M8928" s="274"/>
    </row>
    <row r="8929" spans="2:13" ht="15" customHeight="1" x14ac:dyDescent="0.25">
      <c r="B8929" s="289">
        <v>6856</v>
      </c>
      <c r="C8929" s="261">
        <v>102</v>
      </c>
      <c r="D8929" s="244" t="s">
        <v>12</v>
      </c>
      <c r="E8929" s="263">
        <v>1</v>
      </c>
      <c r="F8929" s="294" t="s">
        <v>126</v>
      </c>
      <c r="G8929" s="294" t="s">
        <v>139</v>
      </c>
      <c r="H8929" s="298">
        <v>1</v>
      </c>
      <c r="M8929" s="274"/>
    </row>
    <row r="8930" spans="2:13" ht="15" customHeight="1" x14ac:dyDescent="0.25">
      <c r="B8930" s="289">
        <v>6856</v>
      </c>
      <c r="C8930" s="261">
        <v>107</v>
      </c>
      <c r="D8930" s="244" t="s">
        <v>11</v>
      </c>
      <c r="E8930" s="263">
        <v>3</v>
      </c>
      <c r="F8930" s="294" t="s">
        <v>863</v>
      </c>
      <c r="G8930" s="294" t="s">
        <v>126</v>
      </c>
      <c r="H8930" s="298">
        <v>1</v>
      </c>
      <c r="M8930" s="274"/>
    </row>
    <row r="8931" spans="2:13" ht="15" customHeight="1" x14ac:dyDescent="0.25">
      <c r="B8931" s="289">
        <v>6856</v>
      </c>
      <c r="C8931" s="261">
        <v>114</v>
      </c>
      <c r="D8931" s="244" t="s">
        <v>12</v>
      </c>
      <c r="E8931" s="263">
        <v>2</v>
      </c>
      <c r="F8931" s="294" t="s">
        <v>126</v>
      </c>
      <c r="G8931" s="294" t="s">
        <v>431</v>
      </c>
      <c r="H8931" s="298">
        <v>1</v>
      </c>
      <c r="M8931" s="274"/>
    </row>
    <row r="8932" spans="2:13" ht="15" customHeight="1" x14ac:dyDescent="0.25">
      <c r="B8932" s="289">
        <v>6857</v>
      </c>
      <c r="C8932" s="261">
        <v>106</v>
      </c>
      <c r="D8932" s="244" t="s">
        <v>11</v>
      </c>
      <c r="E8932" s="263">
        <v>20</v>
      </c>
      <c r="F8932" s="294" t="s">
        <v>1521</v>
      </c>
      <c r="G8932" s="294" t="s">
        <v>126</v>
      </c>
      <c r="H8932" s="298">
        <v>1</v>
      </c>
      <c r="M8932" s="274"/>
    </row>
    <row r="8933" spans="2:13" ht="15" customHeight="1" x14ac:dyDescent="0.25">
      <c r="B8933" s="289">
        <v>6858</v>
      </c>
      <c r="C8933" s="261">
        <v>102</v>
      </c>
      <c r="D8933" s="244" t="s">
        <v>11</v>
      </c>
      <c r="E8933" s="263">
        <v>3</v>
      </c>
      <c r="F8933" s="294" t="s">
        <v>648</v>
      </c>
      <c r="G8933" s="294" t="s">
        <v>126</v>
      </c>
      <c r="H8933" s="298">
        <v>1</v>
      </c>
      <c r="M8933" s="274"/>
    </row>
    <row r="8934" spans="2:13" ht="15" customHeight="1" x14ac:dyDescent="0.25">
      <c r="B8934" s="289">
        <v>6858</v>
      </c>
      <c r="C8934" s="261">
        <v>108</v>
      </c>
      <c r="D8934" s="244" t="s">
        <v>11</v>
      </c>
      <c r="E8934" s="263">
        <v>1</v>
      </c>
      <c r="F8934" s="294" t="s">
        <v>139</v>
      </c>
      <c r="G8934" s="294" t="s">
        <v>126</v>
      </c>
      <c r="H8934" s="298">
        <v>1</v>
      </c>
      <c r="M8934" s="274"/>
    </row>
    <row r="8935" spans="2:13" ht="15" customHeight="1" x14ac:dyDescent="0.25">
      <c r="B8935" s="289">
        <v>6859</v>
      </c>
      <c r="C8935" s="261">
        <v>105</v>
      </c>
      <c r="D8935" s="244" t="s">
        <v>12</v>
      </c>
      <c r="E8935" s="263">
        <v>3</v>
      </c>
      <c r="F8935" s="294" t="s">
        <v>126</v>
      </c>
      <c r="G8935" s="294" t="s">
        <v>438</v>
      </c>
      <c r="H8935" s="298">
        <v>1</v>
      </c>
      <c r="M8935" s="274"/>
    </row>
    <row r="8936" spans="2:13" ht="15" customHeight="1" x14ac:dyDescent="0.25">
      <c r="B8936" s="289">
        <v>6859</v>
      </c>
      <c r="C8936" s="261">
        <v>115</v>
      </c>
      <c r="D8936" s="244" t="s">
        <v>12</v>
      </c>
      <c r="E8936" s="263">
        <v>1</v>
      </c>
      <c r="F8936" s="294" t="s">
        <v>126</v>
      </c>
      <c r="G8936" s="294" t="s">
        <v>437</v>
      </c>
      <c r="H8936" s="298">
        <v>1</v>
      </c>
      <c r="M8936" s="274"/>
    </row>
    <row r="8937" spans="2:13" ht="15" customHeight="1" x14ac:dyDescent="0.25">
      <c r="B8937" s="289">
        <v>6860</v>
      </c>
      <c r="C8937" s="261">
        <v>105</v>
      </c>
      <c r="D8937" s="244" t="s">
        <v>11</v>
      </c>
      <c r="E8937" s="263">
        <v>4</v>
      </c>
      <c r="F8937" s="294" t="s">
        <v>1498</v>
      </c>
      <c r="G8937" s="294" t="s">
        <v>126</v>
      </c>
      <c r="H8937" s="298">
        <v>1</v>
      </c>
      <c r="M8937" s="274"/>
    </row>
    <row r="8938" spans="2:13" ht="15" customHeight="1" x14ac:dyDescent="0.25">
      <c r="B8938" s="289">
        <v>6860</v>
      </c>
      <c r="C8938" s="261">
        <v>122</v>
      </c>
      <c r="D8938" s="244" t="s">
        <v>11</v>
      </c>
      <c r="E8938" s="263">
        <v>1</v>
      </c>
      <c r="F8938" s="294" t="s">
        <v>235</v>
      </c>
      <c r="G8938" s="294" t="s">
        <v>126</v>
      </c>
      <c r="H8938" s="298">
        <v>1</v>
      </c>
      <c r="M8938" s="274"/>
    </row>
    <row r="8939" spans="2:13" ht="15" customHeight="1" x14ac:dyDescent="0.25">
      <c r="B8939" s="289">
        <v>6861</v>
      </c>
      <c r="C8939" s="261">
        <v>106</v>
      </c>
      <c r="D8939" s="244" t="s">
        <v>12</v>
      </c>
      <c r="E8939" s="263">
        <v>1</v>
      </c>
      <c r="F8939" s="294" t="s">
        <v>126</v>
      </c>
      <c r="G8939" s="294" t="s">
        <v>139</v>
      </c>
      <c r="H8939" s="298">
        <v>1</v>
      </c>
      <c r="M8939" s="274"/>
    </row>
    <row r="8940" spans="2:13" ht="15" customHeight="1" x14ac:dyDescent="0.25">
      <c r="B8940" s="289">
        <v>6862</v>
      </c>
      <c r="C8940" s="261">
        <v>107</v>
      </c>
      <c r="D8940" s="244" t="s">
        <v>11</v>
      </c>
      <c r="E8940" s="263">
        <v>3</v>
      </c>
      <c r="F8940" s="294" t="s">
        <v>863</v>
      </c>
      <c r="G8940" s="294" t="s">
        <v>126</v>
      </c>
      <c r="H8940" s="298">
        <v>1</v>
      </c>
      <c r="M8940" s="274"/>
    </row>
    <row r="8941" spans="2:13" ht="15" customHeight="1" x14ac:dyDescent="0.25">
      <c r="B8941" s="289">
        <v>6863</v>
      </c>
      <c r="C8941" s="261">
        <v>104</v>
      </c>
      <c r="D8941" s="244" t="s">
        <v>11</v>
      </c>
      <c r="E8941" s="263">
        <v>9</v>
      </c>
      <c r="F8941" s="294" t="s">
        <v>1520</v>
      </c>
      <c r="G8941" s="294" t="s">
        <v>126</v>
      </c>
      <c r="H8941" s="298">
        <v>1</v>
      </c>
      <c r="M8941" s="274"/>
    </row>
    <row r="8942" spans="2:13" ht="15" customHeight="1" x14ac:dyDescent="0.25">
      <c r="B8942" s="289">
        <v>6864</v>
      </c>
      <c r="C8942" s="261">
        <v>107</v>
      </c>
      <c r="D8942" s="244" t="s">
        <v>11</v>
      </c>
      <c r="E8942" s="263">
        <v>2</v>
      </c>
      <c r="F8942" s="294" t="s">
        <v>233</v>
      </c>
      <c r="G8942" s="294" t="s">
        <v>126</v>
      </c>
      <c r="H8942" s="298">
        <v>1</v>
      </c>
      <c r="M8942" s="274"/>
    </row>
    <row r="8943" spans="2:13" ht="15" customHeight="1" x14ac:dyDescent="0.25">
      <c r="B8943" s="289">
        <v>6865</v>
      </c>
      <c r="C8943" s="261">
        <v>105</v>
      </c>
      <c r="D8943" s="244" t="s">
        <v>12</v>
      </c>
      <c r="E8943" s="263">
        <v>2</v>
      </c>
      <c r="F8943" s="294" t="s">
        <v>126</v>
      </c>
      <c r="G8943" s="294" t="s">
        <v>789</v>
      </c>
      <c r="H8943" s="298">
        <v>1</v>
      </c>
      <c r="M8943" s="274"/>
    </row>
    <row r="8944" spans="2:13" ht="15" customHeight="1" x14ac:dyDescent="0.25">
      <c r="B8944" s="289">
        <v>6866</v>
      </c>
      <c r="C8944" s="261">
        <v>107</v>
      </c>
      <c r="D8944" s="244" t="s">
        <v>12</v>
      </c>
      <c r="E8944" s="263">
        <v>5</v>
      </c>
      <c r="F8944" s="294" t="s">
        <v>126</v>
      </c>
      <c r="G8944" s="294" t="s">
        <v>1634</v>
      </c>
      <c r="H8944" s="298">
        <v>1</v>
      </c>
      <c r="M8944" s="274"/>
    </row>
    <row r="8945" spans="2:13" ht="15" customHeight="1" x14ac:dyDescent="0.25">
      <c r="B8945" s="289">
        <v>6867</v>
      </c>
      <c r="C8945" s="261">
        <v>105</v>
      </c>
      <c r="D8945" s="244" t="s">
        <v>12</v>
      </c>
      <c r="E8945" s="263">
        <v>1</v>
      </c>
      <c r="F8945" s="294" t="s">
        <v>126</v>
      </c>
      <c r="G8945" s="294" t="s">
        <v>437</v>
      </c>
      <c r="H8945" s="298">
        <v>1</v>
      </c>
      <c r="M8945" s="274"/>
    </row>
    <row r="8946" spans="2:13" ht="15" customHeight="1" x14ac:dyDescent="0.25">
      <c r="B8946" s="289">
        <v>6868</v>
      </c>
      <c r="C8946" s="261">
        <v>102</v>
      </c>
      <c r="D8946" s="244" t="s">
        <v>11</v>
      </c>
      <c r="E8946" s="263">
        <v>1</v>
      </c>
      <c r="F8946" s="294" t="s">
        <v>235</v>
      </c>
      <c r="G8946" s="294" t="s">
        <v>126</v>
      </c>
      <c r="H8946" s="298">
        <v>1</v>
      </c>
      <c r="M8946" s="274"/>
    </row>
    <row r="8947" spans="2:13" ht="15" customHeight="1" x14ac:dyDescent="0.25">
      <c r="B8947" s="289">
        <v>6868</v>
      </c>
      <c r="C8947" s="261">
        <v>114</v>
      </c>
      <c r="D8947" s="244" t="s">
        <v>12</v>
      </c>
      <c r="E8947" s="263">
        <v>1</v>
      </c>
      <c r="F8947" s="294" t="s">
        <v>126</v>
      </c>
      <c r="G8947" s="294" t="s">
        <v>437</v>
      </c>
      <c r="H8947" s="298">
        <v>1</v>
      </c>
      <c r="M8947" s="274"/>
    </row>
    <row r="8948" spans="2:13" ht="15" customHeight="1" x14ac:dyDescent="0.25">
      <c r="B8948" s="289">
        <v>6870</v>
      </c>
      <c r="C8948" s="261">
        <v>105</v>
      </c>
      <c r="D8948" s="244" t="s">
        <v>12</v>
      </c>
      <c r="E8948" s="263">
        <v>1</v>
      </c>
      <c r="F8948" s="294" t="s">
        <v>126</v>
      </c>
      <c r="G8948" s="294" t="s">
        <v>437</v>
      </c>
      <c r="H8948" s="298">
        <v>1</v>
      </c>
      <c r="M8948" s="274"/>
    </row>
    <row r="8949" spans="2:13" ht="15" customHeight="1" x14ac:dyDescent="0.25">
      <c r="B8949" s="289">
        <v>6871</v>
      </c>
      <c r="C8949" s="261">
        <v>102</v>
      </c>
      <c r="D8949" s="244" t="s">
        <v>12</v>
      </c>
      <c r="E8949" s="263">
        <v>1</v>
      </c>
      <c r="F8949" s="294" t="s">
        <v>126</v>
      </c>
      <c r="G8949" s="294" t="s">
        <v>437</v>
      </c>
      <c r="H8949" s="298">
        <v>1</v>
      </c>
      <c r="M8949" s="274"/>
    </row>
    <row r="8950" spans="2:13" ht="15" customHeight="1" x14ac:dyDescent="0.25">
      <c r="B8950" s="289">
        <v>6871</v>
      </c>
      <c r="C8950" s="261">
        <v>113</v>
      </c>
      <c r="D8950" s="244" t="s">
        <v>11</v>
      </c>
      <c r="E8950" s="263">
        <v>1</v>
      </c>
      <c r="F8950" s="294" t="s">
        <v>139</v>
      </c>
      <c r="G8950" s="294" t="s">
        <v>126</v>
      </c>
      <c r="H8950" s="298">
        <v>1</v>
      </c>
      <c r="M8950" s="274"/>
    </row>
    <row r="8951" spans="2:13" ht="15" customHeight="1" x14ac:dyDescent="0.25">
      <c r="B8951" s="289">
        <v>6872</v>
      </c>
      <c r="C8951" s="261">
        <v>105</v>
      </c>
      <c r="D8951" s="244" t="s">
        <v>12</v>
      </c>
      <c r="E8951" s="263">
        <v>1</v>
      </c>
      <c r="F8951" s="294" t="s">
        <v>126</v>
      </c>
      <c r="G8951" s="294" t="s">
        <v>437</v>
      </c>
      <c r="H8951" s="298">
        <v>1</v>
      </c>
      <c r="M8951" s="274"/>
    </row>
    <row r="8952" spans="2:13" ht="15" customHeight="1" x14ac:dyDescent="0.25">
      <c r="B8952" s="289">
        <v>6873</v>
      </c>
      <c r="C8952" s="261">
        <v>105</v>
      </c>
      <c r="D8952" s="244" t="s">
        <v>12</v>
      </c>
      <c r="E8952" s="263">
        <v>1</v>
      </c>
      <c r="F8952" s="294" t="s">
        <v>126</v>
      </c>
      <c r="G8952" s="294" t="s">
        <v>437</v>
      </c>
      <c r="H8952" s="298">
        <v>1</v>
      </c>
      <c r="M8952" s="274"/>
    </row>
    <row r="8953" spans="2:13" ht="15" customHeight="1" x14ac:dyDescent="0.25">
      <c r="B8953" s="289">
        <v>6874</v>
      </c>
      <c r="C8953" s="261">
        <v>105</v>
      </c>
      <c r="D8953" s="244" t="s">
        <v>12</v>
      </c>
      <c r="E8953" s="263">
        <v>16</v>
      </c>
      <c r="F8953" s="294" t="s">
        <v>126</v>
      </c>
      <c r="G8953" s="294" t="s">
        <v>1635</v>
      </c>
      <c r="H8953" s="298">
        <v>1</v>
      </c>
      <c r="M8953" s="274"/>
    </row>
    <row r="8954" spans="2:13" ht="15" customHeight="1" x14ac:dyDescent="0.25">
      <c r="B8954" s="289">
        <v>6875</v>
      </c>
      <c r="C8954" s="261">
        <v>106</v>
      </c>
      <c r="D8954" s="244" t="s">
        <v>11</v>
      </c>
      <c r="E8954" s="263">
        <v>1</v>
      </c>
      <c r="F8954" s="294" t="s">
        <v>426</v>
      </c>
      <c r="G8954" s="294" t="s">
        <v>126</v>
      </c>
      <c r="H8954" s="298">
        <v>1</v>
      </c>
      <c r="M8954" s="274"/>
    </row>
    <row r="8955" spans="2:13" ht="15" customHeight="1" x14ac:dyDescent="0.25">
      <c r="B8955" s="289">
        <v>6877</v>
      </c>
      <c r="C8955" s="261">
        <v>103</v>
      </c>
      <c r="D8955" s="244" t="s">
        <v>11</v>
      </c>
      <c r="E8955" s="263">
        <v>4</v>
      </c>
      <c r="F8955" s="294" t="s">
        <v>1471</v>
      </c>
      <c r="G8955" s="294" t="s">
        <v>126</v>
      </c>
      <c r="H8955" s="298">
        <v>1</v>
      </c>
      <c r="M8955" s="274"/>
    </row>
    <row r="8956" spans="2:13" ht="15" customHeight="1" x14ac:dyDescent="0.25">
      <c r="B8956" s="289">
        <v>6877</v>
      </c>
      <c r="C8956" s="261">
        <v>114</v>
      </c>
      <c r="D8956" s="244" t="s">
        <v>12</v>
      </c>
      <c r="E8956" s="263">
        <v>4</v>
      </c>
      <c r="F8956" s="294" t="s">
        <v>126</v>
      </c>
      <c r="G8956" s="294" t="s">
        <v>1603</v>
      </c>
      <c r="H8956" s="298">
        <v>1</v>
      </c>
      <c r="M8956" s="274"/>
    </row>
    <row r="8957" spans="2:13" ht="15" customHeight="1" x14ac:dyDescent="0.25">
      <c r="B8957" s="289">
        <v>6878</v>
      </c>
      <c r="C8957" s="261">
        <v>105</v>
      </c>
      <c r="D8957" s="244" t="s">
        <v>12</v>
      </c>
      <c r="E8957" s="263">
        <v>4</v>
      </c>
      <c r="F8957" s="294" t="s">
        <v>126</v>
      </c>
      <c r="G8957" s="294" t="s">
        <v>1636</v>
      </c>
      <c r="H8957" s="298">
        <v>1</v>
      </c>
      <c r="M8957" s="274"/>
    </row>
    <row r="8958" spans="2:13" ht="15" customHeight="1" x14ac:dyDescent="0.25">
      <c r="B8958" s="289">
        <v>6879</v>
      </c>
      <c r="C8958" s="261">
        <v>105</v>
      </c>
      <c r="D8958" s="244" t="s">
        <v>12</v>
      </c>
      <c r="E8958" s="263">
        <v>21</v>
      </c>
      <c r="F8958" s="294" t="s">
        <v>126</v>
      </c>
      <c r="G8958" s="294" t="s">
        <v>1637</v>
      </c>
      <c r="H8958" s="298">
        <v>1</v>
      </c>
      <c r="M8958" s="274"/>
    </row>
    <row r="8959" spans="2:13" ht="15" customHeight="1" x14ac:dyDescent="0.25">
      <c r="B8959" s="289">
        <v>6879</v>
      </c>
      <c r="C8959" s="261">
        <v>121</v>
      </c>
      <c r="D8959" s="244" t="s">
        <v>12</v>
      </c>
      <c r="E8959" s="263">
        <v>8</v>
      </c>
      <c r="F8959" s="294" t="s">
        <v>126</v>
      </c>
      <c r="G8959" s="294" t="s">
        <v>1638</v>
      </c>
      <c r="H8959" s="298">
        <v>1</v>
      </c>
      <c r="M8959" s="274"/>
    </row>
    <row r="8960" spans="2:13" ht="15" customHeight="1" x14ac:dyDescent="0.25">
      <c r="B8960" s="289">
        <v>6880</v>
      </c>
      <c r="C8960" s="261">
        <v>107</v>
      </c>
      <c r="D8960" s="244" t="s">
        <v>11</v>
      </c>
      <c r="E8960" s="263">
        <v>3</v>
      </c>
      <c r="F8960" s="294" t="s">
        <v>863</v>
      </c>
      <c r="G8960" s="294" t="s">
        <v>126</v>
      </c>
      <c r="H8960" s="298">
        <v>1</v>
      </c>
      <c r="M8960" s="274"/>
    </row>
    <row r="8961" spans="2:13" ht="15" customHeight="1" x14ac:dyDescent="0.25">
      <c r="B8961" s="289">
        <v>6881</v>
      </c>
      <c r="C8961" s="261">
        <v>105</v>
      </c>
      <c r="D8961" s="244" t="s">
        <v>12</v>
      </c>
      <c r="E8961" s="263">
        <v>1</v>
      </c>
      <c r="F8961" s="294" t="s">
        <v>126</v>
      </c>
      <c r="G8961" s="294" t="s">
        <v>437</v>
      </c>
      <c r="H8961" s="298">
        <v>1</v>
      </c>
      <c r="M8961" s="274"/>
    </row>
    <row r="8962" spans="2:13" ht="15" customHeight="1" x14ac:dyDescent="0.25">
      <c r="B8962" s="289">
        <v>6882</v>
      </c>
      <c r="C8962" s="261">
        <v>105</v>
      </c>
      <c r="D8962" s="244" t="s">
        <v>11</v>
      </c>
      <c r="E8962" s="263">
        <v>6</v>
      </c>
      <c r="F8962" s="294" t="s">
        <v>1546</v>
      </c>
      <c r="G8962" s="294" t="s">
        <v>126</v>
      </c>
      <c r="H8962" s="298">
        <v>1</v>
      </c>
      <c r="M8962" s="274"/>
    </row>
    <row r="8963" spans="2:13" ht="15" customHeight="1" x14ac:dyDescent="0.25">
      <c r="B8963" s="289">
        <v>6883</v>
      </c>
      <c r="C8963" s="261">
        <v>102</v>
      </c>
      <c r="D8963" s="244" t="s">
        <v>12</v>
      </c>
      <c r="E8963" s="263">
        <v>1</v>
      </c>
      <c r="F8963" s="294" t="s">
        <v>126</v>
      </c>
      <c r="G8963" s="294" t="s">
        <v>139</v>
      </c>
      <c r="H8963" s="298">
        <v>1</v>
      </c>
      <c r="M8963" s="274"/>
    </row>
    <row r="8964" spans="2:13" ht="15" customHeight="1" x14ac:dyDescent="0.25">
      <c r="B8964" s="289">
        <v>6884</v>
      </c>
      <c r="C8964" s="261">
        <v>105</v>
      </c>
      <c r="D8964" s="244" t="s">
        <v>12</v>
      </c>
      <c r="E8964" s="263">
        <v>1</v>
      </c>
      <c r="F8964" s="294" t="s">
        <v>126</v>
      </c>
      <c r="G8964" s="294" t="s">
        <v>437</v>
      </c>
      <c r="H8964" s="298">
        <v>1</v>
      </c>
      <c r="M8964" s="274"/>
    </row>
    <row r="8965" spans="2:13" ht="15" customHeight="1" x14ac:dyDescent="0.25">
      <c r="B8965" s="289">
        <v>6885</v>
      </c>
      <c r="C8965" s="261">
        <v>102</v>
      </c>
      <c r="D8965" s="244" t="s">
        <v>12</v>
      </c>
      <c r="E8965" s="263">
        <v>1</v>
      </c>
      <c r="F8965" s="294" t="s">
        <v>126</v>
      </c>
      <c r="G8965" s="294" t="s">
        <v>139</v>
      </c>
      <c r="H8965" s="298">
        <v>1</v>
      </c>
      <c r="M8965" s="274"/>
    </row>
    <row r="8966" spans="2:13" ht="15" customHeight="1" x14ac:dyDescent="0.25">
      <c r="B8966" s="289">
        <v>6885</v>
      </c>
      <c r="C8966" s="261">
        <v>105</v>
      </c>
      <c r="D8966" s="244" t="s">
        <v>12</v>
      </c>
      <c r="E8966" s="263">
        <v>17</v>
      </c>
      <c r="F8966" s="294" t="s">
        <v>126</v>
      </c>
      <c r="G8966" s="294" t="s">
        <v>1639</v>
      </c>
      <c r="H8966" s="298">
        <v>1</v>
      </c>
      <c r="M8966" s="274"/>
    </row>
    <row r="8967" spans="2:13" ht="15" customHeight="1" x14ac:dyDescent="0.25">
      <c r="B8967" s="289">
        <v>6886</v>
      </c>
      <c r="C8967" s="261">
        <v>102</v>
      </c>
      <c r="D8967" s="244" t="s">
        <v>11</v>
      </c>
      <c r="E8967" s="263">
        <v>1</v>
      </c>
      <c r="F8967" s="294" t="s">
        <v>235</v>
      </c>
      <c r="G8967" s="294" t="s">
        <v>126</v>
      </c>
      <c r="H8967" s="298">
        <v>1</v>
      </c>
      <c r="M8967" s="274"/>
    </row>
    <row r="8968" spans="2:13" ht="15" customHeight="1" x14ac:dyDescent="0.25">
      <c r="B8968" s="289">
        <v>6886</v>
      </c>
      <c r="C8968" s="261">
        <v>114</v>
      </c>
      <c r="D8968" s="244" t="s">
        <v>12</v>
      </c>
      <c r="E8968" s="263">
        <v>1</v>
      </c>
      <c r="F8968" s="294" t="s">
        <v>126</v>
      </c>
      <c r="G8968" s="294" t="s">
        <v>437</v>
      </c>
      <c r="H8968" s="298">
        <v>1</v>
      </c>
      <c r="M8968" s="274"/>
    </row>
    <row r="8969" spans="2:13" ht="15" customHeight="1" x14ac:dyDescent="0.25">
      <c r="B8969" s="289">
        <v>6887</v>
      </c>
      <c r="C8969" s="261">
        <v>98</v>
      </c>
      <c r="D8969" s="244" t="s">
        <v>11</v>
      </c>
      <c r="E8969" s="263">
        <v>8</v>
      </c>
      <c r="F8969" s="294" t="s">
        <v>1519</v>
      </c>
      <c r="G8969" s="294" t="s">
        <v>126</v>
      </c>
      <c r="H8969" s="298">
        <v>1</v>
      </c>
      <c r="M8969" s="274"/>
    </row>
    <row r="8970" spans="2:13" ht="15" customHeight="1" x14ac:dyDescent="0.25">
      <c r="B8970" s="289">
        <v>6888</v>
      </c>
      <c r="C8970" s="261">
        <v>105</v>
      </c>
      <c r="D8970" s="244" t="s">
        <v>12</v>
      </c>
      <c r="E8970" s="263">
        <v>1</v>
      </c>
      <c r="F8970" s="294" t="s">
        <v>126</v>
      </c>
      <c r="G8970" s="294" t="s">
        <v>437</v>
      </c>
      <c r="H8970" s="298">
        <v>1</v>
      </c>
      <c r="M8970" s="274"/>
    </row>
    <row r="8971" spans="2:13" ht="15" customHeight="1" x14ac:dyDescent="0.25">
      <c r="B8971" s="289">
        <v>6889</v>
      </c>
      <c r="C8971" s="261">
        <v>105</v>
      </c>
      <c r="D8971" s="244" t="s">
        <v>12</v>
      </c>
      <c r="E8971" s="263">
        <v>3</v>
      </c>
      <c r="F8971" s="294" t="s">
        <v>126</v>
      </c>
      <c r="G8971" s="294" t="s">
        <v>1640</v>
      </c>
      <c r="H8971" s="298">
        <v>1</v>
      </c>
      <c r="M8971" s="274"/>
    </row>
    <row r="8972" spans="2:13" ht="15" customHeight="1" x14ac:dyDescent="0.25">
      <c r="B8972" s="289">
        <v>6890</v>
      </c>
      <c r="C8972" s="261">
        <v>102</v>
      </c>
      <c r="D8972" s="244" t="s">
        <v>11</v>
      </c>
      <c r="E8972" s="263">
        <v>3</v>
      </c>
      <c r="F8972" s="294" t="s">
        <v>648</v>
      </c>
      <c r="G8972" s="294" t="s">
        <v>126</v>
      </c>
      <c r="H8972" s="298">
        <v>1</v>
      </c>
      <c r="M8972" s="274"/>
    </row>
    <row r="8973" spans="2:13" ht="15" customHeight="1" x14ac:dyDescent="0.25">
      <c r="B8973" s="289">
        <v>6890</v>
      </c>
      <c r="C8973" s="261">
        <v>114</v>
      </c>
      <c r="D8973" s="244" t="s">
        <v>12</v>
      </c>
      <c r="E8973" s="263">
        <v>2</v>
      </c>
      <c r="F8973" s="294" t="s">
        <v>126</v>
      </c>
      <c r="G8973" s="294" t="s">
        <v>431</v>
      </c>
      <c r="H8973" s="298">
        <v>1</v>
      </c>
      <c r="M8973" s="274"/>
    </row>
    <row r="8974" spans="2:13" ht="15" customHeight="1" x14ac:dyDescent="0.25">
      <c r="B8974" s="289">
        <v>6891</v>
      </c>
      <c r="C8974" s="261">
        <v>103</v>
      </c>
      <c r="D8974" s="244" t="s">
        <v>12</v>
      </c>
      <c r="E8974" s="263">
        <v>8</v>
      </c>
      <c r="F8974" s="294" t="s">
        <v>126</v>
      </c>
      <c r="G8974" s="294" t="s">
        <v>1641</v>
      </c>
      <c r="H8974" s="298">
        <v>1</v>
      </c>
      <c r="M8974" s="274"/>
    </row>
    <row r="8975" spans="2:13" ht="15" customHeight="1" x14ac:dyDescent="0.25">
      <c r="B8975" s="289">
        <v>6891</v>
      </c>
      <c r="C8975" s="261">
        <v>113</v>
      </c>
      <c r="D8975" s="244" t="s">
        <v>12</v>
      </c>
      <c r="E8975" s="263">
        <v>18</v>
      </c>
      <c r="F8975" s="294" t="s">
        <v>126</v>
      </c>
      <c r="G8975" s="294" t="s">
        <v>1642</v>
      </c>
      <c r="H8975" s="298">
        <v>1</v>
      </c>
      <c r="M8975" s="274"/>
    </row>
    <row r="8976" spans="2:13" ht="15" customHeight="1" x14ac:dyDescent="0.25">
      <c r="B8976" s="289">
        <v>6892</v>
      </c>
      <c r="C8976" s="261">
        <v>102</v>
      </c>
      <c r="D8976" s="244" t="s">
        <v>11</v>
      </c>
      <c r="E8976" s="263">
        <v>4</v>
      </c>
      <c r="F8976" s="294" t="s">
        <v>964</v>
      </c>
      <c r="G8976" s="294" t="s">
        <v>126</v>
      </c>
      <c r="H8976" s="298">
        <v>1</v>
      </c>
      <c r="M8976" s="274"/>
    </row>
    <row r="8977" spans="2:13" ht="15" customHeight="1" x14ac:dyDescent="0.25">
      <c r="B8977" s="289">
        <v>6892</v>
      </c>
      <c r="C8977" s="261">
        <v>114</v>
      </c>
      <c r="D8977" s="244" t="s">
        <v>12</v>
      </c>
      <c r="E8977" s="263">
        <v>4</v>
      </c>
      <c r="F8977" s="294" t="s">
        <v>126</v>
      </c>
      <c r="G8977" s="294" t="s">
        <v>1643</v>
      </c>
      <c r="H8977" s="298">
        <v>1</v>
      </c>
      <c r="M8977" s="274"/>
    </row>
    <row r="8978" spans="2:13" ht="15" customHeight="1" x14ac:dyDescent="0.25">
      <c r="B8978" s="289">
        <v>6893</v>
      </c>
      <c r="C8978" s="261">
        <v>108</v>
      </c>
      <c r="D8978" s="244" t="s">
        <v>12</v>
      </c>
      <c r="E8978" s="263">
        <v>1</v>
      </c>
      <c r="F8978" s="294" t="s">
        <v>126</v>
      </c>
      <c r="G8978" s="294" t="s">
        <v>235</v>
      </c>
      <c r="H8978" s="298">
        <v>1</v>
      </c>
      <c r="M8978" s="274"/>
    </row>
    <row r="8979" spans="2:13" ht="15" customHeight="1" x14ac:dyDescent="0.25">
      <c r="B8979" s="289">
        <v>6894</v>
      </c>
      <c r="C8979" s="261">
        <v>105</v>
      </c>
      <c r="D8979" s="244" t="s">
        <v>12</v>
      </c>
      <c r="E8979" s="263">
        <v>2</v>
      </c>
      <c r="F8979" s="294" t="s">
        <v>126</v>
      </c>
      <c r="G8979" s="294" t="s">
        <v>214</v>
      </c>
      <c r="H8979" s="298">
        <v>1</v>
      </c>
      <c r="M8979" s="274"/>
    </row>
    <row r="8980" spans="2:13" ht="15" customHeight="1" x14ac:dyDescent="0.25">
      <c r="B8980" s="289">
        <v>6894</v>
      </c>
      <c r="C8980" s="261">
        <v>112</v>
      </c>
      <c r="D8980" s="244" t="s">
        <v>11</v>
      </c>
      <c r="E8980" s="263">
        <v>2</v>
      </c>
      <c r="F8980" s="294" t="s">
        <v>136</v>
      </c>
      <c r="G8980" s="294" t="s">
        <v>126</v>
      </c>
      <c r="H8980" s="298">
        <v>1</v>
      </c>
      <c r="M8980" s="274"/>
    </row>
    <row r="8981" spans="2:13" ht="15" customHeight="1" x14ac:dyDescent="0.25">
      <c r="B8981" s="289">
        <v>6895</v>
      </c>
      <c r="C8981" s="261">
        <v>105</v>
      </c>
      <c r="D8981" s="244" t="s">
        <v>12</v>
      </c>
      <c r="E8981" s="263">
        <v>1</v>
      </c>
      <c r="F8981" s="294" t="s">
        <v>126</v>
      </c>
      <c r="G8981" s="294" t="s">
        <v>437</v>
      </c>
      <c r="H8981" s="298">
        <v>1</v>
      </c>
      <c r="M8981" s="274"/>
    </row>
    <row r="8982" spans="2:13" ht="15" customHeight="1" x14ac:dyDescent="0.25">
      <c r="B8982" s="289">
        <v>6896</v>
      </c>
      <c r="C8982" s="261">
        <v>105</v>
      </c>
      <c r="D8982" s="244" t="s">
        <v>12</v>
      </c>
      <c r="E8982" s="263">
        <v>1</v>
      </c>
      <c r="F8982" s="294" t="s">
        <v>126</v>
      </c>
      <c r="G8982" s="294" t="s">
        <v>437</v>
      </c>
      <c r="H8982" s="298">
        <v>1</v>
      </c>
      <c r="M8982" s="274"/>
    </row>
    <row r="8983" spans="2:13" ht="15" customHeight="1" x14ac:dyDescent="0.25">
      <c r="B8983" s="289">
        <v>6897</v>
      </c>
      <c r="C8983" s="261">
        <v>105</v>
      </c>
      <c r="D8983" s="244" t="s">
        <v>12</v>
      </c>
      <c r="E8983" s="263">
        <v>1</v>
      </c>
      <c r="F8983" s="294" t="s">
        <v>126</v>
      </c>
      <c r="G8983" s="294" t="s">
        <v>437</v>
      </c>
      <c r="H8983" s="298">
        <v>1</v>
      </c>
      <c r="M8983" s="274"/>
    </row>
    <row r="8984" spans="2:13" ht="15" customHeight="1" x14ac:dyDescent="0.25">
      <c r="B8984" s="289">
        <v>6898</v>
      </c>
      <c r="C8984" s="261">
        <v>96</v>
      </c>
      <c r="D8984" s="244" t="s">
        <v>11</v>
      </c>
      <c r="E8984" s="263">
        <v>16</v>
      </c>
      <c r="F8984" s="294" t="s">
        <v>1512</v>
      </c>
      <c r="G8984" s="294" t="s">
        <v>126</v>
      </c>
      <c r="H8984" s="298">
        <v>1</v>
      </c>
      <c r="M8984" s="274"/>
    </row>
    <row r="8985" spans="2:13" ht="15" customHeight="1" x14ac:dyDescent="0.25">
      <c r="B8985" s="289">
        <v>6899</v>
      </c>
      <c r="C8985" s="261">
        <v>106</v>
      </c>
      <c r="D8985" s="244" t="s">
        <v>11</v>
      </c>
      <c r="E8985" s="263">
        <v>1</v>
      </c>
      <c r="F8985" s="294" t="s">
        <v>426</v>
      </c>
      <c r="G8985" s="294" t="s">
        <v>126</v>
      </c>
      <c r="H8985" s="298">
        <v>1</v>
      </c>
      <c r="M8985" s="274"/>
    </row>
    <row r="8986" spans="2:13" ht="15" customHeight="1" x14ac:dyDescent="0.25">
      <c r="B8986" s="289">
        <v>6900</v>
      </c>
      <c r="C8986" s="261">
        <v>98</v>
      </c>
      <c r="D8986" s="244" t="s">
        <v>11</v>
      </c>
      <c r="E8986" s="263">
        <v>24</v>
      </c>
      <c r="F8986" s="294" t="s">
        <v>1644</v>
      </c>
      <c r="G8986" s="294" t="s">
        <v>126</v>
      </c>
      <c r="H8986" s="298">
        <v>1</v>
      </c>
      <c r="M8986" s="274"/>
    </row>
    <row r="8987" spans="2:13" ht="15" customHeight="1" x14ac:dyDescent="0.25">
      <c r="B8987" s="289">
        <v>6901</v>
      </c>
      <c r="C8987" s="261">
        <v>105</v>
      </c>
      <c r="D8987" s="244" t="s">
        <v>12</v>
      </c>
      <c r="E8987" s="263">
        <v>1</v>
      </c>
      <c r="F8987" s="294" t="s">
        <v>126</v>
      </c>
      <c r="G8987" s="294" t="s">
        <v>437</v>
      </c>
      <c r="H8987" s="298">
        <v>1</v>
      </c>
      <c r="M8987" s="274"/>
    </row>
    <row r="8988" spans="2:13" ht="15" customHeight="1" x14ac:dyDescent="0.25">
      <c r="B8988" s="289">
        <v>6902</v>
      </c>
      <c r="C8988" s="261">
        <v>105</v>
      </c>
      <c r="D8988" s="244" t="s">
        <v>11</v>
      </c>
      <c r="E8988" s="263">
        <v>7</v>
      </c>
      <c r="F8988" s="294" t="s">
        <v>1602</v>
      </c>
      <c r="G8988" s="294" t="s">
        <v>126</v>
      </c>
      <c r="H8988" s="298">
        <v>1</v>
      </c>
      <c r="M8988" s="274"/>
    </row>
    <row r="8989" spans="2:13" ht="15" customHeight="1" x14ac:dyDescent="0.25">
      <c r="B8989" s="289">
        <v>6903</v>
      </c>
      <c r="C8989" s="261">
        <v>105</v>
      </c>
      <c r="D8989" s="244" t="s">
        <v>12</v>
      </c>
      <c r="E8989" s="263">
        <v>1</v>
      </c>
      <c r="F8989" s="294" t="s">
        <v>126</v>
      </c>
      <c r="G8989" s="294" t="s">
        <v>437</v>
      </c>
      <c r="H8989" s="298">
        <v>1</v>
      </c>
      <c r="M8989" s="274"/>
    </row>
    <row r="8990" spans="2:13" ht="15" customHeight="1" x14ac:dyDescent="0.25">
      <c r="B8990" s="289">
        <v>6904</v>
      </c>
      <c r="C8990" s="261">
        <v>102</v>
      </c>
      <c r="D8990" s="244" t="s">
        <v>12</v>
      </c>
      <c r="E8990" s="263">
        <v>1</v>
      </c>
      <c r="F8990" s="294" t="s">
        <v>126</v>
      </c>
      <c r="G8990" s="294" t="s">
        <v>437</v>
      </c>
      <c r="H8990" s="298">
        <v>1</v>
      </c>
      <c r="M8990" s="274"/>
    </row>
    <row r="8991" spans="2:13" ht="15" customHeight="1" x14ac:dyDescent="0.25">
      <c r="B8991" s="289">
        <v>6904</v>
      </c>
      <c r="C8991" s="261">
        <v>110</v>
      </c>
      <c r="D8991" s="244" t="s">
        <v>12</v>
      </c>
      <c r="E8991" s="263">
        <v>1</v>
      </c>
      <c r="F8991" s="294" t="s">
        <v>126</v>
      </c>
      <c r="G8991" s="294" t="s">
        <v>426</v>
      </c>
      <c r="H8991" s="298">
        <v>1</v>
      </c>
      <c r="M8991" s="274"/>
    </row>
    <row r="8992" spans="2:13" ht="15" customHeight="1" x14ac:dyDescent="0.25">
      <c r="B8992" s="289">
        <v>6905</v>
      </c>
      <c r="C8992" s="261">
        <v>105</v>
      </c>
      <c r="D8992" s="244" t="s">
        <v>12</v>
      </c>
      <c r="E8992" s="263">
        <v>2</v>
      </c>
      <c r="F8992" s="294" t="s">
        <v>126</v>
      </c>
      <c r="G8992" s="294" t="s">
        <v>136</v>
      </c>
      <c r="H8992" s="298">
        <v>1</v>
      </c>
      <c r="M8992" s="274"/>
    </row>
    <row r="8993" spans="2:13" ht="15" customHeight="1" x14ac:dyDescent="0.25">
      <c r="B8993" s="289">
        <v>6906</v>
      </c>
      <c r="C8993" s="261">
        <v>105</v>
      </c>
      <c r="D8993" s="244" t="s">
        <v>12</v>
      </c>
      <c r="E8993" s="263">
        <v>1</v>
      </c>
      <c r="F8993" s="294" t="s">
        <v>126</v>
      </c>
      <c r="G8993" s="294" t="s">
        <v>437</v>
      </c>
      <c r="H8993" s="298">
        <v>1</v>
      </c>
      <c r="M8993" s="274"/>
    </row>
    <row r="8994" spans="2:13" ht="15" customHeight="1" x14ac:dyDescent="0.25">
      <c r="B8994" s="289">
        <v>6907</v>
      </c>
      <c r="C8994" s="261">
        <v>105</v>
      </c>
      <c r="D8994" s="244" t="s">
        <v>12</v>
      </c>
      <c r="E8994" s="263">
        <v>2</v>
      </c>
      <c r="F8994" s="294" t="s">
        <v>126</v>
      </c>
      <c r="G8994" s="294" t="s">
        <v>136</v>
      </c>
      <c r="H8994" s="298">
        <v>1</v>
      </c>
      <c r="M8994" s="274"/>
    </row>
    <row r="8995" spans="2:13" ht="15" customHeight="1" x14ac:dyDescent="0.25">
      <c r="B8995" s="289">
        <v>6908</v>
      </c>
      <c r="C8995" s="261">
        <v>105</v>
      </c>
      <c r="D8995" s="244" t="s">
        <v>12</v>
      </c>
      <c r="E8995" s="263">
        <v>1</v>
      </c>
      <c r="F8995" s="294" t="s">
        <v>126</v>
      </c>
      <c r="G8995" s="294" t="s">
        <v>437</v>
      </c>
      <c r="H8995" s="298">
        <v>1</v>
      </c>
      <c r="M8995" s="274"/>
    </row>
    <row r="8996" spans="2:13" ht="15" customHeight="1" x14ac:dyDescent="0.25">
      <c r="B8996" s="289">
        <v>6909</v>
      </c>
      <c r="C8996" s="261">
        <v>105</v>
      </c>
      <c r="D8996" s="244" t="s">
        <v>12</v>
      </c>
      <c r="E8996" s="263">
        <v>1</v>
      </c>
      <c r="F8996" s="294" t="s">
        <v>126</v>
      </c>
      <c r="G8996" s="294" t="s">
        <v>437</v>
      </c>
      <c r="H8996" s="298">
        <v>1</v>
      </c>
      <c r="M8996" s="274"/>
    </row>
    <row r="8997" spans="2:13" ht="15" customHeight="1" x14ac:dyDescent="0.25">
      <c r="B8997" s="289">
        <v>6910</v>
      </c>
      <c r="C8997" s="261">
        <v>102</v>
      </c>
      <c r="D8997" s="244" t="s">
        <v>12</v>
      </c>
      <c r="E8997" s="263">
        <v>1</v>
      </c>
      <c r="F8997" s="294" t="s">
        <v>126</v>
      </c>
      <c r="G8997" s="294" t="s">
        <v>437</v>
      </c>
      <c r="H8997" s="298">
        <v>1</v>
      </c>
      <c r="M8997" s="274"/>
    </row>
    <row r="8998" spans="2:13" ht="15" customHeight="1" x14ac:dyDescent="0.25">
      <c r="B8998" s="289">
        <v>6910</v>
      </c>
      <c r="C8998" s="261">
        <v>105</v>
      </c>
      <c r="D8998" s="244" t="s">
        <v>11</v>
      </c>
      <c r="E8998" s="263">
        <v>3</v>
      </c>
      <c r="F8998" s="294" t="s">
        <v>499</v>
      </c>
      <c r="G8998" s="294" t="s">
        <v>126</v>
      </c>
      <c r="H8998" s="298">
        <v>1</v>
      </c>
      <c r="M8998" s="274"/>
    </row>
    <row r="8999" spans="2:13" ht="15" customHeight="1" x14ac:dyDescent="0.25">
      <c r="B8999" s="289">
        <v>6910</v>
      </c>
      <c r="C8999" s="261">
        <v>114</v>
      </c>
      <c r="D8999" s="244" t="s">
        <v>12</v>
      </c>
      <c r="E8999" s="263">
        <v>2</v>
      </c>
      <c r="F8999" s="294" t="s">
        <v>126</v>
      </c>
      <c r="G8999" s="294" t="s">
        <v>433</v>
      </c>
      <c r="H8999" s="298">
        <v>1</v>
      </c>
      <c r="M8999" s="274"/>
    </row>
    <row r="9000" spans="2:13" ht="15" customHeight="1" x14ac:dyDescent="0.25">
      <c r="B9000" s="289">
        <v>6911</v>
      </c>
      <c r="C9000" s="261">
        <v>107</v>
      </c>
      <c r="D9000" s="244" t="s">
        <v>11</v>
      </c>
      <c r="E9000" s="263">
        <v>3</v>
      </c>
      <c r="F9000" s="294" t="s">
        <v>863</v>
      </c>
      <c r="G9000" s="294" t="s">
        <v>126</v>
      </c>
      <c r="H9000" s="298">
        <v>1</v>
      </c>
      <c r="M9000" s="274"/>
    </row>
    <row r="9001" spans="2:13" ht="15" customHeight="1" x14ac:dyDescent="0.25">
      <c r="B9001" s="289">
        <v>6912</v>
      </c>
      <c r="C9001" s="261">
        <v>105</v>
      </c>
      <c r="D9001" s="244" t="s">
        <v>12</v>
      </c>
      <c r="E9001" s="263">
        <v>1</v>
      </c>
      <c r="F9001" s="294" t="s">
        <v>126</v>
      </c>
      <c r="G9001" s="294" t="s">
        <v>437</v>
      </c>
      <c r="H9001" s="298">
        <v>1</v>
      </c>
      <c r="M9001" s="274"/>
    </row>
    <row r="9002" spans="2:13" ht="15" customHeight="1" x14ac:dyDescent="0.25">
      <c r="B9002" s="289">
        <v>6913</v>
      </c>
      <c r="C9002" s="261">
        <v>105</v>
      </c>
      <c r="D9002" s="244" t="s">
        <v>12</v>
      </c>
      <c r="E9002" s="263">
        <v>1</v>
      </c>
      <c r="F9002" s="294" t="s">
        <v>126</v>
      </c>
      <c r="G9002" s="294" t="s">
        <v>437</v>
      </c>
      <c r="H9002" s="298">
        <v>1</v>
      </c>
      <c r="M9002" s="274"/>
    </row>
    <row r="9003" spans="2:13" ht="15" customHeight="1" x14ac:dyDescent="0.25">
      <c r="B9003" s="289">
        <v>6915</v>
      </c>
      <c r="C9003" s="261">
        <v>106</v>
      </c>
      <c r="D9003" s="244" t="s">
        <v>11</v>
      </c>
      <c r="E9003" s="263">
        <v>2</v>
      </c>
      <c r="F9003" s="294" t="s">
        <v>341</v>
      </c>
      <c r="G9003" s="294" t="s">
        <v>126</v>
      </c>
      <c r="H9003" s="298">
        <v>1</v>
      </c>
      <c r="M9003" s="274"/>
    </row>
    <row r="9004" spans="2:13" ht="15" customHeight="1" x14ac:dyDescent="0.25">
      <c r="B9004" s="289">
        <v>6916</v>
      </c>
      <c r="C9004" s="261">
        <v>106</v>
      </c>
      <c r="D9004" s="244" t="s">
        <v>12</v>
      </c>
      <c r="E9004" s="263">
        <v>1</v>
      </c>
      <c r="F9004" s="294" t="s">
        <v>126</v>
      </c>
      <c r="G9004" s="294" t="s">
        <v>235</v>
      </c>
      <c r="H9004" s="298">
        <v>1</v>
      </c>
      <c r="M9004" s="274"/>
    </row>
    <row r="9005" spans="2:13" ht="15" customHeight="1" x14ac:dyDescent="0.25">
      <c r="B9005" s="289">
        <v>6917</v>
      </c>
      <c r="C9005" s="261">
        <v>105</v>
      </c>
      <c r="D9005" s="244" t="s">
        <v>12</v>
      </c>
      <c r="E9005" s="263">
        <v>1</v>
      </c>
      <c r="F9005" s="294" t="s">
        <v>126</v>
      </c>
      <c r="G9005" s="294" t="s">
        <v>437</v>
      </c>
      <c r="H9005" s="298">
        <v>1</v>
      </c>
      <c r="M9005" s="274"/>
    </row>
    <row r="9006" spans="2:13" ht="15" customHeight="1" x14ac:dyDescent="0.25">
      <c r="B9006" s="289">
        <v>6918</v>
      </c>
      <c r="C9006" s="261">
        <v>105</v>
      </c>
      <c r="D9006" s="244" t="s">
        <v>12</v>
      </c>
      <c r="E9006" s="263">
        <v>1</v>
      </c>
      <c r="F9006" s="294" t="s">
        <v>126</v>
      </c>
      <c r="G9006" s="294" t="s">
        <v>437</v>
      </c>
      <c r="H9006" s="298">
        <v>1</v>
      </c>
      <c r="M9006" s="274"/>
    </row>
    <row r="9007" spans="2:13" ht="15" customHeight="1" x14ac:dyDescent="0.25">
      <c r="B9007" s="289">
        <v>6920</v>
      </c>
      <c r="C9007" s="261">
        <v>105</v>
      </c>
      <c r="D9007" s="244" t="s">
        <v>12</v>
      </c>
      <c r="E9007" s="263">
        <v>1</v>
      </c>
      <c r="F9007" s="294" t="s">
        <v>126</v>
      </c>
      <c r="G9007" s="294" t="s">
        <v>139</v>
      </c>
      <c r="H9007" s="298">
        <v>1</v>
      </c>
      <c r="M9007" s="274"/>
    </row>
    <row r="9008" spans="2:13" ht="15" customHeight="1" x14ac:dyDescent="0.25">
      <c r="B9008" s="289">
        <v>6921</v>
      </c>
      <c r="C9008" s="261">
        <v>105</v>
      </c>
      <c r="D9008" s="244" t="s">
        <v>12</v>
      </c>
      <c r="E9008" s="263">
        <v>8</v>
      </c>
      <c r="F9008" s="294" t="s">
        <v>126</v>
      </c>
      <c r="G9008" s="294" t="s">
        <v>1645</v>
      </c>
      <c r="H9008" s="298">
        <v>1</v>
      </c>
      <c r="M9008" s="274"/>
    </row>
    <row r="9009" spans="2:13" ht="15" customHeight="1" x14ac:dyDescent="0.25">
      <c r="B9009" s="289">
        <v>6922</v>
      </c>
      <c r="C9009" s="261">
        <v>102</v>
      </c>
      <c r="D9009" s="244" t="s">
        <v>11</v>
      </c>
      <c r="E9009" s="263">
        <v>1</v>
      </c>
      <c r="F9009" s="294" t="s">
        <v>235</v>
      </c>
      <c r="G9009" s="294" t="s">
        <v>126</v>
      </c>
      <c r="H9009" s="298">
        <v>1</v>
      </c>
      <c r="M9009" s="274"/>
    </row>
    <row r="9010" spans="2:13" ht="15" customHeight="1" x14ac:dyDescent="0.25">
      <c r="B9010" s="289">
        <v>6922</v>
      </c>
      <c r="C9010" s="261">
        <v>105</v>
      </c>
      <c r="D9010" s="244" t="s">
        <v>12</v>
      </c>
      <c r="E9010" s="263">
        <v>40</v>
      </c>
      <c r="F9010" s="294" t="s">
        <v>126</v>
      </c>
      <c r="G9010" s="294" t="s">
        <v>1646</v>
      </c>
      <c r="H9010" s="298">
        <v>1</v>
      </c>
      <c r="M9010" s="274"/>
    </row>
    <row r="9011" spans="2:13" ht="15" customHeight="1" x14ac:dyDescent="0.25">
      <c r="B9011" s="289">
        <v>6923</v>
      </c>
      <c r="C9011" s="261">
        <v>105</v>
      </c>
      <c r="D9011" s="244" t="s">
        <v>12</v>
      </c>
      <c r="E9011" s="263">
        <v>2</v>
      </c>
      <c r="F9011" s="294" t="s">
        <v>126</v>
      </c>
      <c r="G9011" s="294" t="s">
        <v>233</v>
      </c>
      <c r="H9011" s="298">
        <v>1</v>
      </c>
      <c r="M9011" s="274"/>
    </row>
    <row r="9012" spans="2:13" ht="15" customHeight="1" x14ac:dyDescent="0.25">
      <c r="B9012" s="289">
        <v>6923</v>
      </c>
      <c r="C9012" s="261">
        <v>112</v>
      </c>
      <c r="D9012" s="244" t="s">
        <v>11</v>
      </c>
      <c r="E9012" s="263">
        <v>2</v>
      </c>
      <c r="F9012" s="294" t="s">
        <v>136</v>
      </c>
      <c r="G9012" s="294" t="s">
        <v>126</v>
      </c>
      <c r="H9012" s="298">
        <v>1</v>
      </c>
      <c r="M9012" s="274"/>
    </row>
    <row r="9013" spans="2:13" ht="15" customHeight="1" x14ac:dyDescent="0.25">
      <c r="B9013" s="289">
        <v>6924</v>
      </c>
      <c r="C9013" s="261">
        <v>102</v>
      </c>
      <c r="D9013" s="244" t="s">
        <v>12</v>
      </c>
      <c r="E9013" s="263">
        <v>5</v>
      </c>
      <c r="F9013" s="294" t="s">
        <v>126</v>
      </c>
      <c r="G9013" s="294" t="s">
        <v>1507</v>
      </c>
      <c r="H9013" s="298">
        <v>1</v>
      </c>
      <c r="M9013" s="274"/>
    </row>
    <row r="9014" spans="2:13" ht="15" customHeight="1" x14ac:dyDescent="0.25">
      <c r="B9014" s="289">
        <v>6924</v>
      </c>
      <c r="C9014" s="261">
        <v>110</v>
      </c>
      <c r="D9014" s="244" t="s">
        <v>11</v>
      </c>
      <c r="E9014" s="263">
        <v>5</v>
      </c>
      <c r="F9014" s="294" t="s">
        <v>595</v>
      </c>
      <c r="G9014" s="294" t="s">
        <v>126</v>
      </c>
      <c r="H9014" s="298">
        <v>1</v>
      </c>
      <c r="M9014" s="274"/>
    </row>
    <row r="9015" spans="2:13" ht="15" customHeight="1" x14ac:dyDescent="0.25">
      <c r="B9015" s="289">
        <v>6925</v>
      </c>
      <c r="C9015" s="261">
        <v>105</v>
      </c>
      <c r="D9015" s="244" t="s">
        <v>12</v>
      </c>
      <c r="E9015" s="263">
        <v>1</v>
      </c>
      <c r="F9015" s="294" t="s">
        <v>126</v>
      </c>
      <c r="G9015" s="294" t="s">
        <v>139</v>
      </c>
      <c r="H9015" s="298">
        <v>1</v>
      </c>
      <c r="M9015" s="274"/>
    </row>
    <row r="9016" spans="2:13" ht="15" customHeight="1" x14ac:dyDescent="0.25">
      <c r="B9016" s="289">
        <v>6925</v>
      </c>
      <c r="C9016" s="261">
        <v>113</v>
      </c>
      <c r="D9016" s="244" t="s">
        <v>11</v>
      </c>
      <c r="E9016" s="263">
        <v>1</v>
      </c>
      <c r="F9016" s="294" t="s">
        <v>139</v>
      </c>
      <c r="G9016" s="294" t="s">
        <v>126</v>
      </c>
      <c r="H9016" s="298">
        <v>1</v>
      </c>
      <c r="M9016" s="274"/>
    </row>
    <row r="9017" spans="2:13" ht="15" customHeight="1" x14ac:dyDescent="0.25">
      <c r="B9017" s="289">
        <v>6926</v>
      </c>
      <c r="C9017" s="261">
        <v>107</v>
      </c>
      <c r="D9017" s="244" t="s">
        <v>11</v>
      </c>
      <c r="E9017" s="263">
        <v>3</v>
      </c>
      <c r="F9017" s="294" t="s">
        <v>863</v>
      </c>
      <c r="G9017" s="294" t="s">
        <v>126</v>
      </c>
      <c r="H9017" s="298">
        <v>1</v>
      </c>
      <c r="M9017" s="274"/>
    </row>
    <row r="9018" spans="2:13" ht="15" customHeight="1" x14ac:dyDescent="0.25">
      <c r="B9018" s="289">
        <v>6927</v>
      </c>
      <c r="C9018" s="261">
        <v>106</v>
      </c>
      <c r="D9018" s="244" t="s">
        <v>11</v>
      </c>
      <c r="E9018" s="263">
        <v>2</v>
      </c>
      <c r="F9018" s="294" t="s">
        <v>341</v>
      </c>
      <c r="G9018" s="294" t="s">
        <v>126</v>
      </c>
      <c r="H9018" s="298">
        <v>1</v>
      </c>
      <c r="M9018" s="274"/>
    </row>
    <row r="9019" spans="2:13" ht="15" customHeight="1" x14ac:dyDescent="0.25">
      <c r="B9019" s="289">
        <v>6928</v>
      </c>
      <c r="C9019" s="261">
        <v>102</v>
      </c>
      <c r="D9019" s="244" t="s">
        <v>12</v>
      </c>
      <c r="E9019" s="263">
        <v>1</v>
      </c>
      <c r="F9019" s="294" t="s">
        <v>126</v>
      </c>
      <c r="G9019" s="294" t="s">
        <v>139</v>
      </c>
      <c r="H9019" s="298">
        <v>1</v>
      </c>
      <c r="M9019" s="274"/>
    </row>
    <row r="9020" spans="2:13" ht="15" customHeight="1" x14ac:dyDescent="0.25">
      <c r="B9020" s="289">
        <v>6928</v>
      </c>
      <c r="C9020" s="261">
        <v>105</v>
      </c>
      <c r="D9020" s="244" t="s">
        <v>11</v>
      </c>
      <c r="E9020" s="263">
        <v>10</v>
      </c>
      <c r="F9020" s="294" t="s">
        <v>1647</v>
      </c>
      <c r="G9020" s="294" t="s">
        <v>126</v>
      </c>
      <c r="H9020" s="298">
        <v>1</v>
      </c>
      <c r="M9020" s="274"/>
    </row>
    <row r="9021" spans="2:13" ht="15" customHeight="1" x14ac:dyDescent="0.25">
      <c r="B9021" s="289">
        <v>6929</v>
      </c>
      <c r="C9021" s="261">
        <v>105</v>
      </c>
      <c r="D9021" s="244" t="s">
        <v>12</v>
      </c>
      <c r="E9021" s="263">
        <v>1</v>
      </c>
      <c r="F9021" s="294" t="s">
        <v>126</v>
      </c>
      <c r="G9021" s="294" t="s">
        <v>139</v>
      </c>
      <c r="H9021" s="298">
        <v>1</v>
      </c>
      <c r="M9021" s="274"/>
    </row>
    <row r="9022" spans="2:13" ht="15" customHeight="1" x14ac:dyDescent="0.25">
      <c r="B9022" s="289">
        <v>6930</v>
      </c>
      <c r="C9022" s="261">
        <v>106</v>
      </c>
      <c r="D9022" s="244" t="s">
        <v>11</v>
      </c>
      <c r="E9022" s="263">
        <v>5</v>
      </c>
      <c r="F9022" s="294" t="s">
        <v>1563</v>
      </c>
      <c r="G9022" s="294" t="s">
        <v>126</v>
      </c>
      <c r="H9022" s="298">
        <v>1</v>
      </c>
      <c r="M9022" s="274"/>
    </row>
    <row r="9023" spans="2:13" ht="15" customHeight="1" x14ac:dyDescent="0.25">
      <c r="B9023" s="289">
        <v>6931</v>
      </c>
      <c r="C9023" s="261">
        <v>107</v>
      </c>
      <c r="D9023" s="244" t="s">
        <v>11</v>
      </c>
      <c r="E9023" s="263">
        <v>30</v>
      </c>
      <c r="F9023" s="294" t="s">
        <v>1466</v>
      </c>
      <c r="G9023" s="294" t="s">
        <v>126</v>
      </c>
      <c r="H9023" s="298">
        <v>1</v>
      </c>
      <c r="M9023" s="274"/>
    </row>
    <row r="9024" spans="2:13" ht="15" customHeight="1" x14ac:dyDescent="0.25">
      <c r="B9024" s="289">
        <v>6932</v>
      </c>
      <c r="C9024" s="261">
        <v>107</v>
      </c>
      <c r="D9024" s="244" t="s">
        <v>11</v>
      </c>
      <c r="E9024" s="263">
        <v>3</v>
      </c>
      <c r="F9024" s="294" t="s">
        <v>863</v>
      </c>
      <c r="G9024" s="294" t="s">
        <v>126</v>
      </c>
      <c r="H9024" s="298">
        <v>1</v>
      </c>
      <c r="M9024" s="274"/>
    </row>
    <row r="9025" spans="2:13" ht="15" customHeight="1" x14ac:dyDescent="0.25">
      <c r="B9025" s="289">
        <v>6933</v>
      </c>
      <c r="C9025" s="261">
        <v>102</v>
      </c>
      <c r="D9025" s="244" t="s">
        <v>11</v>
      </c>
      <c r="E9025" s="263">
        <v>3</v>
      </c>
      <c r="F9025" s="294" t="s">
        <v>648</v>
      </c>
      <c r="G9025" s="294" t="s">
        <v>126</v>
      </c>
      <c r="H9025" s="298">
        <v>1</v>
      </c>
      <c r="M9025" s="274"/>
    </row>
    <row r="9026" spans="2:13" ht="15" customHeight="1" x14ac:dyDescent="0.25">
      <c r="B9026" s="289">
        <v>6933</v>
      </c>
      <c r="C9026" s="261">
        <v>114</v>
      </c>
      <c r="D9026" s="244" t="s">
        <v>12</v>
      </c>
      <c r="E9026" s="263">
        <v>3</v>
      </c>
      <c r="F9026" s="294" t="s">
        <v>126</v>
      </c>
      <c r="G9026" s="294" t="s">
        <v>269</v>
      </c>
      <c r="H9026" s="298">
        <v>1</v>
      </c>
      <c r="M9026" s="274"/>
    </row>
    <row r="9027" spans="2:13" ht="15" customHeight="1" x14ac:dyDescent="0.25">
      <c r="B9027" s="289">
        <v>6934</v>
      </c>
      <c r="C9027" s="261">
        <v>108</v>
      </c>
      <c r="D9027" s="244" t="s">
        <v>11</v>
      </c>
      <c r="E9027" s="263">
        <v>1</v>
      </c>
      <c r="F9027" s="294" t="s">
        <v>139</v>
      </c>
      <c r="G9027" s="294" t="s">
        <v>126</v>
      </c>
      <c r="H9027" s="298">
        <v>1</v>
      </c>
      <c r="M9027" s="274"/>
    </row>
    <row r="9028" spans="2:13" ht="15" customHeight="1" x14ac:dyDescent="0.25">
      <c r="B9028" s="289">
        <v>6935</v>
      </c>
      <c r="C9028" s="261">
        <v>105</v>
      </c>
      <c r="D9028" s="244" t="s">
        <v>12</v>
      </c>
      <c r="E9028" s="263">
        <v>9</v>
      </c>
      <c r="F9028" s="294" t="s">
        <v>126</v>
      </c>
      <c r="G9028" s="294" t="s">
        <v>1648</v>
      </c>
      <c r="H9028" s="298">
        <v>1</v>
      </c>
      <c r="M9028" s="274"/>
    </row>
    <row r="9029" spans="2:13" ht="15" customHeight="1" x14ac:dyDescent="0.25">
      <c r="B9029" s="289">
        <v>6936</v>
      </c>
      <c r="C9029" s="261">
        <v>102</v>
      </c>
      <c r="D9029" s="244" t="s">
        <v>11</v>
      </c>
      <c r="E9029" s="263">
        <v>1</v>
      </c>
      <c r="F9029" s="294" t="s">
        <v>235</v>
      </c>
      <c r="G9029" s="294" t="s">
        <v>126</v>
      </c>
      <c r="H9029" s="298">
        <v>1</v>
      </c>
      <c r="M9029" s="274"/>
    </row>
    <row r="9030" spans="2:13" ht="15" customHeight="1" x14ac:dyDescent="0.25">
      <c r="B9030" s="289">
        <v>6936</v>
      </c>
      <c r="C9030" s="261">
        <v>114</v>
      </c>
      <c r="D9030" s="244" t="s">
        <v>12</v>
      </c>
      <c r="E9030" s="263">
        <v>1</v>
      </c>
      <c r="F9030" s="294" t="s">
        <v>126</v>
      </c>
      <c r="G9030" s="294" t="s">
        <v>235</v>
      </c>
      <c r="H9030" s="298">
        <v>1</v>
      </c>
      <c r="M9030" s="274"/>
    </row>
    <row r="9031" spans="2:13" ht="15" customHeight="1" x14ac:dyDescent="0.25">
      <c r="B9031" s="289">
        <v>6937</v>
      </c>
      <c r="C9031" s="261">
        <v>107</v>
      </c>
      <c r="D9031" s="244" t="s">
        <v>11</v>
      </c>
      <c r="E9031" s="263">
        <v>2</v>
      </c>
      <c r="F9031" s="294" t="s">
        <v>233</v>
      </c>
      <c r="G9031" s="294" t="s">
        <v>126</v>
      </c>
      <c r="H9031" s="298">
        <v>1</v>
      </c>
      <c r="M9031" s="274"/>
    </row>
    <row r="9032" spans="2:13" ht="15" customHeight="1" x14ac:dyDescent="0.25">
      <c r="B9032" s="289">
        <v>6938</v>
      </c>
      <c r="C9032" s="261">
        <v>105</v>
      </c>
      <c r="D9032" s="244" t="s">
        <v>12</v>
      </c>
      <c r="E9032" s="263">
        <v>21</v>
      </c>
      <c r="F9032" s="294" t="s">
        <v>126</v>
      </c>
      <c r="G9032" s="294" t="s">
        <v>1649</v>
      </c>
      <c r="H9032" s="298">
        <v>1</v>
      </c>
      <c r="M9032" s="274"/>
    </row>
    <row r="9033" spans="2:13" ht="15" customHeight="1" x14ac:dyDescent="0.25">
      <c r="B9033" s="289">
        <v>6939</v>
      </c>
      <c r="C9033" s="261">
        <v>102</v>
      </c>
      <c r="D9033" s="244" t="s">
        <v>11</v>
      </c>
      <c r="E9033" s="263">
        <v>3</v>
      </c>
      <c r="F9033" s="294" t="s">
        <v>648</v>
      </c>
      <c r="G9033" s="294" t="s">
        <v>126</v>
      </c>
      <c r="H9033" s="298">
        <v>1</v>
      </c>
      <c r="M9033" s="274"/>
    </row>
    <row r="9034" spans="2:13" ht="15" customHeight="1" x14ac:dyDescent="0.25">
      <c r="B9034" s="289">
        <v>6939</v>
      </c>
      <c r="C9034" s="261">
        <v>118</v>
      </c>
      <c r="D9034" s="244" t="s">
        <v>12</v>
      </c>
      <c r="E9034" s="263">
        <v>3</v>
      </c>
      <c r="F9034" s="294" t="s">
        <v>126</v>
      </c>
      <c r="G9034" s="294" t="s">
        <v>1479</v>
      </c>
      <c r="H9034" s="298">
        <v>1</v>
      </c>
      <c r="M9034" s="274"/>
    </row>
    <row r="9035" spans="2:13" ht="15" customHeight="1" x14ac:dyDescent="0.25">
      <c r="B9035" s="289">
        <v>6940</v>
      </c>
      <c r="C9035" s="261">
        <v>102</v>
      </c>
      <c r="D9035" s="244" t="s">
        <v>12</v>
      </c>
      <c r="E9035" s="263">
        <v>5</v>
      </c>
      <c r="F9035" s="294" t="s">
        <v>126</v>
      </c>
      <c r="G9035" s="294" t="s">
        <v>1650</v>
      </c>
      <c r="H9035" s="298">
        <v>1</v>
      </c>
      <c r="M9035" s="274"/>
    </row>
    <row r="9036" spans="2:13" ht="15" customHeight="1" x14ac:dyDescent="0.25">
      <c r="B9036" s="289">
        <v>6940</v>
      </c>
      <c r="C9036" s="261">
        <v>111</v>
      </c>
      <c r="D9036" s="244" t="s">
        <v>12</v>
      </c>
      <c r="E9036" s="263">
        <v>3</v>
      </c>
      <c r="F9036" s="294" t="s">
        <v>126</v>
      </c>
      <c r="G9036" s="294" t="s">
        <v>623</v>
      </c>
      <c r="H9036" s="298">
        <v>1</v>
      </c>
      <c r="M9036" s="274"/>
    </row>
    <row r="9037" spans="2:13" ht="15" customHeight="1" x14ac:dyDescent="0.25">
      <c r="B9037" s="289">
        <v>6941</v>
      </c>
      <c r="C9037" s="261">
        <v>113</v>
      </c>
      <c r="D9037" s="244" t="s">
        <v>11</v>
      </c>
      <c r="E9037" s="263">
        <v>1</v>
      </c>
      <c r="F9037" s="294" t="s">
        <v>139</v>
      </c>
      <c r="G9037" s="294" t="s">
        <v>126</v>
      </c>
      <c r="H9037" s="298">
        <v>1</v>
      </c>
      <c r="M9037" s="274"/>
    </row>
    <row r="9038" spans="2:13" ht="15" customHeight="1" x14ac:dyDescent="0.25">
      <c r="B9038" s="289">
        <v>6942</v>
      </c>
      <c r="C9038" s="261">
        <v>106</v>
      </c>
      <c r="D9038" s="244" t="s">
        <v>11</v>
      </c>
      <c r="E9038" s="263">
        <v>10</v>
      </c>
      <c r="F9038" s="294" t="s">
        <v>1651</v>
      </c>
      <c r="G9038" s="294" t="s">
        <v>126</v>
      </c>
      <c r="H9038" s="298">
        <v>1</v>
      </c>
      <c r="M9038" s="274"/>
    </row>
    <row r="9039" spans="2:13" ht="15" customHeight="1" x14ac:dyDescent="0.25">
      <c r="B9039" s="289">
        <v>6943</v>
      </c>
      <c r="C9039" s="261">
        <v>101</v>
      </c>
      <c r="D9039" s="244" t="s">
        <v>11</v>
      </c>
      <c r="E9039" s="263">
        <v>11</v>
      </c>
      <c r="F9039" s="294" t="s">
        <v>1530</v>
      </c>
      <c r="G9039" s="294" t="s">
        <v>126</v>
      </c>
      <c r="H9039" s="298">
        <v>1</v>
      </c>
      <c r="M9039" s="274"/>
    </row>
    <row r="9040" spans="2:13" ht="15" customHeight="1" x14ac:dyDescent="0.25">
      <c r="B9040" s="289">
        <v>6944</v>
      </c>
      <c r="C9040" s="261">
        <v>106</v>
      </c>
      <c r="D9040" s="244" t="s">
        <v>11</v>
      </c>
      <c r="E9040" s="263">
        <v>2</v>
      </c>
      <c r="F9040" s="294" t="s">
        <v>341</v>
      </c>
      <c r="G9040" s="294" t="s">
        <v>126</v>
      </c>
      <c r="H9040" s="298">
        <v>1</v>
      </c>
      <c r="M9040" s="274"/>
    </row>
    <row r="9041" spans="2:13" ht="15" customHeight="1" x14ac:dyDescent="0.25">
      <c r="B9041" s="289">
        <v>6945</v>
      </c>
      <c r="C9041" s="261">
        <v>105</v>
      </c>
      <c r="D9041" s="244" t="s">
        <v>12</v>
      </c>
      <c r="E9041" s="263">
        <v>2</v>
      </c>
      <c r="F9041" s="294" t="s">
        <v>126</v>
      </c>
      <c r="G9041" s="294" t="s">
        <v>233</v>
      </c>
      <c r="H9041" s="298">
        <v>1</v>
      </c>
      <c r="M9041" s="274"/>
    </row>
    <row r="9042" spans="2:13" ht="15" customHeight="1" x14ac:dyDescent="0.25">
      <c r="B9042" s="289">
        <v>6945</v>
      </c>
      <c r="C9042" s="261">
        <v>112</v>
      </c>
      <c r="D9042" s="244" t="s">
        <v>11</v>
      </c>
      <c r="E9042" s="263">
        <v>2</v>
      </c>
      <c r="F9042" s="294" t="s">
        <v>136</v>
      </c>
      <c r="G9042" s="294" t="s">
        <v>126</v>
      </c>
      <c r="H9042" s="298">
        <v>1</v>
      </c>
      <c r="M9042" s="274"/>
    </row>
    <row r="9043" spans="2:13" ht="15" customHeight="1" x14ac:dyDescent="0.25">
      <c r="B9043" s="289">
        <v>6946</v>
      </c>
      <c r="C9043" s="261">
        <v>102</v>
      </c>
      <c r="D9043" s="244" t="s">
        <v>12</v>
      </c>
      <c r="E9043" s="263">
        <v>4</v>
      </c>
      <c r="F9043" s="294" t="s">
        <v>126</v>
      </c>
      <c r="G9043" s="294" t="s">
        <v>1652</v>
      </c>
      <c r="H9043" s="298">
        <v>1</v>
      </c>
      <c r="M9043" s="274"/>
    </row>
    <row r="9044" spans="2:13" ht="15" customHeight="1" x14ac:dyDescent="0.25">
      <c r="B9044" s="289">
        <v>6946</v>
      </c>
      <c r="C9044" s="261">
        <v>105</v>
      </c>
      <c r="D9044" s="244" t="s">
        <v>12</v>
      </c>
      <c r="E9044" s="263">
        <v>8</v>
      </c>
      <c r="F9044" s="294" t="s">
        <v>126</v>
      </c>
      <c r="G9044" s="294" t="s">
        <v>1653</v>
      </c>
      <c r="H9044" s="298">
        <v>1</v>
      </c>
      <c r="M9044" s="274"/>
    </row>
    <row r="9045" spans="2:13" ht="15" customHeight="1" x14ac:dyDescent="0.25">
      <c r="B9045" s="289">
        <v>6947</v>
      </c>
      <c r="C9045" s="261">
        <v>107</v>
      </c>
      <c r="D9045" s="244" t="s">
        <v>11</v>
      </c>
      <c r="E9045" s="263">
        <v>3</v>
      </c>
      <c r="F9045" s="294" t="s">
        <v>863</v>
      </c>
      <c r="G9045" s="294" t="s">
        <v>126</v>
      </c>
      <c r="H9045" s="298">
        <v>1</v>
      </c>
      <c r="M9045" s="274"/>
    </row>
    <row r="9046" spans="2:13" ht="15" customHeight="1" x14ac:dyDescent="0.25">
      <c r="B9046" s="289">
        <v>6949</v>
      </c>
      <c r="C9046" s="261">
        <v>105</v>
      </c>
      <c r="D9046" s="244" t="s">
        <v>11</v>
      </c>
      <c r="E9046" s="263">
        <v>2</v>
      </c>
      <c r="F9046" s="294" t="s">
        <v>441</v>
      </c>
      <c r="G9046" s="294" t="s">
        <v>126</v>
      </c>
      <c r="H9046" s="298">
        <v>1</v>
      </c>
      <c r="M9046" s="274"/>
    </row>
    <row r="9047" spans="2:13" ht="15" customHeight="1" x14ac:dyDescent="0.25">
      <c r="B9047" s="289">
        <v>6949</v>
      </c>
      <c r="C9047" s="261">
        <v>114</v>
      </c>
      <c r="D9047" s="244" t="s">
        <v>12</v>
      </c>
      <c r="E9047" s="263">
        <v>2</v>
      </c>
      <c r="F9047" s="294" t="s">
        <v>126</v>
      </c>
      <c r="G9047" s="294" t="s">
        <v>420</v>
      </c>
      <c r="H9047" s="298">
        <v>1</v>
      </c>
      <c r="M9047" s="274"/>
    </row>
    <row r="9048" spans="2:13" ht="15" customHeight="1" x14ac:dyDescent="0.25">
      <c r="B9048" s="289">
        <v>6950</v>
      </c>
      <c r="C9048" s="261">
        <v>103</v>
      </c>
      <c r="D9048" s="244" t="s">
        <v>12</v>
      </c>
      <c r="E9048" s="263">
        <v>1</v>
      </c>
      <c r="F9048" s="294" t="s">
        <v>126</v>
      </c>
      <c r="G9048" s="294" t="s">
        <v>139</v>
      </c>
      <c r="H9048" s="298">
        <v>1</v>
      </c>
      <c r="M9048" s="274"/>
    </row>
    <row r="9049" spans="2:13" ht="15" customHeight="1" x14ac:dyDescent="0.25">
      <c r="B9049" s="289">
        <v>6950</v>
      </c>
      <c r="C9049" s="261">
        <v>113</v>
      </c>
      <c r="D9049" s="244" t="s">
        <v>11</v>
      </c>
      <c r="E9049" s="263">
        <v>1</v>
      </c>
      <c r="F9049" s="294" t="s">
        <v>139</v>
      </c>
      <c r="G9049" s="294" t="s">
        <v>126</v>
      </c>
      <c r="H9049" s="298">
        <v>1</v>
      </c>
      <c r="M9049" s="274"/>
    </row>
    <row r="9050" spans="2:13" ht="15" customHeight="1" x14ac:dyDescent="0.25">
      <c r="B9050" s="289">
        <v>6951</v>
      </c>
      <c r="C9050" s="261">
        <v>105</v>
      </c>
      <c r="D9050" s="244" t="s">
        <v>11</v>
      </c>
      <c r="E9050" s="263">
        <v>6</v>
      </c>
      <c r="F9050" s="294" t="s">
        <v>1546</v>
      </c>
      <c r="G9050" s="294" t="s">
        <v>126</v>
      </c>
      <c r="H9050" s="298">
        <v>1</v>
      </c>
      <c r="M9050" s="274"/>
    </row>
    <row r="9051" spans="2:13" ht="15" customHeight="1" x14ac:dyDescent="0.25">
      <c r="B9051" s="289">
        <v>6952</v>
      </c>
      <c r="C9051" s="261">
        <v>105</v>
      </c>
      <c r="D9051" s="244" t="s">
        <v>12</v>
      </c>
      <c r="E9051" s="263">
        <v>1</v>
      </c>
      <c r="F9051" s="294" t="s">
        <v>126</v>
      </c>
      <c r="G9051" s="294" t="s">
        <v>437</v>
      </c>
      <c r="H9051" s="298">
        <v>1</v>
      </c>
      <c r="M9051" s="274"/>
    </row>
    <row r="9052" spans="2:13" ht="15" customHeight="1" x14ac:dyDescent="0.25">
      <c r="B9052" s="289">
        <v>6953</v>
      </c>
      <c r="C9052" s="261">
        <v>104</v>
      </c>
      <c r="D9052" s="244" t="s">
        <v>11</v>
      </c>
      <c r="E9052" s="263">
        <v>2</v>
      </c>
      <c r="F9052" s="294" t="s">
        <v>214</v>
      </c>
      <c r="G9052" s="294" t="s">
        <v>126</v>
      </c>
      <c r="H9052" s="298">
        <v>1</v>
      </c>
      <c r="M9052" s="274"/>
    </row>
    <row r="9053" spans="2:13" ht="15" customHeight="1" x14ac:dyDescent="0.25">
      <c r="B9053" s="289">
        <v>6953</v>
      </c>
      <c r="C9053" s="261">
        <v>114</v>
      </c>
      <c r="D9053" s="244" t="s">
        <v>12</v>
      </c>
      <c r="E9053" s="263">
        <v>2</v>
      </c>
      <c r="F9053" s="294" t="s">
        <v>126</v>
      </c>
      <c r="G9053" s="294" t="s">
        <v>214</v>
      </c>
      <c r="H9053" s="298">
        <v>1</v>
      </c>
      <c r="M9053" s="274"/>
    </row>
    <row r="9054" spans="2:13" ht="15" customHeight="1" x14ac:dyDescent="0.25">
      <c r="B9054" s="289">
        <v>6954</v>
      </c>
      <c r="C9054" s="261">
        <v>105</v>
      </c>
      <c r="D9054" s="244" t="s">
        <v>12</v>
      </c>
      <c r="E9054" s="263">
        <v>1</v>
      </c>
      <c r="F9054" s="294" t="s">
        <v>126</v>
      </c>
      <c r="G9054" s="294" t="s">
        <v>437</v>
      </c>
      <c r="H9054" s="298">
        <v>1</v>
      </c>
      <c r="M9054" s="274"/>
    </row>
    <row r="9055" spans="2:13" ht="15" customHeight="1" x14ac:dyDescent="0.25">
      <c r="B9055" s="289">
        <v>6956</v>
      </c>
      <c r="C9055" s="261">
        <v>105</v>
      </c>
      <c r="D9055" s="244" t="s">
        <v>12</v>
      </c>
      <c r="E9055" s="263">
        <v>37</v>
      </c>
      <c r="F9055" s="294" t="s">
        <v>126</v>
      </c>
      <c r="G9055" s="294" t="s">
        <v>1654</v>
      </c>
      <c r="H9055" s="298">
        <v>1</v>
      </c>
      <c r="M9055" s="274"/>
    </row>
    <row r="9056" spans="2:13" ht="15" customHeight="1" x14ac:dyDescent="0.25">
      <c r="B9056" s="289">
        <v>6956</v>
      </c>
      <c r="C9056" s="261">
        <v>114</v>
      </c>
      <c r="D9056" s="244" t="s">
        <v>12</v>
      </c>
      <c r="E9056" s="263">
        <v>3</v>
      </c>
      <c r="F9056" s="294" t="s">
        <v>126</v>
      </c>
      <c r="G9056" s="294" t="s">
        <v>733</v>
      </c>
      <c r="H9056" s="298">
        <v>1</v>
      </c>
      <c r="M9056" s="274"/>
    </row>
    <row r="9057" spans="2:13" ht="15" customHeight="1" x14ac:dyDescent="0.25">
      <c r="B9057" s="289">
        <v>6957</v>
      </c>
      <c r="C9057" s="261">
        <v>105</v>
      </c>
      <c r="D9057" s="244" t="s">
        <v>12</v>
      </c>
      <c r="E9057" s="263">
        <v>5</v>
      </c>
      <c r="F9057" s="294" t="s">
        <v>126</v>
      </c>
      <c r="G9057" s="294" t="s">
        <v>1655</v>
      </c>
      <c r="H9057" s="298">
        <v>1</v>
      </c>
      <c r="M9057" s="274"/>
    </row>
    <row r="9058" spans="2:13" ht="15" customHeight="1" x14ac:dyDescent="0.25">
      <c r="B9058" s="289">
        <v>6959</v>
      </c>
      <c r="C9058" s="261">
        <v>105</v>
      </c>
      <c r="D9058" s="244" t="s">
        <v>12</v>
      </c>
      <c r="E9058" s="263">
        <v>2</v>
      </c>
      <c r="F9058" s="294" t="s">
        <v>126</v>
      </c>
      <c r="G9058" s="294" t="s">
        <v>417</v>
      </c>
      <c r="H9058" s="298">
        <v>1</v>
      </c>
      <c r="M9058" s="274"/>
    </row>
    <row r="9059" spans="2:13" ht="15" customHeight="1" x14ac:dyDescent="0.25">
      <c r="B9059" s="289">
        <v>6960</v>
      </c>
      <c r="C9059" s="261">
        <v>105</v>
      </c>
      <c r="D9059" s="244" t="s">
        <v>12</v>
      </c>
      <c r="E9059" s="263">
        <v>24</v>
      </c>
      <c r="F9059" s="294" t="s">
        <v>126</v>
      </c>
      <c r="G9059" s="294" t="s">
        <v>1656</v>
      </c>
      <c r="H9059" s="298">
        <v>1</v>
      </c>
      <c r="M9059" s="274"/>
    </row>
    <row r="9060" spans="2:13" ht="15" customHeight="1" x14ac:dyDescent="0.25">
      <c r="B9060" s="289">
        <v>6961</v>
      </c>
      <c r="C9060" s="261">
        <v>106</v>
      </c>
      <c r="D9060" s="244" t="s">
        <v>12</v>
      </c>
      <c r="E9060" s="263">
        <v>1</v>
      </c>
      <c r="F9060" s="294" t="s">
        <v>126</v>
      </c>
      <c r="G9060" s="294" t="s">
        <v>139</v>
      </c>
      <c r="H9060" s="298">
        <v>1</v>
      </c>
      <c r="M9060" s="274"/>
    </row>
    <row r="9061" spans="2:13" ht="15" customHeight="1" x14ac:dyDescent="0.25">
      <c r="B9061" s="289">
        <v>6963</v>
      </c>
      <c r="C9061" s="261">
        <v>105</v>
      </c>
      <c r="D9061" s="244" t="s">
        <v>12</v>
      </c>
      <c r="E9061" s="263">
        <v>1</v>
      </c>
      <c r="F9061" s="294" t="s">
        <v>126</v>
      </c>
      <c r="G9061" s="294" t="s">
        <v>437</v>
      </c>
      <c r="H9061" s="298">
        <v>1</v>
      </c>
      <c r="M9061" s="274"/>
    </row>
    <row r="9062" spans="2:13" ht="15" customHeight="1" x14ac:dyDescent="0.25">
      <c r="B9062" s="289">
        <v>6964</v>
      </c>
      <c r="C9062" s="261">
        <v>102</v>
      </c>
      <c r="D9062" s="244" t="s">
        <v>12</v>
      </c>
      <c r="E9062" s="263">
        <v>5</v>
      </c>
      <c r="F9062" s="294" t="s">
        <v>126</v>
      </c>
      <c r="G9062" s="294" t="s">
        <v>1657</v>
      </c>
      <c r="H9062" s="298">
        <v>1</v>
      </c>
      <c r="M9062" s="274"/>
    </row>
    <row r="9063" spans="2:13" ht="15" customHeight="1" x14ac:dyDescent="0.25">
      <c r="B9063" s="289">
        <v>6964</v>
      </c>
      <c r="C9063" s="261">
        <v>110</v>
      </c>
      <c r="D9063" s="244" t="s">
        <v>11</v>
      </c>
      <c r="E9063" s="263">
        <v>5</v>
      </c>
      <c r="F9063" s="294" t="s">
        <v>595</v>
      </c>
      <c r="G9063" s="294" t="s">
        <v>126</v>
      </c>
      <c r="H9063" s="298">
        <v>1</v>
      </c>
      <c r="M9063" s="274"/>
    </row>
    <row r="9064" spans="2:13" ht="15" customHeight="1" x14ac:dyDescent="0.25">
      <c r="B9064" s="289">
        <v>6965</v>
      </c>
      <c r="C9064" s="261">
        <v>102</v>
      </c>
      <c r="D9064" s="244" t="s">
        <v>11</v>
      </c>
      <c r="E9064" s="263">
        <v>1</v>
      </c>
      <c r="F9064" s="294" t="s">
        <v>235</v>
      </c>
      <c r="G9064" s="294" t="s">
        <v>126</v>
      </c>
      <c r="H9064" s="298">
        <v>1</v>
      </c>
      <c r="M9064" s="274"/>
    </row>
    <row r="9065" spans="2:13" ht="15" customHeight="1" x14ac:dyDescent="0.25">
      <c r="B9065" s="289">
        <v>6965</v>
      </c>
      <c r="C9065" s="261">
        <v>114</v>
      </c>
      <c r="D9065" s="244" t="s">
        <v>12</v>
      </c>
      <c r="E9065" s="263">
        <v>1</v>
      </c>
      <c r="F9065" s="294" t="s">
        <v>126</v>
      </c>
      <c r="G9065" s="294" t="s">
        <v>235</v>
      </c>
      <c r="H9065" s="298">
        <v>1</v>
      </c>
      <c r="M9065" s="274"/>
    </row>
    <row r="9066" spans="2:13" ht="15" customHeight="1" x14ac:dyDescent="0.25">
      <c r="B9066" s="289">
        <v>6966</v>
      </c>
      <c r="C9066" s="261">
        <v>106</v>
      </c>
      <c r="D9066" s="244" t="s">
        <v>11</v>
      </c>
      <c r="E9066" s="263">
        <v>1</v>
      </c>
      <c r="F9066" s="294" t="s">
        <v>426</v>
      </c>
      <c r="G9066" s="294" t="s">
        <v>126</v>
      </c>
      <c r="H9066" s="298">
        <v>1</v>
      </c>
      <c r="M9066" s="274"/>
    </row>
    <row r="9067" spans="2:13" ht="15" customHeight="1" x14ac:dyDescent="0.25">
      <c r="B9067" s="289">
        <v>6967</v>
      </c>
      <c r="C9067" s="261">
        <v>105</v>
      </c>
      <c r="D9067" s="244" t="s">
        <v>12</v>
      </c>
      <c r="E9067" s="263">
        <v>1</v>
      </c>
      <c r="F9067" s="294" t="s">
        <v>126</v>
      </c>
      <c r="G9067" s="294" t="s">
        <v>235</v>
      </c>
      <c r="H9067" s="298">
        <v>1</v>
      </c>
      <c r="M9067" s="274"/>
    </row>
    <row r="9068" spans="2:13" ht="15" customHeight="1" x14ac:dyDescent="0.25">
      <c r="B9068" s="289">
        <v>6968</v>
      </c>
      <c r="C9068" s="261">
        <v>105</v>
      </c>
      <c r="D9068" s="244" t="s">
        <v>12</v>
      </c>
      <c r="E9068" s="263">
        <v>1</v>
      </c>
      <c r="F9068" s="294" t="s">
        <v>126</v>
      </c>
      <c r="G9068" s="294" t="s">
        <v>437</v>
      </c>
      <c r="H9068" s="298">
        <v>1</v>
      </c>
      <c r="M9068" s="274"/>
    </row>
    <row r="9069" spans="2:13" ht="15" customHeight="1" x14ac:dyDescent="0.25">
      <c r="B9069" s="289">
        <v>6969</v>
      </c>
      <c r="C9069" s="261">
        <v>105</v>
      </c>
      <c r="D9069" s="244" t="s">
        <v>11</v>
      </c>
      <c r="E9069" s="263">
        <v>2</v>
      </c>
      <c r="F9069" s="294" t="s">
        <v>441</v>
      </c>
      <c r="G9069" s="294" t="s">
        <v>126</v>
      </c>
      <c r="H9069" s="298">
        <v>1</v>
      </c>
      <c r="M9069" s="274"/>
    </row>
    <row r="9070" spans="2:13" ht="15" customHeight="1" x14ac:dyDescent="0.25">
      <c r="B9070" s="289">
        <v>6969</v>
      </c>
      <c r="C9070" s="261">
        <v>114</v>
      </c>
      <c r="D9070" s="244" t="s">
        <v>12</v>
      </c>
      <c r="E9070" s="263">
        <v>2</v>
      </c>
      <c r="F9070" s="294" t="s">
        <v>126</v>
      </c>
      <c r="G9070" s="294" t="s">
        <v>420</v>
      </c>
      <c r="H9070" s="298">
        <v>1</v>
      </c>
      <c r="M9070" s="274"/>
    </row>
    <row r="9071" spans="2:13" ht="15" customHeight="1" x14ac:dyDescent="0.25">
      <c r="B9071" s="289">
        <v>6970</v>
      </c>
      <c r="C9071" s="261">
        <v>95</v>
      </c>
      <c r="D9071" s="244" t="s">
        <v>11</v>
      </c>
      <c r="E9071" s="263">
        <v>10</v>
      </c>
      <c r="F9071" s="294" t="s">
        <v>1658</v>
      </c>
      <c r="G9071" s="294" t="s">
        <v>126</v>
      </c>
      <c r="H9071" s="298">
        <v>1</v>
      </c>
      <c r="M9071" s="274"/>
    </row>
    <row r="9072" spans="2:13" ht="15" customHeight="1" x14ac:dyDescent="0.25">
      <c r="B9072" s="289">
        <v>6971</v>
      </c>
      <c r="C9072" s="261">
        <v>105</v>
      </c>
      <c r="D9072" s="244" t="s">
        <v>12</v>
      </c>
      <c r="E9072" s="263">
        <v>14</v>
      </c>
      <c r="F9072" s="294" t="s">
        <v>126</v>
      </c>
      <c r="G9072" s="294" t="s">
        <v>1659</v>
      </c>
      <c r="H9072" s="298">
        <v>1</v>
      </c>
      <c r="M9072" s="274"/>
    </row>
    <row r="9073" spans="2:13" ht="15" customHeight="1" x14ac:dyDescent="0.25">
      <c r="B9073" s="289">
        <v>6972</v>
      </c>
      <c r="C9073" s="261">
        <v>105</v>
      </c>
      <c r="D9073" s="244" t="s">
        <v>12</v>
      </c>
      <c r="E9073" s="263">
        <v>1</v>
      </c>
      <c r="F9073" s="294" t="s">
        <v>126</v>
      </c>
      <c r="G9073" s="294" t="s">
        <v>437</v>
      </c>
      <c r="H9073" s="298">
        <v>1</v>
      </c>
      <c r="M9073" s="274"/>
    </row>
    <row r="9074" spans="2:13" ht="15" customHeight="1" x14ac:dyDescent="0.25">
      <c r="B9074" s="289">
        <v>6973</v>
      </c>
      <c r="C9074" s="261">
        <v>105</v>
      </c>
      <c r="D9074" s="244" t="s">
        <v>12</v>
      </c>
      <c r="E9074" s="263">
        <v>3</v>
      </c>
      <c r="F9074" s="294" t="s">
        <v>126</v>
      </c>
      <c r="G9074" s="294" t="s">
        <v>1523</v>
      </c>
      <c r="H9074" s="298">
        <v>1</v>
      </c>
      <c r="M9074" s="274"/>
    </row>
    <row r="9075" spans="2:13" ht="15" customHeight="1" x14ac:dyDescent="0.25">
      <c r="B9075" s="289">
        <v>6974</v>
      </c>
      <c r="C9075" s="261">
        <v>105</v>
      </c>
      <c r="D9075" s="244" t="s">
        <v>12</v>
      </c>
      <c r="E9075" s="263">
        <v>1</v>
      </c>
      <c r="F9075" s="294" t="s">
        <v>126</v>
      </c>
      <c r="G9075" s="294" t="s">
        <v>437</v>
      </c>
      <c r="H9075" s="298">
        <v>1</v>
      </c>
      <c r="M9075" s="274"/>
    </row>
    <row r="9076" spans="2:13" ht="15" customHeight="1" x14ac:dyDescent="0.25">
      <c r="B9076" s="289">
        <v>6975</v>
      </c>
      <c r="C9076" s="261">
        <v>105</v>
      </c>
      <c r="D9076" s="244" t="s">
        <v>12</v>
      </c>
      <c r="E9076" s="263">
        <v>18</v>
      </c>
      <c r="F9076" s="294" t="s">
        <v>126</v>
      </c>
      <c r="G9076" s="294" t="s">
        <v>1660</v>
      </c>
      <c r="H9076" s="298">
        <v>1</v>
      </c>
      <c r="M9076" s="274"/>
    </row>
    <row r="9077" spans="2:13" ht="15" customHeight="1" x14ac:dyDescent="0.25">
      <c r="B9077" s="289">
        <v>6975</v>
      </c>
      <c r="C9077" s="261">
        <v>114</v>
      </c>
      <c r="D9077" s="244" t="s">
        <v>12</v>
      </c>
      <c r="E9077" s="263">
        <v>1</v>
      </c>
      <c r="F9077" s="294" t="s">
        <v>126</v>
      </c>
      <c r="G9077" s="294" t="s">
        <v>437</v>
      </c>
      <c r="H9077" s="298">
        <v>1</v>
      </c>
      <c r="M9077" s="274"/>
    </row>
    <row r="9078" spans="2:13" ht="15" customHeight="1" x14ac:dyDescent="0.25">
      <c r="B9078" s="289">
        <v>6976</v>
      </c>
      <c r="C9078" s="261">
        <v>105</v>
      </c>
      <c r="D9078" s="244" t="s">
        <v>12</v>
      </c>
      <c r="E9078" s="263">
        <v>37</v>
      </c>
      <c r="F9078" s="294" t="s">
        <v>126</v>
      </c>
      <c r="G9078" s="294" t="s">
        <v>1661</v>
      </c>
      <c r="H9078" s="298">
        <v>1</v>
      </c>
      <c r="M9078" s="274"/>
    </row>
    <row r="9079" spans="2:13" ht="15" customHeight="1" x14ac:dyDescent="0.25">
      <c r="B9079" s="289">
        <v>6977</v>
      </c>
      <c r="C9079" s="261">
        <v>105</v>
      </c>
      <c r="D9079" s="244" t="s">
        <v>12</v>
      </c>
      <c r="E9079" s="263">
        <v>37</v>
      </c>
      <c r="F9079" s="294" t="s">
        <v>126</v>
      </c>
      <c r="G9079" s="294" t="s">
        <v>1662</v>
      </c>
      <c r="H9079" s="298">
        <v>1</v>
      </c>
      <c r="M9079" s="274"/>
    </row>
    <row r="9080" spans="2:13" ht="15" customHeight="1" x14ac:dyDescent="0.25">
      <c r="B9080" s="289">
        <v>6978</v>
      </c>
      <c r="C9080" s="261">
        <v>105</v>
      </c>
      <c r="D9080" s="244" t="s">
        <v>12</v>
      </c>
      <c r="E9080" s="263">
        <v>37</v>
      </c>
      <c r="F9080" s="294" t="s">
        <v>126</v>
      </c>
      <c r="G9080" s="294" t="s">
        <v>1663</v>
      </c>
      <c r="H9080" s="298">
        <v>1</v>
      </c>
      <c r="M9080" s="274"/>
    </row>
    <row r="9081" spans="2:13" ht="15" customHeight="1" x14ac:dyDescent="0.25">
      <c r="B9081" s="289">
        <v>6979</v>
      </c>
      <c r="C9081" s="261">
        <v>105</v>
      </c>
      <c r="D9081" s="244" t="s">
        <v>12</v>
      </c>
      <c r="E9081" s="263">
        <v>37</v>
      </c>
      <c r="F9081" s="294" t="s">
        <v>126</v>
      </c>
      <c r="G9081" s="294" t="s">
        <v>1662</v>
      </c>
      <c r="H9081" s="298">
        <v>1</v>
      </c>
      <c r="M9081" s="274"/>
    </row>
    <row r="9082" spans="2:13" ht="15" customHeight="1" x14ac:dyDescent="0.25">
      <c r="B9082" s="289">
        <v>6980</v>
      </c>
      <c r="C9082" s="261">
        <v>105</v>
      </c>
      <c r="D9082" s="244" t="s">
        <v>12</v>
      </c>
      <c r="E9082" s="263">
        <v>1</v>
      </c>
      <c r="F9082" s="294" t="s">
        <v>126</v>
      </c>
      <c r="G9082" s="294" t="s">
        <v>437</v>
      </c>
      <c r="H9082" s="298">
        <v>1</v>
      </c>
      <c r="M9082" s="274"/>
    </row>
    <row r="9083" spans="2:13" ht="15" customHeight="1" x14ac:dyDescent="0.25">
      <c r="B9083" s="289">
        <v>6981</v>
      </c>
      <c r="C9083" s="261">
        <v>96</v>
      </c>
      <c r="D9083" s="244" t="s">
        <v>11</v>
      </c>
      <c r="E9083" s="263">
        <v>27</v>
      </c>
      <c r="F9083" s="294" t="s">
        <v>1664</v>
      </c>
      <c r="G9083" s="294" t="s">
        <v>126</v>
      </c>
      <c r="H9083" s="298">
        <v>1</v>
      </c>
      <c r="M9083" s="274"/>
    </row>
    <row r="9084" spans="2:13" ht="15" customHeight="1" x14ac:dyDescent="0.25">
      <c r="B9084" s="289">
        <v>6983</v>
      </c>
      <c r="C9084" s="261">
        <v>106</v>
      </c>
      <c r="D9084" s="244" t="s">
        <v>12</v>
      </c>
      <c r="E9084" s="263">
        <v>1</v>
      </c>
      <c r="F9084" s="294" t="s">
        <v>126</v>
      </c>
      <c r="G9084" s="294" t="s">
        <v>139</v>
      </c>
      <c r="H9084" s="298">
        <v>1</v>
      </c>
      <c r="M9084" s="274"/>
    </row>
    <row r="9085" spans="2:13" ht="15" customHeight="1" x14ac:dyDescent="0.25">
      <c r="B9085" s="289">
        <v>6984</v>
      </c>
      <c r="C9085" s="261">
        <v>94</v>
      </c>
      <c r="D9085" s="244" t="s">
        <v>11</v>
      </c>
      <c r="E9085" s="263">
        <v>35</v>
      </c>
      <c r="F9085" s="294" t="s">
        <v>1665</v>
      </c>
      <c r="G9085" s="294" t="s">
        <v>126</v>
      </c>
      <c r="H9085" s="298">
        <v>1</v>
      </c>
      <c r="M9085" s="274"/>
    </row>
    <row r="9086" spans="2:13" ht="15" customHeight="1" x14ac:dyDescent="0.25">
      <c r="B9086" s="289">
        <v>6985</v>
      </c>
      <c r="C9086" s="261">
        <v>105</v>
      </c>
      <c r="D9086" s="244" t="s">
        <v>12</v>
      </c>
      <c r="E9086" s="263">
        <v>1</v>
      </c>
      <c r="F9086" s="294" t="s">
        <v>126</v>
      </c>
      <c r="G9086" s="294" t="s">
        <v>437</v>
      </c>
      <c r="H9086" s="298">
        <v>1</v>
      </c>
      <c r="M9086" s="274"/>
    </row>
    <row r="9087" spans="2:13" ht="15" customHeight="1" x14ac:dyDescent="0.25">
      <c r="B9087" s="289">
        <v>6987</v>
      </c>
      <c r="C9087" s="261">
        <v>105</v>
      </c>
      <c r="D9087" s="244" t="s">
        <v>12</v>
      </c>
      <c r="E9087" s="263">
        <v>1</v>
      </c>
      <c r="F9087" s="294" t="s">
        <v>126</v>
      </c>
      <c r="G9087" s="294" t="s">
        <v>437</v>
      </c>
      <c r="H9087" s="298">
        <v>1</v>
      </c>
      <c r="M9087" s="274"/>
    </row>
    <row r="9088" spans="2:13" ht="15" customHeight="1" x14ac:dyDescent="0.25">
      <c r="B9088" s="289">
        <v>6988</v>
      </c>
      <c r="C9088" s="261">
        <v>105</v>
      </c>
      <c r="D9088" s="244" t="s">
        <v>12</v>
      </c>
      <c r="E9088" s="263">
        <v>1</v>
      </c>
      <c r="F9088" s="294" t="s">
        <v>126</v>
      </c>
      <c r="G9088" s="294" t="s">
        <v>437</v>
      </c>
      <c r="H9088" s="298">
        <v>1</v>
      </c>
      <c r="M9088" s="274"/>
    </row>
    <row r="9089" spans="2:13" ht="15" customHeight="1" x14ac:dyDescent="0.25">
      <c r="B9089" s="289">
        <v>6989</v>
      </c>
      <c r="C9089" s="261">
        <v>102</v>
      </c>
      <c r="D9089" s="244" t="s">
        <v>11</v>
      </c>
      <c r="E9089" s="263">
        <v>1</v>
      </c>
      <c r="F9089" s="294" t="s">
        <v>235</v>
      </c>
      <c r="G9089" s="294" t="s">
        <v>126</v>
      </c>
      <c r="H9089" s="298">
        <v>1</v>
      </c>
      <c r="M9089" s="274"/>
    </row>
    <row r="9090" spans="2:13" ht="15" customHeight="1" x14ac:dyDescent="0.25">
      <c r="B9090" s="289">
        <v>6989</v>
      </c>
      <c r="C9090" s="261">
        <v>109</v>
      </c>
      <c r="D9090" s="244" t="s">
        <v>12</v>
      </c>
      <c r="E9090" s="263">
        <v>6</v>
      </c>
      <c r="F9090" s="294" t="s">
        <v>126</v>
      </c>
      <c r="G9090" s="294" t="s">
        <v>1666</v>
      </c>
      <c r="H9090" s="298">
        <v>1</v>
      </c>
      <c r="M9090" s="274"/>
    </row>
    <row r="9091" spans="2:13" ht="15" customHeight="1" x14ac:dyDescent="0.25">
      <c r="B9091" s="289">
        <v>6990</v>
      </c>
      <c r="C9091" s="261">
        <v>103</v>
      </c>
      <c r="D9091" s="244" t="s">
        <v>12</v>
      </c>
      <c r="E9091" s="263">
        <v>4</v>
      </c>
      <c r="F9091" s="294" t="s">
        <v>126</v>
      </c>
      <c r="G9091" s="294" t="s">
        <v>964</v>
      </c>
      <c r="H9091" s="298">
        <v>1</v>
      </c>
      <c r="M9091" s="274"/>
    </row>
    <row r="9092" spans="2:13" ht="15" customHeight="1" x14ac:dyDescent="0.25">
      <c r="B9092" s="289">
        <v>6990</v>
      </c>
      <c r="C9092" s="261">
        <v>110</v>
      </c>
      <c r="D9092" s="244" t="s">
        <v>12</v>
      </c>
      <c r="E9092" s="263">
        <v>8</v>
      </c>
      <c r="F9092" s="294" t="s">
        <v>126</v>
      </c>
      <c r="G9092" s="294" t="s">
        <v>1667</v>
      </c>
      <c r="H9092" s="298">
        <v>1</v>
      </c>
      <c r="M9092" s="274"/>
    </row>
    <row r="9093" spans="2:13" ht="15" customHeight="1" x14ac:dyDescent="0.25">
      <c r="B9093" s="289">
        <v>6991</v>
      </c>
      <c r="C9093" s="261">
        <v>105</v>
      </c>
      <c r="D9093" s="244" t="s">
        <v>12</v>
      </c>
      <c r="E9093" s="263">
        <v>39</v>
      </c>
      <c r="F9093" s="294" t="s">
        <v>126</v>
      </c>
      <c r="G9093" s="294" t="s">
        <v>1668</v>
      </c>
      <c r="H9093" s="298">
        <v>1</v>
      </c>
      <c r="M9093" s="274"/>
    </row>
    <row r="9094" spans="2:13" ht="15" customHeight="1" x14ac:dyDescent="0.25">
      <c r="B9094" s="289">
        <v>6992</v>
      </c>
      <c r="C9094" s="261">
        <v>105</v>
      </c>
      <c r="D9094" s="244" t="s">
        <v>12</v>
      </c>
      <c r="E9094" s="263">
        <v>3</v>
      </c>
      <c r="F9094" s="294" t="s">
        <v>126</v>
      </c>
      <c r="G9094" s="294" t="s">
        <v>648</v>
      </c>
      <c r="H9094" s="298">
        <v>1</v>
      </c>
      <c r="M9094" s="274"/>
    </row>
    <row r="9095" spans="2:13" ht="15" customHeight="1" x14ac:dyDescent="0.25">
      <c r="B9095" s="289">
        <v>6992</v>
      </c>
      <c r="C9095" s="261">
        <v>108</v>
      </c>
      <c r="D9095" s="244" t="s">
        <v>11</v>
      </c>
      <c r="E9095" s="263">
        <v>1</v>
      </c>
      <c r="F9095" s="294" t="s">
        <v>139</v>
      </c>
      <c r="G9095" s="294" t="s">
        <v>126</v>
      </c>
      <c r="H9095" s="298">
        <v>1</v>
      </c>
      <c r="M9095" s="274"/>
    </row>
    <row r="9096" spans="2:13" ht="15" customHeight="1" x14ac:dyDescent="0.25">
      <c r="B9096" s="289">
        <v>6993</v>
      </c>
      <c r="C9096" s="261">
        <v>105</v>
      </c>
      <c r="D9096" s="244" t="s">
        <v>11</v>
      </c>
      <c r="E9096" s="263">
        <v>15</v>
      </c>
      <c r="F9096" s="294" t="s">
        <v>1536</v>
      </c>
      <c r="G9096" s="294" t="s">
        <v>126</v>
      </c>
      <c r="H9096" s="298">
        <v>1</v>
      </c>
      <c r="M9096" s="274"/>
    </row>
    <row r="9097" spans="2:13" ht="15" customHeight="1" x14ac:dyDescent="0.25">
      <c r="B9097" s="289">
        <v>6994</v>
      </c>
      <c r="C9097" s="261">
        <v>105</v>
      </c>
      <c r="D9097" s="244" t="s">
        <v>12</v>
      </c>
      <c r="E9097" s="263">
        <v>1</v>
      </c>
      <c r="F9097" s="294" t="s">
        <v>126</v>
      </c>
      <c r="G9097" s="294" t="s">
        <v>437</v>
      </c>
      <c r="H9097" s="298">
        <v>1</v>
      </c>
      <c r="M9097" s="274"/>
    </row>
    <row r="9098" spans="2:13" ht="15" customHeight="1" x14ac:dyDescent="0.25">
      <c r="B9098" s="289">
        <v>6996</v>
      </c>
      <c r="C9098" s="261">
        <v>105</v>
      </c>
      <c r="D9098" s="244" t="s">
        <v>12</v>
      </c>
      <c r="E9098" s="263">
        <v>1</v>
      </c>
      <c r="F9098" s="294" t="s">
        <v>126</v>
      </c>
      <c r="G9098" s="294" t="s">
        <v>437</v>
      </c>
      <c r="H9098" s="298">
        <v>1</v>
      </c>
      <c r="M9098" s="274"/>
    </row>
    <row r="9099" spans="2:13" ht="15" customHeight="1" x14ac:dyDescent="0.25">
      <c r="B9099" s="289">
        <v>6997</v>
      </c>
      <c r="C9099" s="261">
        <v>105</v>
      </c>
      <c r="D9099" s="244" t="s">
        <v>12</v>
      </c>
      <c r="E9099" s="263">
        <v>2</v>
      </c>
      <c r="F9099" s="294" t="s">
        <v>126</v>
      </c>
      <c r="G9099" s="294" t="s">
        <v>441</v>
      </c>
      <c r="H9099" s="298">
        <v>1</v>
      </c>
      <c r="M9099" s="274"/>
    </row>
    <row r="9100" spans="2:13" ht="15" customHeight="1" x14ac:dyDescent="0.25">
      <c r="B9100" s="289">
        <v>6998</v>
      </c>
      <c r="C9100" s="261">
        <v>105</v>
      </c>
      <c r="D9100" s="244" t="s">
        <v>11</v>
      </c>
      <c r="E9100" s="263">
        <v>2</v>
      </c>
      <c r="F9100" s="294" t="s">
        <v>441</v>
      </c>
      <c r="G9100" s="294" t="s">
        <v>126</v>
      </c>
      <c r="H9100" s="298">
        <v>1</v>
      </c>
      <c r="M9100" s="274"/>
    </row>
    <row r="9101" spans="2:13" ht="15" customHeight="1" x14ac:dyDescent="0.25">
      <c r="B9101" s="289">
        <v>6999</v>
      </c>
      <c r="C9101" s="261">
        <v>100</v>
      </c>
      <c r="D9101" s="244" t="s">
        <v>11</v>
      </c>
      <c r="E9101" s="263">
        <v>6</v>
      </c>
      <c r="F9101" s="294" t="s">
        <v>1669</v>
      </c>
      <c r="G9101" s="294" t="s">
        <v>126</v>
      </c>
      <c r="H9101" s="298">
        <v>1</v>
      </c>
      <c r="M9101" s="274"/>
    </row>
    <row r="9102" spans="2:13" ht="15" customHeight="1" x14ac:dyDescent="0.25">
      <c r="B9102" s="289">
        <v>6999</v>
      </c>
      <c r="C9102" s="261">
        <v>114</v>
      </c>
      <c r="D9102" s="244" t="s">
        <v>12</v>
      </c>
      <c r="E9102" s="263">
        <v>6</v>
      </c>
      <c r="F9102" s="294" t="s">
        <v>126</v>
      </c>
      <c r="G9102" s="294" t="s">
        <v>1670</v>
      </c>
      <c r="H9102" s="298">
        <v>1</v>
      </c>
      <c r="M9102" s="274"/>
    </row>
    <row r="9103" spans="2:13" ht="15" customHeight="1" x14ac:dyDescent="0.25">
      <c r="B9103" s="289">
        <v>7000</v>
      </c>
      <c r="C9103" s="261">
        <v>102</v>
      </c>
      <c r="D9103" s="244" t="s">
        <v>12</v>
      </c>
      <c r="E9103" s="263">
        <v>3</v>
      </c>
      <c r="F9103" s="294" t="s">
        <v>126</v>
      </c>
      <c r="G9103" s="294" t="s">
        <v>269</v>
      </c>
      <c r="H9103" s="298">
        <v>1</v>
      </c>
      <c r="M9103" s="274"/>
    </row>
    <row r="9104" spans="2:13" ht="15" customHeight="1" x14ac:dyDescent="0.25">
      <c r="B9104" s="289">
        <v>7000</v>
      </c>
      <c r="C9104" s="261">
        <v>112</v>
      </c>
      <c r="D9104" s="244" t="s">
        <v>11</v>
      </c>
      <c r="E9104" s="263">
        <v>3</v>
      </c>
      <c r="F9104" s="294" t="s">
        <v>1640</v>
      </c>
      <c r="G9104" s="294" t="s">
        <v>126</v>
      </c>
      <c r="H9104" s="298">
        <v>1</v>
      </c>
      <c r="M9104" s="274"/>
    </row>
    <row r="9105" spans="2:13" ht="15" customHeight="1" x14ac:dyDescent="0.25">
      <c r="B9105" s="289">
        <v>7001</v>
      </c>
      <c r="C9105" s="261">
        <v>104</v>
      </c>
      <c r="D9105" s="244" t="s">
        <v>11</v>
      </c>
      <c r="E9105" s="263">
        <v>2</v>
      </c>
      <c r="F9105" s="294" t="s">
        <v>214</v>
      </c>
      <c r="G9105" s="294" t="s">
        <v>126</v>
      </c>
      <c r="H9105" s="298">
        <v>1</v>
      </c>
      <c r="M9105" s="274"/>
    </row>
    <row r="9106" spans="2:13" ht="15" customHeight="1" x14ac:dyDescent="0.25">
      <c r="B9106" s="289">
        <v>7002</v>
      </c>
      <c r="C9106" s="261">
        <v>105</v>
      </c>
      <c r="D9106" s="244" t="s">
        <v>12</v>
      </c>
      <c r="E9106" s="263">
        <v>2</v>
      </c>
      <c r="F9106" s="294" t="s">
        <v>126</v>
      </c>
      <c r="G9106" s="294" t="s">
        <v>441</v>
      </c>
      <c r="H9106" s="298">
        <v>1</v>
      </c>
      <c r="M9106" s="274"/>
    </row>
    <row r="9107" spans="2:13" ht="15" customHeight="1" x14ac:dyDescent="0.25">
      <c r="B9107" s="289">
        <v>7003</v>
      </c>
      <c r="C9107" s="261">
        <v>113</v>
      </c>
      <c r="D9107" s="244" t="s">
        <v>11</v>
      </c>
      <c r="E9107" s="263">
        <v>6</v>
      </c>
      <c r="F9107" s="294" t="s">
        <v>1671</v>
      </c>
      <c r="G9107" s="294" t="s">
        <v>126</v>
      </c>
      <c r="H9107" s="298">
        <v>1</v>
      </c>
      <c r="M9107" s="274"/>
    </row>
    <row r="9108" spans="2:13" ht="15" customHeight="1" x14ac:dyDescent="0.25">
      <c r="B9108" s="289">
        <v>7006</v>
      </c>
      <c r="C9108" s="261">
        <v>105</v>
      </c>
      <c r="D9108" s="244" t="s">
        <v>12</v>
      </c>
      <c r="E9108" s="263">
        <v>13</v>
      </c>
      <c r="F9108" s="294" t="s">
        <v>126</v>
      </c>
      <c r="G9108" s="294" t="s">
        <v>1672</v>
      </c>
      <c r="H9108" s="298">
        <v>1</v>
      </c>
      <c r="M9108" s="274"/>
    </row>
    <row r="9109" spans="2:13" ht="15" customHeight="1" x14ac:dyDescent="0.25">
      <c r="B9109" s="289">
        <v>7007</v>
      </c>
      <c r="C9109" s="261">
        <v>105</v>
      </c>
      <c r="D9109" s="244" t="s">
        <v>12</v>
      </c>
      <c r="E9109" s="263">
        <v>1</v>
      </c>
      <c r="F9109" s="294" t="s">
        <v>126</v>
      </c>
      <c r="G9109" s="294" t="s">
        <v>426</v>
      </c>
      <c r="H9109" s="298">
        <v>1</v>
      </c>
      <c r="M9109" s="274"/>
    </row>
    <row r="9110" spans="2:13" ht="15" customHeight="1" x14ac:dyDescent="0.25">
      <c r="B9110" s="289">
        <v>7007</v>
      </c>
      <c r="C9110" s="261">
        <v>113</v>
      </c>
      <c r="D9110" s="244" t="s">
        <v>11</v>
      </c>
      <c r="E9110" s="263">
        <v>1</v>
      </c>
      <c r="F9110" s="294" t="s">
        <v>139</v>
      </c>
      <c r="G9110" s="294" t="s">
        <v>126</v>
      </c>
      <c r="H9110" s="298">
        <v>1</v>
      </c>
      <c r="M9110" s="274"/>
    </row>
    <row r="9111" spans="2:13" ht="15" customHeight="1" x14ac:dyDescent="0.25">
      <c r="B9111" s="289">
        <v>7008</v>
      </c>
      <c r="C9111" s="261">
        <v>105</v>
      </c>
      <c r="D9111" s="244" t="s">
        <v>11</v>
      </c>
      <c r="E9111" s="263">
        <v>1</v>
      </c>
      <c r="F9111" s="294" t="s">
        <v>437</v>
      </c>
      <c r="G9111" s="294" t="s">
        <v>126</v>
      </c>
      <c r="H9111" s="298">
        <v>1</v>
      </c>
      <c r="M9111" s="274"/>
    </row>
    <row r="9112" spans="2:13" ht="15" customHeight="1" x14ac:dyDescent="0.25">
      <c r="B9112" s="289">
        <v>7009</v>
      </c>
      <c r="C9112" s="261">
        <v>105</v>
      </c>
      <c r="D9112" s="244" t="s">
        <v>12</v>
      </c>
      <c r="E9112" s="263">
        <v>1</v>
      </c>
      <c r="F9112" s="294" t="s">
        <v>126</v>
      </c>
      <c r="G9112" s="294" t="s">
        <v>437</v>
      </c>
      <c r="H9112" s="298">
        <v>1</v>
      </c>
      <c r="M9112" s="274"/>
    </row>
    <row r="9113" spans="2:13" ht="15" customHeight="1" x14ac:dyDescent="0.25">
      <c r="B9113" s="289">
        <v>7010</v>
      </c>
      <c r="C9113" s="261">
        <v>104</v>
      </c>
      <c r="D9113" s="244" t="s">
        <v>11</v>
      </c>
      <c r="E9113" s="263">
        <v>2</v>
      </c>
      <c r="F9113" s="294" t="s">
        <v>214</v>
      </c>
      <c r="G9113" s="294" t="s">
        <v>126</v>
      </c>
      <c r="H9113" s="298">
        <v>1</v>
      </c>
      <c r="M9113" s="274"/>
    </row>
    <row r="9114" spans="2:13" ht="15" customHeight="1" x14ac:dyDescent="0.25">
      <c r="B9114" s="289">
        <v>7010</v>
      </c>
      <c r="C9114" s="261">
        <v>115</v>
      </c>
      <c r="D9114" s="244" t="s">
        <v>12</v>
      </c>
      <c r="E9114" s="263">
        <v>2</v>
      </c>
      <c r="F9114" s="294" t="s">
        <v>126</v>
      </c>
      <c r="G9114" s="294" t="s">
        <v>136</v>
      </c>
      <c r="H9114" s="298">
        <v>1</v>
      </c>
      <c r="M9114" s="274"/>
    </row>
    <row r="9115" spans="2:13" ht="15" customHeight="1" x14ac:dyDescent="0.25">
      <c r="B9115" s="289">
        <v>7011</v>
      </c>
      <c r="C9115" s="261">
        <v>106</v>
      </c>
      <c r="D9115" s="244" t="s">
        <v>12</v>
      </c>
      <c r="E9115" s="263">
        <v>2</v>
      </c>
      <c r="F9115" s="294" t="s">
        <v>126</v>
      </c>
      <c r="G9115" s="294" t="s">
        <v>441</v>
      </c>
      <c r="H9115" s="298">
        <v>1</v>
      </c>
      <c r="M9115" s="274"/>
    </row>
    <row r="9116" spans="2:13" ht="15" customHeight="1" x14ac:dyDescent="0.25">
      <c r="B9116" s="289">
        <v>7012</v>
      </c>
      <c r="C9116" s="261">
        <v>105</v>
      </c>
      <c r="D9116" s="244" t="s">
        <v>12</v>
      </c>
      <c r="E9116" s="263">
        <v>1</v>
      </c>
      <c r="F9116" s="294" t="s">
        <v>126</v>
      </c>
      <c r="G9116" s="294" t="s">
        <v>437</v>
      </c>
      <c r="H9116" s="298">
        <v>1</v>
      </c>
      <c r="M9116" s="274"/>
    </row>
    <row r="9117" spans="2:13" ht="15" customHeight="1" x14ac:dyDescent="0.25">
      <c r="B9117" s="289">
        <v>7013</v>
      </c>
      <c r="C9117" s="261">
        <v>105</v>
      </c>
      <c r="D9117" s="244" t="s">
        <v>12</v>
      </c>
      <c r="E9117" s="263">
        <v>1</v>
      </c>
      <c r="F9117" s="294" t="s">
        <v>126</v>
      </c>
      <c r="G9117" s="294" t="s">
        <v>437</v>
      </c>
      <c r="H9117" s="298">
        <v>1</v>
      </c>
      <c r="M9117" s="274"/>
    </row>
    <row r="9118" spans="2:13" ht="15" customHeight="1" x14ac:dyDescent="0.25">
      <c r="B9118" s="289">
        <v>7014</v>
      </c>
      <c r="C9118" s="261">
        <v>105</v>
      </c>
      <c r="D9118" s="244" t="s">
        <v>12</v>
      </c>
      <c r="E9118" s="263">
        <v>1</v>
      </c>
      <c r="F9118" s="294" t="s">
        <v>126</v>
      </c>
      <c r="G9118" s="294" t="s">
        <v>437</v>
      </c>
      <c r="H9118" s="298">
        <v>1</v>
      </c>
      <c r="M9118" s="274"/>
    </row>
    <row r="9119" spans="2:13" ht="15" customHeight="1" x14ac:dyDescent="0.25">
      <c r="B9119" s="289">
        <v>7015</v>
      </c>
      <c r="C9119" s="261">
        <v>103</v>
      </c>
      <c r="D9119" s="244" t="s">
        <v>12</v>
      </c>
      <c r="E9119" s="263">
        <v>4</v>
      </c>
      <c r="F9119" s="294" t="s">
        <v>126</v>
      </c>
      <c r="G9119" s="294" t="s">
        <v>1673</v>
      </c>
      <c r="H9119" s="298">
        <v>1</v>
      </c>
      <c r="M9119" s="274"/>
    </row>
    <row r="9120" spans="2:13" ht="15" customHeight="1" x14ac:dyDescent="0.25">
      <c r="B9120" s="289">
        <v>7015</v>
      </c>
      <c r="C9120" s="261">
        <v>110</v>
      </c>
      <c r="D9120" s="244" t="s">
        <v>11</v>
      </c>
      <c r="E9120" s="263">
        <v>4</v>
      </c>
      <c r="F9120" s="294" t="s">
        <v>682</v>
      </c>
      <c r="G9120" s="294" t="s">
        <v>126</v>
      </c>
      <c r="H9120" s="298">
        <v>1</v>
      </c>
      <c r="M9120" s="274"/>
    </row>
    <row r="9121" spans="2:13" ht="15" customHeight="1" x14ac:dyDescent="0.25">
      <c r="B9121" s="289">
        <v>7016</v>
      </c>
      <c r="C9121" s="261">
        <v>105</v>
      </c>
      <c r="D9121" s="244" t="s">
        <v>12</v>
      </c>
      <c r="E9121" s="263">
        <v>1</v>
      </c>
      <c r="F9121" s="294" t="s">
        <v>126</v>
      </c>
      <c r="G9121" s="294" t="s">
        <v>437</v>
      </c>
      <c r="H9121" s="298">
        <v>1</v>
      </c>
      <c r="M9121" s="274"/>
    </row>
    <row r="9122" spans="2:13" ht="15" customHeight="1" x14ac:dyDescent="0.25">
      <c r="B9122" s="289">
        <v>7017</v>
      </c>
      <c r="C9122" s="261">
        <v>107</v>
      </c>
      <c r="D9122" s="244" t="s">
        <v>11</v>
      </c>
      <c r="E9122" s="263">
        <v>3</v>
      </c>
      <c r="F9122" s="294" t="s">
        <v>863</v>
      </c>
      <c r="G9122" s="294" t="s">
        <v>126</v>
      </c>
      <c r="H9122" s="298">
        <v>1</v>
      </c>
      <c r="M9122" s="274"/>
    </row>
    <row r="9123" spans="2:13" ht="15" customHeight="1" x14ac:dyDescent="0.25">
      <c r="B9123" s="289">
        <v>7018</v>
      </c>
      <c r="C9123" s="261">
        <v>103</v>
      </c>
      <c r="D9123" s="244" t="s">
        <v>11</v>
      </c>
      <c r="E9123" s="263">
        <v>4</v>
      </c>
      <c r="F9123" s="294" t="s">
        <v>1471</v>
      </c>
      <c r="G9123" s="294" t="s">
        <v>126</v>
      </c>
      <c r="H9123" s="298">
        <v>1</v>
      </c>
      <c r="M9123" s="274"/>
    </row>
    <row r="9124" spans="2:13" ht="15" customHeight="1" x14ac:dyDescent="0.25">
      <c r="B9124" s="289">
        <v>7018</v>
      </c>
      <c r="C9124" s="261">
        <v>116</v>
      </c>
      <c r="D9124" s="244" t="s">
        <v>12</v>
      </c>
      <c r="E9124" s="263">
        <v>4</v>
      </c>
      <c r="F9124" s="294" t="s">
        <v>126</v>
      </c>
      <c r="G9124" s="294" t="s">
        <v>1674</v>
      </c>
      <c r="H9124" s="298">
        <v>1</v>
      </c>
      <c r="M9124" s="274"/>
    </row>
    <row r="9125" spans="2:13" ht="15" customHeight="1" x14ac:dyDescent="0.25">
      <c r="B9125" s="289">
        <v>7019</v>
      </c>
      <c r="C9125" s="261">
        <v>106</v>
      </c>
      <c r="D9125" s="244" t="s">
        <v>11</v>
      </c>
      <c r="E9125" s="263">
        <v>2</v>
      </c>
      <c r="F9125" s="294" t="s">
        <v>341</v>
      </c>
      <c r="G9125" s="294" t="s">
        <v>126</v>
      </c>
      <c r="H9125" s="298">
        <v>1</v>
      </c>
      <c r="M9125" s="274"/>
    </row>
    <row r="9126" spans="2:13" ht="15" customHeight="1" x14ac:dyDescent="0.25">
      <c r="B9126" s="289">
        <v>7020</v>
      </c>
      <c r="C9126" s="261">
        <v>105</v>
      </c>
      <c r="D9126" s="244" t="s">
        <v>12</v>
      </c>
      <c r="E9126" s="263">
        <v>2</v>
      </c>
      <c r="F9126" s="294" t="s">
        <v>126</v>
      </c>
      <c r="G9126" s="294" t="s">
        <v>417</v>
      </c>
      <c r="H9126" s="298">
        <v>1</v>
      </c>
      <c r="M9126" s="274"/>
    </row>
    <row r="9127" spans="2:13" ht="15" customHeight="1" x14ac:dyDescent="0.25">
      <c r="B9127" s="289">
        <v>7021</v>
      </c>
      <c r="C9127" s="261">
        <v>105</v>
      </c>
      <c r="D9127" s="244" t="s">
        <v>12</v>
      </c>
      <c r="E9127" s="263">
        <v>1</v>
      </c>
      <c r="F9127" s="294" t="s">
        <v>126</v>
      </c>
      <c r="G9127" s="294" t="s">
        <v>139</v>
      </c>
      <c r="H9127" s="298">
        <v>1</v>
      </c>
      <c r="M9127" s="274"/>
    </row>
    <row r="9128" spans="2:13" ht="15" customHeight="1" x14ac:dyDescent="0.25">
      <c r="B9128" s="289">
        <v>7022</v>
      </c>
      <c r="C9128" s="261">
        <v>100</v>
      </c>
      <c r="D9128" s="244" t="s">
        <v>11</v>
      </c>
      <c r="E9128" s="263">
        <v>6</v>
      </c>
      <c r="F9128" s="294" t="s">
        <v>1669</v>
      </c>
      <c r="G9128" s="294" t="s">
        <v>126</v>
      </c>
      <c r="H9128" s="298">
        <v>1</v>
      </c>
      <c r="M9128" s="274"/>
    </row>
    <row r="9129" spans="2:13" ht="15" customHeight="1" x14ac:dyDescent="0.25">
      <c r="B9129" s="289">
        <v>7023</v>
      </c>
      <c r="C9129" s="261">
        <v>99</v>
      </c>
      <c r="D9129" s="244" t="s">
        <v>12</v>
      </c>
      <c r="E9129" s="263">
        <v>8</v>
      </c>
      <c r="F9129" s="294" t="s">
        <v>126</v>
      </c>
      <c r="G9129" s="294" t="s">
        <v>1675</v>
      </c>
      <c r="H9129" s="298">
        <v>1</v>
      </c>
      <c r="M9129" s="274"/>
    </row>
    <row r="9130" spans="2:13" ht="15" customHeight="1" x14ac:dyDescent="0.25">
      <c r="B9130" s="289">
        <v>7023</v>
      </c>
      <c r="C9130" s="261">
        <v>105</v>
      </c>
      <c r="D9130" s="244" t="s">
        <v>12</v>
      </c>
      <c r="E9130" s="263">
        <v>27</v>
      </c>
      <c r="F9130" s="294" t="s">
        <v>126</v>
      </c>
      <c r="G9130" s="294" t="s">
        <v>1676</v>
      </c>
      <c r="H9130" s="298">
        <v>1</v>
      </c>
      <c r="M9130" s="274"/>
    </row>
    <row r="9131" spans="2:13" ht="15" customHeight="1" x14ac:dyDescent="0.25">
      <c r="B9131" s="289">
        <v>7024</v>
      </c>
      <c r="C9131" s="261">
        <v>105</v>
      </c>
      <c r="D9131" s="244" t="s">
        <v>12</v>
      </c>
      <c r="E9131" s="263">
        <v>1</v>
      </c>
      <c r="F9131" s="294" t="s">
        <v>126</v>
      </c>
      <c r="G9131" s="294" t="s">
        <v>437</v>
      </c>
      <c r="H9131" s="298">
        <v>1</v>
      </c>
      <c r="M9131" s="274"/>
    </row>
    <row r="9132" spans="2:13" ht="15" customHeight="1" x14ac:dyDescent="0.25">
      <c r="B9132" s="289">
        <v>7025</v>
      </c>
      <c r="C9132" s="261">
        <v>105</v>
      </c>
      <c r="D9132" s="244" t="s">
        <v>12</v>
      </c>
      <c r="E9132" s="263">
        <v>1</v>
      </c>
      <c r="F9132" s="294" t="s">
        <v>126</v>
      </c>
      <c r="G9132" s="294" t="s">
        <v>235</v>
      </c>
      <c r="H9132" s="298">
        <v>1</v>
      </c>
      <c r="M9132" s="274"/>
    </row>
    <row r="9133" spans="2:13" ht="15" customHeight="1" x14ac:dyDescent="0.25">
      <c r="B9133" s="289">
        <v>7027</v>
      </c>
      <c r="C9133" s="261">
        <v>98</v>
      </c>
      <c r="D9133" s="244" t="s">
        <v>11</v>
      </c>
      <c r="E9133" s="263">
        <v>7</v>
      </c>
      <c r="F9133" s="294" t="s">
        <v>1544</v>
      </c>
      <c r="G9133" s="294" t="s">
        <v>126</v>
      </c>
      <c r="H9133" s="298">
        <v>1</v>
      </c>
      <c r="M9133" s="274"/>
    </row>
    <row r="9134" spans="2:13" ht="15" customHeight="1" x14ac:dyDescent="0.25">
      <c r="B9134" s="289">
        <v>7029</v>
      </c>
      <c r="C9134" s="261">
        <v>105</v>
      </c>
      <c r="D9134" s="244" t="s">
        <v>12</v>
      </c>
      <c r="E9134" s="263">
        <v>10</v>
      </c>
      <c r="F9134" s="294" t="s">
        <v>126</v>
      </c>
      <c r="G9134" s="294" t="s">
        <v>1677</v>
      </c>
      <c r="H9134" s="298">
        <v>1</v>
      </c>
      <c r="M9134" s="274"/>
    </row>
    <row r="9135" spans="2:13" ht="15" customHeight="1" x14ac:dyDescent="0.25">
      <c r="B9135" s="289">
        <v>7030</v>
      </c>
      <c r="C9135" s="261">
        <v>105</v>
      </c>
      <c r="D9135" s="244" t="s">
        <v>12</v>
      </c>
      <c r="E9135" s="263">
        <v>26</v>
      </c>
      <c r="F9135" s="294" t="s">
        <v>126</v>
      </c>
      <c r="G9135" s="294" t="s">
        <v>1678</v>
      </c>
      <c r="H9135" s="298">
        <v>1</v>
      </c>
      <c r="M9135" s="274"/>
    </row>
    <row r="9136" spans="2:13" ht="15" customHeight="1" x14ac:dyDescent="0.25">
      <c r="B9136" s="289">
        <v>7030</v>
      </c>
      <c r="C9136" s="261">
        <v>108</v>
      </c>
      <c r="D9136" s="244" t="s">
        <v>12</v>
      </c>
      <c r="E9136" s="263">
        <v>3</v>
      </c>
      <c r="F9136" s="294" t="s">
        <v>126</v>
      </c>
      <c r="G9136" s="294" t="s">
        <v>1279</v>
      </c>
      <c r="H9136" s="298">
        <v>1</v>
      </c>
      <c r="M9136" s="274"/>
    </row>
    <row r="9137" spans="2:13" ht="15" customHeight="1" x14ac:dyDescent="0.25">
      <c r="B9137" s="289">
        <v>7031</v>
      </c>
      <c r="C9137" s="261">
        <v>105</v>
      </c>
      <c r="D9137" s="244" t="s">
        <v>12</v>
      </c>
      <c r="E9137" s="263">
        <v>1</v>
      </c>
      <c r="F9137" s="294" t="s">
        <v>126</v>
      </c>
      <c r="G9137" s="294" t="s">
        <v>437</v>
      </c>
      <c r="H9137" s="298">
        <v>1</v>
      </c>
      <c r="M9137" s="274"/>
    </row>
    <row r="9138" spans="2:13" ht="15" customHeight="1" x14ac:dyDescent="0.25">
      <c r="B9138" s="289">
        <v>7032</v>
      </c>
      <c r="C9138" s="261">
        <v>105</v>
      </c>
      <c r="D9138" s="244" t="s">
        <v>12</v>
      </c>
      <c r="E9138" s="263">
        <v>2</v>
      </c>
      <c r="F9138" s="294" t="s">
        <v>126</v>
      </c>
      <c r="G9138" s="294" t="s">
        <v>789</v>
      </c>
      <c r="H9138" s="298">
        <v>1</v>
      </c>
      <c r="M9138" s="274"/>
    </row>
    <row r="9139" spans="2:13" ht="15" customHeight="1" x14ac:dyDescent="0.25">
      <c r="B9139" s="289">
        <v>7033</v>
      </c>
      <c r="C9139" s="261">
        <v>105</v>
      </c>
      <c r="D9139" s="244" t="s">
        <v>12</v>
      </c>
      <c r="E9139" s="263">
        <v>1</v>
      </c>
      <c r="F9139" s="294" t="s">
        <v>126</v>
      </c>
      <c r="G9139" s="294" t="s">
        <v>139</v>
      </c>
      <c r="H9139" s="298">
        <v>1</v>
      </c>
      <c r="M9139" s="274"/>
    </row>
    <row r="9140" spans="2:13" ht="15" customHeight="1" x14ac:dyDescent="0.25">
      <c r="B9140" s="289">
        <v>7034</v>
      </c>
      <c r="C9140" s="261">
        <v>105</v>
      </c>
      <c r="D9140" s="244" t="s">
        <v>11</v>
      </c>
      <c r="E9140" s="263">
        <v>2</v>
      </c>
      <c r="F9140" s="294" t="s">
        <v>441</v>
      </c>
      <c r="G9140" s="294" t="s">
        <v>126</v>
      </c>
      <c r="H9140" s="298">
        <v>1</v>
      </c>
      <c r="M9140" s="274"/>
    </row>
    <row r="9141" spans="2:13" ht="15" customHeight="1" x14ac:dyDescent="0.25">
      <c r="B9141" s="289">
        <v>7035</v>
      </c>
      <c r="C9141" s="261">
        <v>112</v>
      </c>
      <c r="D9141" s="244" t="s">
        <v>11</v>
      </c>
      <c r="E9141" s="263">
        <v>7</v>
      </c>
      <c r="F9141" s="294" t="s">
        <v>1679</v>
      </c>
      <c r="G9141" s="294" t="s">
        <v>126</v>
      </c>
      <c r="H9141" s="298">
        <v>1</v>
      </c>
      <c r="M9141" s="274"/>
    </row>
    <row r="9142" spans="2:13" ht="15" customHeight="1" x14ac:dyDescent="0.25">
      <c r="B9142" s="289">
        <v>7036</v>
      </c>
      <c r="C9142" s="261">
        <v>105</v>
      </c>
      <c r="D9142" s="244" t="s">
        <v>12</v>
      </c>
      <c r="E9142" s="263">
        <v>2</v>
      </c>
      <c r="F9142" s="294" t="s">
        <v>126</v>
      </c>
      <c r="G9142" s="294" t="s">
        <v>341</v>
      </c>
      <c r="H9142" s="298">
        <v>1</v>
      </c>
      <c r="M9142" s="274"/>
    </row>
    <row r="9143" spans="2:13" ht="15" customHeight="1" x14ac:dyDescent="0.25">
      <c r="B9143" s="289">
        <v>7036</v>
      </c>
      <c r="C9143" s="261">
        <v>112</v>
      </c>
      <c r="D9143" s="244" t="s">
        <v>11</v>
      </c>
      <c r="E9143" s="263">
        <v>2</v>
      </c>
      <c r="F9143" s="294" t="s">
        <v>136</v>
      </c>
      <c r="G9143" s="294" t="s">
        <v>126</v>
      </c>
      <c r="H9143" s="298">
        <v>1</v>
      </c>
      <c r="M9143" s="274"/>
    </row>
    <row r="9144" spans="2:13" ht="15" customHeight="1" x14ac:dyDescent="0.25">
      <c r="B9144" s="289">
        <v>7037</v>
      </c>
      <c r="C9144" s="261">
        <v>103</v>
      </c>
      <c r="D9144" s="244" t="s">
        <v>11</v>
      </c>
      <c r="E9144" s="263">
        <v>19</v>
      </c>
      <c r="F9144" s="294" t="s">
        <v>1581</v>
      </c>
      <c r="G9144" s="294" t="s">
        <v>126</v>
      </c>
      <c r="H9144" s="298">
        <v>1</v>
      </c>
      <c r="M9144" s="274"/>
    </row>
    <row r="9145" spans="2:13" ht="15" customHeight="1" x14ac:dyDescent="0.25">
      <c r="B9145" s="289">
        <v>7038</v>
      </c>
      <c r="C9145" s="261">
        <v>94</v>
      </c>
      <c r="D9145" s="244" t="s">
        <v>11</v>
      </c>
      <c r="E9145" s="263">
        <v>22</v>
      </c>
      <c r="F9145" s="294" t="s">
        <v>1680</v>
      </c>
      <c r="G9145" s="294" t="s">
        <v>126</v>
      </c>
      <c r="H9145" s="298">
        <v>1</v>
      </c>
      <c r="M9145" s="274"/>
    </row>
    <row r="9146" spans="2:13" ht="15" customHeight="1" x14ac:dyDescent="0.25">
      <c r="B9146" s="289">
        <v>7039</v>
      </c>
      <c r="C9146" s="261">
        <v>99</v>
      </c>
      <c r="D9146" s="244" t="s">
        <v>11</v>
      </c>
      <c r="E9146" s="263">
        <v>9</v>
      </c>
      <c r="F9146" s="294" t="s">
        <v>1681</v>
      </c>
      <c r="G9146" s="294" t="s">
        <v>126</v>
      </c>
      <c r="H9146" s="298">
        <v>1</v>
      </c>
      <c r="M9146" s="274"/>
    </row>
    <row r="9147" spans="2:13" ht="15" customHeight="1" x14ac:dyDescent="0.25">
      <c r="B9147" s="289">
        <v>7040</v>
      </c>
      <c r="C9147" s="261">
        <v>106</v>
      </c>
      <c r="D9147" s="244" t="s">
        <v>11</v>
      </c>
      <c r="E9147" s="263">
        <v>4</v>
      </c>
      <c r="F9147" s="294" t="s">
        <v>1483</v>
      </c>
      <c r="G9147" s="294" t="s">
        <v>126</v>
      </c>
      <c r="H9147" s="298">
        <v>1</v>
      </c>
      <c r="M9147" s="274"/>
    </row>
    <row r="9148" spans="2:13" ht="15" customHeight="1" x14ac:dyDescent="0.25">
      <c r="B9148" s="289">
        <v>7040</v>
      </c>
      <c r="C9148" s="261">
        <v>114</v>
      </c>
      <c r="D9148" s="244" t="s">
        <v>12</v>
      </c>
      <c r="E9148" s="263">
        <v>2</v>
      </c>
      <c r="F9148" s="294" t="s">
        <v>126</v>
      </c>
      <c r="G9148" s="294" t="s">
        <v>214</v>
      </c>
      <c r="H9148" s="298">
        <v>1</v>
      </c>
      <c r="M9148" s="274"/>
    </row>
    <row r="9149" spans="2:13" ht="15" customHeight="1" x14ac:dyDescent="0.25">
      <c r="B9149" s="289">
        <v>7041</v>
      </c>
      <c r="C9149" s="261">
        <v>100</v>
      </c>
      <c r="D9149" s="244" t="s">
        <v>11</v>
      </c>
      <c r="E9149" s="263">
        <v>6</v>
      </c>
      <c r="F9149" s="294" t="s">
        <v>1669</v>
      </c>
      <c r="G9149" s="294" t="s">
        <v>126</v>
      </c>
      <c r="H9149" s="298">
        <v>1</v>
      </c>
      <c r="M9149" s="274"/>
    </row>
    <row r="9150" spans="2:13" ht="15" customHeight="1" x14ac:dyDescent="0.25">
      <c r="B9150" s="289">
        <v>7042</v>
      </c>
      <c r="C9150" s="261">
        <v>107</v>
      </c>
      <c r="D9150" s="244" t="s">
        <v>11</v>
      </c>
      <c r="E9150" s="263">
        <v>3</v>
      </c>
      <c r="F9150" s="294" t="s">
        <v>863</v>
      </c>
      <c r="G9150" s="294" t="s">
        <v>126</v>
      </c>
      <c r="H9150" s="298">
        <v>1</v>
      </c>
      <c r="M9150" s="274"/>
    </row>
    <row r="9151" spans="2:13" ht="15" customHeight="1" x14ac:dyDescent="0.25">
      <c r="B9151" s="289">
        <v>7044</v>
      </c>
      <c r="C9151" s="261">
        <v>105</v>
      </c>
      <c r="D9151" s="244" t="s">
        <v>12</v>
      </c>
      <c r="E9151" s="263">
        <v>1</v>
      </c>
      <c r="F9151" s="294" t="s">
        <v>126</v>
      </c>
      <c r="G9151" s="294" t="s">
        <v>437</v>
      </c>
      <c r="H9151" s="298">
        <v>1</v>
      </c>
      <c r="M9151" s="274"/>
    </row>
    <row r="9152" spans="2:13" ht="15" customHeight="1" x14ac:dyDescent="0.25">
      <c r="B9152" s="289">
        <v>7046</v>
      </c>
      <c r="C9152" s="261">
        <v>105</v>
      </c>
      <c r="D9152" s="244" t="s">
        <v>12</v>
      </c>
      <c r="E9152" s="263">
        <v>1</v>
      </c>
      <c r="F9152" s="294" t="s">
        <v>126</v>
      </c>
      <c r="G9152" s="294" t="s">
        <v>437</v>
      </c>
      <c r="H9152" s="298">
        <v>1</v>
      </c>
      <c r="M9152" s="274"/>
    </row>
    <row r="9153" spans="2:13" ht="15" customHeight="1" x14ac:dyDescent="0.25">
      <c r="B9153" s="289">
        <v>7047</v>
      </c>
      <c r="C9153" s="261">
        <v>103</v>
      </c>
      <c r="D9153" s="244" t="s">
        <v>11</v>
      </c>
      <c r="E9153" s="263">
        <v>3</v>
      </c>
      <c r="F9153" s="294" t="s">
        <v>1163</v>
      </c>
      <c r="G9153" s="294" t="s">
        <v>126</v>
      </c>
      <c r="H9153" s="298">
        <v>1</v>
      </c>
      <c r="M9153" s="274"/>
    </row>
    <row r="9154" spans="2:13" ht="15" customHeight="1" x14ac:dyDescent="0.25">
      <c r="B9154" s="289">
        <v>7047</v>
      </c>
      <c r="C9154" s="261">
        <v>114</v>
      </c>
      <c r="D9154" s="244" t="s">
        <v>12</v>
      </c>
      <c r="E9154" s="263">
        <v>3</v>
      </c>
      <c r="F9154" s="294" t="s">
        <v>126</v>
      </c>
      <c r="G9154" s="294" t="s">
        <v>1592</v>
      </c>
      <c r="H9154" s="298">
        <v>1</v>
      </c>
      <c r="M9154" s="274"/>
    </row>
    <row r="9155" spans="2:13" ht="15" customHeight="1" x14ac:dyDescent="0.25">
      <c r="B9155" s="289">
        <v>7048</v>
      </c>
      <c r="C9155" s="261">
        <v>90</v>
      </c>
      <c r="D9155" s="244" t="s">
        <v>11</v>
      </c>
      <c r="E9155" s="263">
        <v>29</v>
      </c>
      <c r="F9155" s="294" t="s">
        <v>1682</v>
      </c>
      <c r="G9155" s="294" t="s">
        <v>126</v>
      </c>
      <c r="H9155" s="298">
        <v>1</v>
      </c>
      <c r="M9155" s="274"/>
    </row>
    <row r="9156" spans="2:13" ht="15" customHeight="1" x14ac:dyDescent="0.25">
      <c r="B9156" s="289">
        <v>7049</v>
      </c>
      <c r="C9156" s="261">
        <v>105</v>
      </c>
      <c r="D9156" s="244" t="s">
        <v>11</v>
      </c>
      <c r="E9156" s="263">
        <v>11</v>
      </c>
      <c r="F9156" s="294" t="s">
        <v>1632</v>
      </c>
      <c r="G9156" s="294" t="s">
        <v>126</v>
      </c>
      <c r="H9156" s="298">
        <v>1</v>
      </c>
      <c r="M9156" s="274"/>
    </row>
    <row r="9157" spans="2:13" ht="15" customHeight="1" x14ac:dyDescent="0.25">
      <c r="B9157" s="289">
        <v>7050</v>
      </c>
      <c r="C9157" s="261">
        <v>106</v>
      </c>
      <c r="D9157" s="244" t="s">
        <v>12</v>
      </c>
      <c r="E9157" s="263">
        <v>3</v>
      </c>
      <c r="F9157" s="294" t="s">
        <v>126</v>
      </c>
      <c r="G9157" s="294" t="s">
        <v>1523</v>
      </c>
      <c r="H9157" s="298">
        <v>1</v>
      </c>
      <c r="M9157" s="274"/>
    </row>
    <row r="9158" spans="2:13" ht="15" customHeight="1" x14ac:dyDescent="0.25">
      <c r="B9158" s="289">
        <v>7051</v>
      </c>
      <c r="C9158" s="261">
        <v>105</v>
      </c>
      <c r="D9158" s="244" t="s">
        <v>12</v>
      </c>
      <c r="E9158" s="263">
        <v>30</v>
      </c>
      <c r="F9158" s="294" t="s">
        <v>126</v>
      </c>
      <c r="G9158" s="294" t="s">
        <v>1683</v>
      </c>
      <c r="H9158" s="298">
        <v>1</v>
      </c>
      <c r="M9158" s="274"/>
    </row>
    <row r="9159" spans="2:13" ht="15" customHeight="1" x14ac:dyDescent="0.25">
      <c r="B9159" s="289">
        <v>7051</v>
      </c>
      <c r="C9159" s="261">
        <v>114</v>
      </c>
      <c r="D9159" s="244" t="s">
        <v>12</v>
      </c>
      <c r="E9159" s="263">
        <v>2</v>
      </c>
      <c r="F9159" s="294" t="s">
        <v>126</v>
      </c>
      <c r="G9159" s="294" t="s">
        <v>214</v>
      </c>
      <c r="H9159" s="298">
        <v>1</v>
      </c>
      <c r="M9159" s="274"/>
    </row>
    <row r="9160" spans="2:13" ht="15" customHeight="1" x14ac:dyDescent="0.25">
      <c r="B9160" s="289">
        <v>7052</v>
      </c>
      <c r="C9160" s="261">
        <v>102</v>
      </c>
      <c r="D9160" s="244" t="s">
        <v>12</v>
      </c>
      <c r="E9160" s="263">
        <v>1</v>
      </c>
      <c r="F9160" s="294" t="s">
        <v>126</v>
      </c>
      <c r="G9160" s="294" t="s">
        <v>426</v>
      </c>
      <c r="H9160" s="298">
        <v>1</v>
      </c>
      <c r="M9160" s="274"/>
    </row>
    <row r="9161" spans="2:13" ht="15" customHeight="1" x14ac:dyDescent="0.25">
      <c r="B9161" s="289">
        <v>7052</v>
      </c>
      <c r="C9161" s="261">
        <v>105</v>
      </c>
      <c r="D9161" s="244" t="s">
        <v>12</v>
      </c>
      <c r="E9161" s="263">
        <v>35</v>
      </c>
      <c r="F9161" s="294" t="s">
        <v>126</v>
      </c>
      <c r="G9161" s="294" t="s">
        <v>1684</v>
      </c>
      <c r="H9161" s="298">
        <v>1</v>
      </c>
      <c r="M9161" s="274"/>
    </row>
    <row r="9162" spans="2:13" ht="15" customHeight="1" x14ac:dyDescent="0.25">
      <c r="B9162" s="289">
        <v>7053</v>
      </c>
      <c r="C9162" s="261">
        <v>105</v>
      </c>
      <c r="D9162" s="244" t="s">
        <v>12</v>
      </c>
      <c r="E9162" s="263">
        <v>1</v>
      </c>
      <c r="F9162" s="294" t="s">
        <v>126</v>
      </c>
      <c r="G9162" s="294" t="s">
        <v>437</v>
      </c>
      <c r="H9162" s="298">
        <v>1</v>
      </c>
      <c r="M9162" s="274"/>
    </row>
    <row r="9163" spans="2:13" ht="15" customHeight="1" x14ac:dyDescent="0.25">
      <c r="B9163" s="289">
        <v>7054</v>
      </c>
      <c r="C9163" s="261">
        <v>106</v>
      </c>
      <c r="D9163" s="244" t="s">
        <v>11</v>
      </c>
      <c r="E9163" s="263">
        <v>5</v>
      </c>
      <c r="F9163" s="294" t="s">
        <v>1563</v>
      </c>
      <c r="G9163" s="294" t="s">
        <v>126</v>
      </c>
      <c r="H9163" s="298">
        <v>1</v>
      </c>
      <c r="M9163" s="274"/>
    </row>
    <row r="9164" spans="2:13" ht="15" customHeight="1" x14ac:dyDescent="0.25">
      <c r="B9164" s="289">
        <v>7055</v>
      </c>
      <c r="C9164" s="261">
        <v>100</v>
      </c>
      <c r="D9164" s="244" t="s">
        <v>12</v>
      </c>
      <c r="E9164" s="263">
        <v>3</v>
      </c>
      <c r="F9164" s="294" t="s">
        <v>126</v>
      </c>
      <c r="G9164" s="294" t="s">
        <v>438</v>
      </c>
      <c r="H9164" s="298">
        <v>1</v>
      </c>
      <c r="M9164" s="274"/>
    </row>
    <row r="9165" spans="2:13" ht="15" customHeight="1" x14ac:dyDescent="0.25">
      <c r="B9165" s="289">
        <v>7055</v>
      </c>
      <c r="C9165" s="261">
        <v>104</v>
      </c>
      <c r="D9165" s="244" t="s">
        <v>12</v>
      </c>
      <c r="E9165" s="263">
        <v>1</v>
      </c>
      <c r="F9165" s="294" t="s">
        <v>126</v>
      </c>
      <c r="G9165" s="294" t="s">
        <v>437</v>
      </c>
      <c r="H9165" s="298">
        <v>1</v>
      </c>
      <c r="M9165" s="274"/>
    </row>
    <row r="9166" spans="2:13" ht="15" customHeight="1" x14ac:dyDescent="0.25">
      <c r="B9166" s="289">
        <v>7055</v>
      </c>
      <c r="C9166" s="261">
        <v>110</v>
      </c>
      <c r="D9166" s="244" t="s">
        <v>11</v>
      </c>
      <c r="E9166" s="263">
        <v>4</v>
      </c>
      <c r="F9166" s="294" t="s">
        <v>682</v>
      </c>
      <c r="G9166" s="294" t="s">
        <v>126</v>
      </c>
      <c r="H9166" s="298">
        <v>1</v>
      </c>
      <c r="M9166" s="274"/>
    </row>
    <row r="9167" spans="2:13" ht="15" customHeight="1" x14ac:dyDescent="0.25">
      <c r="B9167" s="289">
        <v>7056</v>
      </c>
      <c r="C9167" s="261">
        <v>98</v>
      </c>
      <c r="D9167" s="244" t="s">
        <v>11</v>
      </c>
      <c r="E9167" s="263">
        <v>14</v>
      </c>
      <c r="F9167" s="294" t="s">
        <v>1685</v>
      </c>
      <c r="G9167" s="294" t="s">
        <v>126</v>
      </c>
      <c r="H9167" s="298">
        <v>1</v>
      </c>
      <c r="M9167" s="274"/>
    </row>
    <row r="9168" spans="2:13" ht="15" customHeight="1" x14ac:dyDescent="0.25">
      <c r="B9168" s="289">
        <v>7057</v>
      </c>
      <c r="C9168" s="261">
        <v>104</v>
      </c>
      <c r="D9168" s="244" t="s">
        <v>11</v>
      </c>
      <c r="E9168" s="263">
        <v>2</v>
      </c>
      <c r="F9168" s="294" t="s">
        <v>214</v>
      </c>
      <c r="G9168" s="294" t="s">
        <v>126</v>
      </c>
      <c r="H9168" s="298">
        <v>1</v>
      </c>
      <c r="M9168" s="274"/>
    </row>
    <row r="9169" spans="2:13" ht="15" customHeight="1" x14ac:dyDescent="0.25">
      <c r="B9169" s="289">
        <v>7058</v>
      </c>
      <c r="C9169" s="261">
        <v>100</v>
      </c>
      <c r="D9169" s="244" t="s">
        <v>11</v>
      </c>
      <c r="E9169" s="263">
        <v>8</v>
      </c>
      <c r="F9169" s="294" t="s">
        <v>1686</v>
      </c>
      <c r="G9169" s="294" t="s">
        <v>126</v>
      </c>
      <c r="H9169" s="298">
        <v>1</v>
      </c>
      <c r="M9169" s="274"/>
    </row>
    <row r="9170" spans="2:13" ht="15" customHeight="1" x14ac:dyDescent="0.25">
      <c r="B9170" s="289">
        <v>7059</v>
      </c>
      <c r="C9170" s="261">
        <v>105</v>
      </c>
      <c r="D9170" s="244" t="s">
        <v>11</v>
      </c>
      <c r="E9170" s="263">
        <v>4</v>
      </c>
      <c r="F9170" s="294" t="s">
        <v>1498</v>
      </c>
      <c r="G9170" s="294" t="s">
        <v>126</v>
      </c>
      <c r="H9170" s="298">
        <v>1</v>
      </c>
      <c r="M9170" s="274"/>
    </row>
    <row r="9171" spans="2:13" ht="15" customHeight="1" x14ac:dyDescent="0.25">
      <c r="B9171" s="289">
        <v>7059</v>
      </c>
      <c r="C9171" s="261">
        <v>111</v>
      </c>
      <c r="D9171" s="244" t="s">
        <v>11</v>
      </c>
      <c r="E9171" s="263">
        <v>3</v>
      </c>
      <c r="F9171" s="294" t="s">
        <v>1478</v>
      </c>
      <c r="G9171" s="294" t="s">
        <v>126</v>
      </c>
      <c r="H9171" s="298">
        <v>1</v>
      </c>
      <c r="M9171" s="274"/>
    </row>
    <row r="9172" spans="2:13" ht="15" customHeight="1" x14ac:dyDescent="0.25">
      <c r="B9172" s="289">
        <v>7060</v>
      </c>
      <c r="C9172" s="261">
        <v>114</v>
      </c>
      <c r="D9172" s="244" t="s">
        <v>12</v>
      </c>
      <c r="E9172" s="263">
        <v>12</v>
      </c>
      <c r="F9172" s="294" t="s">
        <v>126</v>
      </c>
      <c r="G9172" s="294" t="s">
        <v>1687</v>
      </c>
      <c r="H9172" s="298">
        <v>1</v>
      </c>
      <c r="M9172" s="274"/>
    </row>
    <row r="9173" spans="2:13" ht="15" customHeight="1" x14ac:dyDescent="0.25">
      <c r="B9173" s="289">
        <v>7061</v>
      </c>
      <c r="C9173" s="261">
        <v>102</v>
      </c>
      <c r="D9173" s="244" t="s">
        <v>11</v>
      </c>
      <c r="E9173" s="263">
        <v>23</v>
      </c>
      <c r="F9173" s="294" t="s">
        <v>1688</v>
      </c>
      <c r="G9173" s="294" t="s">
        <v>126</v>
      </c>
      <c r="H9173" s="298">
        <v>1</v>
      </c>
      <c r="M9173" s="274"/>
    </row>
    <row r="9174" spans="2:13" ht="15" customHeight="1" x14ac:dyDescent="0.25">
      <c r="B9174" s="289">
        <v>7062</v>
      </c>
      <c r="C9174" s="261">
        <v>105</v>
      </c>
      <c r="D9174" s="244" t="s">
        <v>12</v>
      </c>
      <c r="E9174" s="263">
        <v>11</v>
      </c>
      <c r="F9174" s="294" t="s">
        <v>126</v>
      </c>
      <c r="G9174" s="294" t="s">
        <v>1689</v>
      </c>
      <c r="H9174" s="298">
        <v>1</v>
      </c>
      <c r="M9174" s="274"/>
    </row>
    <row r="9175" spans="2:13" ht="15" customHeight="1" x14ac:dyDescent="0.25">
      <c r="B9175" s="289">
        <v>7062</v>
      </c>
      <c r="C9175" s="261">
        <v>115</v>
      </c>
      <c r="D9175" s="244" t="s">
        <v>12</v>
      </c>
      <c r="E9175" s="263">
        <v>7</v>
      </c>
      <c r="F9175" s="294" t="s">
        <v>126</v>
      </c>
      <c r="G9175" s="294" t="s">
        <v>1690</v>
      </c>
      <c r="H9175" s="298">
        <v>1</v>
      </c>
      <c r="M9175" s="274"/>
    </row>
    <row r="9176" spans="2:13" ht="15" customHeight="1" x14ac:dyDescent="0.25">
      <c r="B9176" s="289">
        <v>7063</v>
      </c>
      <c r="C9176" s="261">
        <v>105</v>
      </c>
      <c r="D9176" s="244" t="s">
        <v>12</v>
      </c>
      <c r="E9176" s="263">
        <v>1</v>
      </c>
      <c r="F9176" s="294" t="s">
        <v>126</v>
      </c>
      <c r="G9176" s="294" t="s">
        <v>437</v>
      </c>
      <c r="H9176" s="298">
        <v>1</v>
      </c>
      <c r="M9176" s="274"/>
    </row>
    <row r="9177" spans="2:13" ht="15" customHeight="1" x14ac:dyDescent="0.25">
      <c r="B9177" s="289">
        <v>7064</v>
      </c>
      <c r="C9177" s="261">
        <v>101</v>
      </c>
      <c r="D9177" s="244" t="s">
        <v>11</v>
      </c>
      <c r="E9177" s="263">
        <v>11</v>
      </c>
      <c r="F9177" s="294" t="s">
        <v>1530</v>
      </c>
      <c r="G9177" s="294" t="s">
        <v>126</v>
      </c>
      <c r="H9177" s="298">
        <v>1</v>
      </c>
      <c r="M9177" s="274"/>
    </row>
    <row r="9178" spans="2:13" ht="15" customHeight="1" x14ac:dyDescent="0.25">
      <c r="B9178" s="289">
        <v>7065</v>
      </c>
      <c r="C9178" s="261">
        <v>107</v>
      </c>
      <c r="D9178" s="244" t="s">
        <v>11</v>
      </c>
      <c r="E9178" s="263">
        <v>3</v>
      </c>
      <c r="F9178" s="294" t="s">
        <v>863</v>
      </c>
      <c r="G9178" s="294" t="s">
        <v>126</v>
      </c>
      <c r="H9178" s="298">
        <v>1</v>
      </c>
      <c r="M9178" s="274"/>
    </row>
    <row r="9179" spans="2:13" ht="15" customHeight="1" x14ac:dyDescent="0.25">
      <c r="B9179" s="289">
        <v>7066</v>
      </c>
      <c r="C9179" s="261">
        <v>107</v>
      </c>
      <c r="D9179" s="244" t="s">
        <v>11</v>
      </c>
      <c r="E9179" s="263">
        <v>3</v>
      </c>
      <c r="F9179" s="294" t="s">
        <v>863</v>
      </c>
      <c r="G9179" s="294" t="s">
        <v>126</v>
      </c>
      <c r="H9179" s="298">
        <v>1</v>
      </c>
      <c r="M9179" s="274"/>
    </row>
    <row r="9180" spans="2:13" ht="15" customHeight="1" x14ac:dyDescent="0.25">
      <c r="B9180" s="289">
        <v>7067</v>
      </c>
      <c r="C9180" s="261">
        <v>102</v>
      </c>
      <c r="D9180" s="244" t="s">
        <v>11</v>
      </c>
      <c r="E9180" s="263">
        <v>3</v>
      </c>
      <c r="F9180" s="294" t="s">
        <v>648</v>
      </c>
      <c r="G9180" s="294" t="s">
        <v>126</v>
      </c>
      <c r="H9180" s="298">
        <v>1</v>
      </c>
      <c r="M9180" s="274"/>
    </row>
    <row r="9181" spans="2:13" ht="15" customHeight="1" x14ac:dyDescent="0.25">
      <c r="B9181" s="289">
        <v>7067</v>
      </c>
      <c r="C9181" s="261">
        <v>114</v>
      </c>
      <c r="D9181" s="244" t="s">
        <v>12</v>
      </c>
      <c r="E9181" s="263">
        <v>3</v>
      </c>
      <c r="F9181" s="294" t="s">
        <v>126</v>
      </c>
      <c r="G9181" s="294" t="s">
        <v>1163</v>
      </c>
      <c r="H9181" s="298">
        <v>1</v>
      </c>
      <c r="M9181" s="274"/>
    </row>
    <row r="9182" spans="2:13" ht="15" customHeight="1" x14ac:dyDescent="0.25">
      <c r="B9182" s="289">
        <v>7068</v>
      </c>
      <c r="C9182" s="261">
        <v>102</v>
      </c>
      <c r="D9182" s="244" t="s">
        <v>12</v>
      </c>
      <c r="E9182" s="263">
        <v>1</v>
      </c>
      <c r="F9182" s="294" t="s">
        <v>126</v>
      </c>
      <c r="G9182" s="294" t="s">
        <v>139</v>
      </c>
      <c r="H9182" s="298">
        <v>1</v>
      </c>
      <c r="M9182" s="274"/>
    </row>
    <row r="9183" spans="2:13" ht="15" customHeight="1" x14ac:dyDescent="0.25">
      <c r="B9183" s="289">
        <v>7068</v>
      </c>
      <c r="C9183" s="261">
        <v>108</v>
      </c>
      <c r="D9183" s="244" t="s">
        <v>11</v>
      </c>
      <c r="E9183" s="263">
        <v>3</v>
      </c>
      <c r="F9183" s="294" t="s">
        <v>594</v>
      </c>
      <c r="G9183" s="294" t="s">
        <v>126</v>
      </c>
      <c r="H9183" s="298">
        <v>1</v>
      </c>
      <c r="M9183" s="274"/>
    </row>
    <row r="9184" spans="2:13" ht="15" customHeight="1" x14ac:dyDescent="0.25">
      <c r="B9184" s="289">
        <v>7068</v>
      </c>
      <c r="C9184" s="261">
        <v>114</v>
      </c>
      <c r="D9184" s="244" t="s">
        <v>12</v>
      </c>
      <c r="E9184" s="263">
        <v>2</v>
      </c>
      <c r="F9184" s="294" t="s">
        <v>126</v>
      </c>
      <c r="G9184" s="294" t="s">
        <v>420</v>
      </c>
      <c r="H9184" s="298">
        <v>1</v>
      </c>
      <c r="M9184" s="274"/>
    </row>
    <row r="9185" spans="2:13" ht="15" customHeight="1" x14ac:dyDescent="0.25">
      <c r="B9185" s="289">
        <v>7069</v>
      </c>
      <c r="C9185" s="261">
        <v>102</v>
      </c>
      <c r="D9185" s="244" t="s">
        <v>12</v>
      </c>
      <c r="E9185" s="263">
        <v>3</v>
      </c>
      <c r="F9185" s="294" t="s">
        <v>126</v>
      </c>
      <c r="G9185" s="294" t="s">
        <v>1186</v>
      </c>
      <c r="H9185" s="298">
        <v>1</v>
      </c>
      <c r="M9185" s="274"/>
    </row>
    <row r="9186" spans="2:13" ht="15" customHeight="1" x14ac:dyDescent="0.25">
      <c r="B9186" s="289">
        <v>7069</v>
      </c>
      <c r="C9186" s="261">
        <v>105</v>
      </c>
      <c r="D9186" s="244" t="s">
        <v>12</v>
      </c>
      <c r="E9186" s="263">
        <v>31</v>
      </c>
      <c r="F9186" s="294" t="s">
        <v>126</v>
      </c>
      <c r="G9186" s="294" t="s">
        <v>1691</v>
      </c>
      <c r="H9186" s="298">
        <v>1</v>
      </c>
      <c r="M9186" s="274"/>
    </row>
    <row r="9187" spans="2:13" ht="15" customHeight="1" x14ac:dyDescent="0.25">
      <c r="B9187" s="289">
        <v>7069</v>
      </c>
      <c r="C9187" s="261">
        <v>108</v>
      </c>
      <c r="D9187" s="244" t="s">
        <v>11</v>
      </c>
      <c r="E9187" s="263">
        <v>1</v>
      </c>
      <c r="F9187" s="294" t="s">
        <v>139</v>
      </c>
      <c r="G9187" s="294" t="s">
        <v>126</v>
      </c>
      <c r="H9187" s="298">
        <v>1</v>
      </c>
      <c r="M9187" s="274"/>
    </row>
    <row r="9188" spans="2:13" ht="15" customHeight="1" x14ac:dyDescent="0.25">
      <c r="B9188" s="289">
        <v>7070</v>
      </c>
      <c r="C9188" s="261">
        <v>105</v>
      </c>
      <c r="D9188" s="244" t="s">
        <v>12</v>
      </c>
      <c r="E9188" s="263">
        <v>1</v>
      </c>
      <c r="F9188" s="294" t="s">
        <v>126</v>
      </c>
      <c r="G9188" s="294" t="s">
        <v>437</v>
      </c>
      <c r="H9188" s="298">
        <v>1</v>
      </c>
      <c r="M9188" s="274"/>
    </row>
    <row r="9189" spans="2:13" ht="15" customHeight="1" x14ac:dyDescent="0.25">
      <c r="B9189" s="289">
        <v>7071</v>
      </c>
      <c r="C9189" s="261">
        <v>105</v>
      </c>
      <c r="D9189" s="244" t="s">
        <v>12</v>
      </c>
      <c r="E9189" s="263">
        <v>1</v>
      </c>
      <c r="F9189" s="294" t="s">
        <v>126</v>
      </c>
      <c r="G9189" s="294" t="s">
        <v>437</v>
      </c>
      <c r="H9189" s="298">
        <v>1</v>
      </c>
      <c r="M9189" s="274"/>
    </row>
    <row r="9190" spans="2:13" ht="15" customHeight="1" x14ac:dyDescent="0.25">
      <c r="B9190" s="289">
        <v>7072</v>
      </c>
      <c r="C9190" s="261">
        <v>95</v>
      </c>
      <c r="D9190" s="244" t="s">
        <v>11</v>
      </c>
      <c r="E9190" s="263">
        <v>21</v>
      </c>
      <c r="F9190" s="294" t="s">
        <v>1692</v>
      </c>
      <c r="G9190" s="294" t="s">
        <v>126</v>
      </c>
      <c r="H9190" s="298">
        <v>1</v>
      </c>
      <c r="M9190" s="274"/>
    </row>
    <row r="9191" spans="2:13" ht="15" customHeight="1" x14ac:dyDescent="0.25">
      <c r="B9191" s="289">
        <v>7073</v>
      </c>
      <c r="C9191" s="261">
        <v>105</v>
      </c>
      <c r="D9191" s="244" t="s">
        <v>12</v>
      </c>
      <c r="E9191" s="263">
        <v>1</v>
      </c>
      <c r="F9191" s="294" t="s">
        <v>126</v>
      </c>
      <c r="G9191" s="294" t="s">
        <v>437</v>
      </c>
      <c r="H9191" s="298">
        <v>1</v>
      </c>
      <c r="M9191" s="274"/>
    </row>
    <row r="9192" spans="2:13" ht="15" customHeight="1" x14ac:dyDescent="0.25">
      <c r="B9192" s="289">
        <v>7074</v>
      </c>
      <c r="C9192" s="261">
        <v>105</v>
      </c>
      <c r="D9192" s="244" t="s">
        <v>12</v>
      </c>
      <c r="E9192" s="263">
        <v>1</v>
      </c>
      <c r="F9192" s="294" t="s">
        <v>126</v>
      </c>
      <c r="G9192" s="294" t="s">
        <v>437</v>
      </c>
      <c r="H9192" s="298">
        <v>1</v>
      </c>
      <c r="M9192" s="274"/>
    </row>
    <row r="9193" spans="2:13" ht="15" customHeight="1" x14ac:dyDescent="0.25">
      <c r="B9193" s="289">
        <v>7075</v>
      </c>
      <c r="C9193" s="261">
        <v>105</v>
      </c>
      <c r="D9193" s="244" t="s">
        <v>12</v>
      </c>
      <c r="E9193" s="263">
        <v>1</v>
      </c>
      <c r="F9193" s="294" t="s">
        <v>126</v>
      </c>
      <c r="G9193" s="294" t="s">
        <v>437</v>
      </c>
      <c r="H9193" s="298">
        <v>1</v>
      </c>
      <c r="M9193" s="274"/>
    </row>
    <row r="9194" spans="2:13" ht="15" customHeight="1" x14ac:dyDescent="0.25">
      <c r="B9194" s="289">
        <v>7076</v>
      </c>
      <c r="C9194" s="261">
        <v>100</v>
      </c>
      <c r="D9194" s="244" t="s">
        <v>11</v>
      </c>
      <c r="E9194" s="263">
        <v>6</v>
      </c>
      <c r="F9194" s="294" t="s">
        <v>1669</v>
      </c>
      <c r="G9194" s="294" t="s">
        <v>126</v>
      </c>
      <c r="H9194" s="298">
        <v>1</v>
      </c>
      <c r="M9194" s="274"/>
    </row>
    <row r="9195" spans="2:13" ht="15" customHeight="1" x14ac:dyDescent="0.25">
      <c r="B9195" s="289">
        <v>7076</v>
      </c>
      <c r="C9195" s="261">
        <v>115</v>
      </c>
      <c r="D9195" s="244" t="s">
        <v>12</v>
      </c>
      <c r="E9195" s="263">
        <v>6</v>
      </c>
      <c r="F9195" s="294" t="s">
        <v>126</v>
      </c>
      <c r="G9195" s="294" t="s">
        <v>1693</v>
      </c>
      <c r="H9195" s="298">
        <v>1</v>
      </c>
      <c r="M9195" s="274"/>
    </row>
    <row r="9196" spans="2:13" ht="15" customHeight="1" x14ac:dyDescent="0.25">
      <c r="B9196" s="289">
        <v>7077</v>
      </c>
      <c r="C9196" s="261">
        <v>105</v>
      </c>
      <c r="D9196" s="244" t="s">
        <v>12</v>
      </c>
      <c r="E9196" s="263">
        <v>1</v>
      </c>
      <c r="F9196" s="294" t="s">
        <v>126</v>
      </c>
      <c r="G9196" s="294" t="s">
        <v>437</v>
      </c>
      <c r="H9196" s="298">
        <v>1</v>
      </c>
      <c r="M9196" s="274"/>
    </row>
    <row r="9197" spans="2:13" ht="15" customHeight="1" x14ac:dyDescent="0.25">
      <c r="B9197" s="289">
        <v>7079</v>
      </c>
      <c r="C9197" s="261">
        <v>112</v>
      </c>
      <c r="D9197" s="244" t="s">
        <v>11</v>
      </c>
      <c r="E9197" s="263">
        <v>2</v>
      </c>
      <c r="F9197" s="294" t="s">
        <v>136</v>
      </c>
      <c r="G9197" s="294" t="s">
        <v>126</v>
      </c>
      <c r="H9197" s="298">
        <v>1</v>
      </c>
      <c r="M9197" s="274"/>
    </row>
    <row r="9198" spans="2:13" ht="15" customHeight="1" x14ac:dyDescent="0.25">
      <c r="B9198" s="289">
        <v>7080</v>
      </c>
      <c r="C9198" s="261">
        <v>104</v>
      </c>
      <c r="D9198" s="244" t="s">
        <v>12</v>
      </c>
      <c r="E9198" s="263">
        <v>2</v>
      </c>
      <c r="F9198" s="294" t="s">
        <v>126</v>
      </c>
      <c r="G9198" s="294" t="s">
        <v>420</v>
      </c>
      <c r="H9198" s="298">
        <v>1</v>
      </c>
      <c r="M9198" s="274"/>
    </row>
    <row r="9199" spans="2:13" ht="15" customHeight="1" x14ac:dyDescent="0.25">
      <c r="B9199" s="289">
        <v>7080</v>
      </c>
      <c r="C9199" s="261">
        <v>114</v>
      </c>
      <c r="D9199" s="244" t="s">
        <v>11</v>
      </c>
      <c r="E9199" s="263">
        <v>2</v>
      </c>
      <c r="F9199" s="294" t="s">
        <v>341</v>
      </c>
      <c r="G9199" s="294" t="s">
        <v>126</v>
      </c>
      <c r="H9199" s="298">
        <v>1</v>
      </c>
      <c r="M9199" s="274"/>
    </row>
    <row r="9200" spans="2:13" ht="15" customHeight="1" x14ac:dyDescent="0.25">
      <c r="B9200" s="289">
        <v>7081</v>
      </c>
      <c r="C9200" s="261">
        <v>105</v>
      </c>
      <c r="D9200" s="244" t="s">
        <v>11</v>
      </c>
      <c r="E9200" s="263">
        <v>1</v>
      </c>
      <c r="F9200" s="294" t="s">
        <v>437</v>
      </c>
      <c r="G9200" s="294" t="s">
        <v>126</v>
      </c>
      <c r="H9200" s="298">
        <v>1</v>
      </c>
      <c r="M9200" s="274"/>
    </row>
    <row r="9201" spans="2:13" ht="15" customHeight="1" x14ac:dyDescent="0.25">
      <c r="B9201" s="289">
        <v>7082</v>
      </c>
      <c r="C9201" s="261">
        <v>102</v>
      </c>
      <c r="D9201" s="244" t="s">
        <v>12</v>
      </c>
      <c r="E9201" s="263">
        <v>1</v>
      </c>
      <c r="F9201" s="294" t="s">
        <v>126</v>
      </c>
      <c r="G9201" s="294" t="s">
        <v>426</v>
      </c>
      <c r="H9201" s="298">
        <v>1</v>
      </c>
      <c r="M9201" s="274"/>
    </row>
    <row r="9202" spans="2:13" ht="15" customHeight="1" x14ac:dyDescent="0.25">
      <c r="B9202" s="289">
        <v>7082</v>
      </c>
      <c r="C9202" s="261">
        <v>105</v>
      </c>
      <c r="D9202" s="244" t="s">
        <v>12</v>
      </c>
      <c r="E9202" s="263">
        <v>35</v>
      </c>
      <c r="F9202" s="294" t="s">
        <v>126</v>
      </c>
      <c r="G9202" s="294" t="s">
        <v>1694</v>
      </c>
      <c r="H9202" s="298">
        <v>1</v>
      </c>
      <c r="M9202" s="274"/>
    </row>
    <row r="9203" spans="2:13" ht="15" customHeight="1" x14ac:dyDescent="0.25">
      <c r="B9203" s="289">
        <v>7083</v>
      </c>
      <c r="C9203" s="261">
        <v>106</v>
      </c>
      <c r="D9203" s="244" t="s">
        <v>11</v>
      </c>
      <c r="E9203" s="263">
        <v>4</v>
      </c>
      <c r="F9203" s="294" t="s">
        <v>1483</v>
      </c>
      <c r="G9203" s="294" t="s">
        <v>126</v>
      </c>
      <c r="H9203" s="298">
        <v>1</v>
      </c>
      <c r="M9203" s="274"/>
    </row>
    <row r="9204" spans="2:13" ht="15" customHeight="1" x14ac:dyDescent="0.25">
      <c r="B9204" s="289">
        <v>7084</v>
      </c>
      <c r="C9204" s="261">
        <v>97</v>
      </c>
      <c r="D9204" s="244" t="s">
        <v>11</v>
      </c>
      <c r="E9204" s="263">
        <v>8</v>
      </c>
      <c r="F9204" s="294" t="s">
        <v>1489</v>
      </c>
      <c r="G9204" s="294" t="s">
        <v>126</v>
      </c>
      <c r="H9204" s="298">
        <v>1</v>
      </c>
      <c r="M9204" s="274"/>
    </row>
    <row r="9205" spans="2:13" ht="15" customHeight="1" x14ac:dyDescent="0.25">
      <c r="B9205" s="289">
        <v>7085</v>
      </c>
      <c r="C9205" s="261">
        <v>105</v>
      </c>
      <c r="D9205" s="244" t="s">
        <v>12</v>
      </c>
      <c r="E9205" s="263">
        <v>1</v>
      </c>
      <c r="F9205" s="294" t="s">
        <v>126</v>
      </c>
      <c r="G9205" s="294" t="s">
        <v>437</v>
      </c>
      <c r="H9205" s="298">
        <v>1</v>
      </c>
      <c r="M9205" s="274"/>
    </row>
    <row r="9206" spans="2:13" ht="15" customHeight="1" x14ac:dyDescent="0.25">
      <c r="B9206" s="289">
        <v>7086</v>
      </c>
      <c r="C9206" s="261">
        <v>107</v>
      </c>
      <c r="D9206" s="244" t="s">
        <v>11</v>
      </c>
      <c r="E9206" s="263">
        <v>3</v>
      </c>
      <c r="F9206" s="294" t="s">
        <v>863</v>
      </c>
      <c r="G9206" s="294" t="s">
        <v>126</v>
      </c>
      <c r="H9206" s="298">
        <v>1</v>
      </c>
      <c r="M9206" s="274"/>
    </row>
    <row r="9207" spans="2:13" ht="15" customHeight="1" x14ac:dyDescent="0.25">
      <c r="B9207" s="289">
        <v>7089</v>
      </c>
      <c r="C9207" s="261">
        <v>102</v>
      </c>
      <c r="D9207" s="244" t="s">
        <v>12</v>
      </c>
      <c r="E9207" s="263">
        <v>4</v>
      </c>
      <c r="F9207" s="294" t="s">
        <v>126</v>
      </c>
      <c r="G9207" s="294" t="s">
        <v>1415</v>
      </c>
      <c r="H9207" s="298">
        <v>1</v>
      </c>
      <c r="M9207" s="274"/>
    </row>
    <row r="9208" spans="2:13" ht="15" customHeight="1" x14ac:dyDescent="0.25">
      <c r="B9208" s="289">
        <v>7089</v>
      </c>
      <c r="C9208" s="261">
        <v>105</v>
      </c>
      <c r="D9208" s="244" t="s">
        <v>12</v>
      </c>
      <c r="E9208" s="263">
        <v>25</v>
      </c>
      <c r="F9208" s="294" t="s">
        <v>126</v>
      </c>
      <c r="G9208" s="294" t="s">
        <v>1695</v>
      </c>
      <c r="H9208" s="298">
        <v>1</v>
      </c>
      <c r="M9208" s="274"/>
    </row>
    <row r="9209" spans="2:13" ht="15" customHeight="1" x14ac:dyDescent="0.25">
      <c r="B9209" s="289">
        <v>7091</v>
      </c>
      <c r="C9209" s="261">
        <v>108</v>
      </c>
      <c r="D9209" s="244" t="s">
        <v>11</v>
      </c>
      <c r="E9209" s="263">
        <v>6</v>
      </c>
      <c r="F9209" s="294" t="s">
        <v>1500</v>
      </c>
      <c r="G9209" s="294" t="s">
        <v>126</v>
      </c>
      <c r="H9209" s="298">
        <v>1</v>
      </c>
      <c r="M9209" s="274"/>
    </row>
    <row r="9210" spans="2:13" ht="15" customHeight="1" x14ac:dyDescent="0.25">
      <c r="B9210" s="289">
        <v>7092</v>
      </c>
      <c r="C9210" s="261">
        <v>105</v>
      </c>
      <c r="D9210" s="244" t="s">
        <v>11</v>
      </c>
      <c r="E9210" s="263">
        <v>13</v>
      </c>
      <c r="F9210" s="294" t="s">
        <v>1696</v>
      </c>
      <c r="G9210" s="294" t="s">
        <v>126</v>
      </c>
      <c r="H9210" s="298">
        <v>1</v>
      </c>
      <c r="M9210" s="274"/>
    </row>
    <row r="9211" spans="2:13" ht="15" customHeight="1" x14ac:dyDescent="0.25">
      <c r="B9211" s="289">
        <v>7093</v>
      </c>
      <c r="C9211" s="261">
        <v>100</v>
      </c>
      <c r="D9211" s="244" t="s">
        <v>12</v>
      </c>
      <c r="E9211" s="263">
        <v>5</v>
      </c>
      <c r="F9211" s="294" t="s">
        <v>126</v>
      </c>
      <c r="G9211" s="294" t="s">
        <v>1697</v>
      </c>
      <c r="H9211" s="298">
        <v>1</v>
      </c>
      <c r="M9211" s="274"/>
    </row>
    <row r="9212" spans="2:13" ht="15" customHeight="1" x14ac:dyDescent="0.25">
      <c r="B9212" s="289">
        <v>7093</v>
      </c>
      <c r="C9212" s="261">
        <v>110</v>
      </c>
      <c r="D9212" s="244" t="s">
        <v>11</v>
      </c>
      <c r="E9212" s="263">
        <v>5</v>
      </c>
      <c r="F9212" s="294" t="s">
        <v>595</v>
      </c>
      <c r="G9212" s="294" t="s">
        <v>126</v>
      </c>
      <c r="H9212" s="298">
        <v>1</v>
      </c>
      <c r="M9212" s="274"/>
    </row>
    <row r="9213" spans="2:13" ht="15" customHeight="1" x14ac:dyDescent="0.25">
      <c r="B9213" s="289">
        <v>7094</v>
      </c>
      <c r="C9213" s="261">
        <v>103</v>
      </c>
      <c r="D9213" s="244" t="s">
        <v>11</v>
      </c>
      <c r="E9213" s="263">
        <v>4</v>
      </c>
      <c r="F9213" s="294" t="s">
        <v>1471</v>
      </c>
      <c r="G9213" s="294" t="s">
        <v>126</v>
      </c>
      <c r="H9213" s="298">
        <v>1</v>
      </c>
      <c r="M9213" s="274"/>
    </row>
    <row r="9214" spans="2:13" ht="15" customHeight="1" x14ac:dyDescent="0.25">
      <c r="B9214" s="289">
        <v>7095</v>
      </c>
      <c r="C9214" s="261">
        <v>105</v>
      </c>
      <c r="D9214" s="244" t="s">
        <v>12</v>
      </c>
      <c r="E9214" s="263">
        <v>1</v>
      </c>
      <c r="F9214" s="294" t="s">
        <v>126</v>
      </c>
      <c r="G9214" s="294" t="s">
        <v>437</v>
      </c>
      <c r="H9214" s="298">
        <v>1</v>
      </c>
      <c r="M9214" s="274"/>
    </row>
    <row r="9215" spans="2:13" ht="15" customHeight="1" x14ac:dyDescent="0.25">
      <c r="B9215" s="289">
        <v>7096</v>
      </c>
      <c r="C9215" s="261">
        <v>107</v>
      </c>
      <c r="D9215" s="244" t="s">
        <v>11</v>
      </c>
      <c r="E9215" s="263">
        <v>3</v>
      </c>
      <c r="F9215" s="294" t="s">
        <v>863</v>
      </c>
      <c r="G9215" s="294" t="s">
        <v>126</v>
      </c>
      <c r="H9215" s="298">
        <v>1</v>
      </c>
      <c r="M9215" s="274"/>
    </row>
    <row r="9216" spans="2:13" ht="15" customHeight="1" x14ac:dyDescent="0.25">
      <c r="B9216" s="289">
        <v>7097</v>
      </c>
      <c r="C9216" s="261">
        <v>105</v>
      </c>
      <c r="D9216" s="244" t="s">
        <v>12</v>
      </c>
      <c r="E9216" s="263">
        <v>1</v>
      </c>
      <c r="F9216" s="294" t="s">
        <v>126</v>
      </c>
      <c r="G9216" s="294" t="s">
        <v>437</v>
      </c>
      <c r="H9216" s="298">
        <v>1</v>
      </c>
      <c r="M9216" s="274"/>
    </row>
    <row r="9217" spans="2:13" ht="15" customHeight="1" x14ac:dyDescent="0.25">
      <c r="B9217" s="289">
        <v>7098</v>
      </c>
      <c r="C9217" s="261">
        <v>105</v>
      </c>
      <c r="D9217" s="244" t="s">
        <v>12</v>
      </c>
      <c r="E9217" s="263">
        <v>1</v>
      </c>
      <c r="F9217" s="294" t="s">
        <v>126</v>
      </c>
      <c r="G9217" s="294" t="s">
        <v>437</v>
      </c>
      <c r="H9217" s="298">
        <v>1</v>
      </c>
      <c r="M9217" s="274"/>
    </row>
    <row r="9218" spans="2:13" ht="15" customHeight="1" x14ac:dyDescent="0.25">
      <c r="B9218" s="289">
        <v>7099</v>
      </c>
      <c r="C9218" s="261">
        <v>103</v>
      </c>
      <c r="D9218" s="244" t="s">
        <v>11</v>
      </c>
      <c r="E9218" s="263">
        <v>3</v>
      </c>
      <c r="F9218" s="294" t="s">
        <v>1163</v>
      </c>
      <c r="G9218" s="294" t="s">
        <v>126</v>
      </c>
      <c r="H9218" s="298">
        <v>1</v>
      </c>
      <c r="M9218" s="274"/>
    </row>
    <row r="9219" spans="2:13" ht="15" customHeight="1" x14ac:dyDescent="0.25">
      <c r="B9219" s="289">
        <v>7099</v>
      </c>
      <c r="C9219" s="261">
        <v>114</v>
      </c>
      <c r="D9219" s="244" t="s">
        <v>12</v>
      </c>
      <c r="E9219" s="263">
        <v>3</v>
      </c>
      <c r="F9219" s="294" t="s">
        <v>126</v>
      </c>
      <c r="G9219" s="294" t="s">
        <v>1524</v>
      </c>
      <c r="H9219" s="298">
        <v>1</v>
      </c>
      <c r="M9219" s="274"/>
    </row>
    <row r="9220" spans="2:13" ht="15" customHeight="1" x14ac:dyDescent="0.25">
      <c r="B9220" s="289">
        <v>7100</v>
      </c>
      <c r="C9220" s="261">
        <v>105</v>
      </c>
      <c r="D9220" s="244" t="s">
        <v>12</v>
      </c>
      <c r="E9220" s="263">
        <v>1</v>
      </c>
      <c r="F9220" s="294" t="s">
        <v>126</v>
      </c>
      <c r="G9220" s="294" t="s">
        <v>437</v>
      </c>
      <c r="H9220" s="298">
        <v>1</v>
      </c>
      <c r="M9220" s="274"/>
    </row>
    <row r="9221" spans="2:13" ht="15" customHeight="1" x14ac:dyDescent="0.25">
      <c r="B9221" s="289">
        <v>7101</v>
      </c>
      <c r="C9221" s="261">
        <v>104</v>
      </c>
      <c r="D9221" s="244" t="s">
        <v>11</v>
      </c>
      <c r="E9221" s="263">
        <v>2</v>
      </c>
      <c r="F9221" s="294" t="s">
        <v>214</v>
      </c>
      <c r="G9221" s="294" t="s">
        <v>126</v>
      </c>
      <c r="H9221" s="298">
        <v>1</v>
      </c>
      <c r="M9221" s="274"/>
    </row>
    <row r="9222" spans="2:13" ht="15" customHeight="1" x14ac:dyDescent="0.25">
      <c r="B9222" s="289">
        <v>7101</v>
      </c>
      <c r="C9222" s="261">
        <v>114</v>
      </c>
      <c r="D9222" s="244" t="s">
        <v>12</v>
      </c>
      <c r="E9222" s="263">
        <v>2</v>
      </c>
      <c r="F9222" s="294" t="s">
        <v>126</v>
      </c>
      <c r="G9222" s="294" t="s">
        <v>433</v>
      </c>
      <c r="H9222" s="298">
        <v>1</v>
      </c>
      <c r="M9222" s="274"/>
    </row>
    <row r="9223" spans="2:13" ht="15" customHeight="1" x14ac:dyDescent="0.25">
      <c r="B9223" s="289">
        <v>7102</v>
      </c>
      <c r="C9223" s="261">
        <v>105</v>
      </c>
      <c r="D9223" s="244" t="s">
        <v>11</v>
      </c>
      <c r="E9223" s="263">
        <v>15</v>
      </c>
      <c r="F9223" s="294" t="s">
        <v>1536</v>
      </c>
      <c r="G9223" s="294" t="s">
        <v>126</v>
      </c>
      <c r="H9223" s="298">
        <v>1</v>
      </c>
      <c r="M9223" s="274"/>
    </row>
    <row r="9224" spans="2:13" ht="15" customHeight="1" x14ac:dyDescent="0.25">
      <c r="B9224" s="289">
        <v>7103</v>
      </c>
      <c r="C9224" s="261">
        <v>102</v>
      </c>
      <c r="D9224" s="244" t="s">
        <v>11</v>
      </c>
      <c r="E9224" s="263">
        <v>6</v>
      </c>
      <c r="F9224" s="294" t="s">
        <v>1522</v>
      </c>
      <c r="G9224" s="294" t="s">
        <v>126</v>
      </c>
      <c r="H9224" s="298">
        <v>1</v>
      </c>
      <c r="M9224" s="274"/>
    </row>
    <row r="9225" spans="2:13" ht="15" customHeight="1" x14ac:dyDescent="0.25">
      <c r="B9225" s="289">
        <v>7104</v>
      </c>
      <c r="C9225" s="261">
        <v>108</v>
      </c>
      <c r="D9225" s="244" t="s">
        <v>11</v>
      </c>
      <c r="E9225" s="263">
        <v>1</v>
      </c>
      <c r="F9225" s="294" t="s">
        <v>139</v>
      </c>
      <c r="G9225" s="294" t="s">
        <v>126</v>
      </c>
      <c r="H9225" s="298">
        <v>1</v>
      </c>
      <c r="M9225" s="274"/>
    </row>
    <row r="9226" spans="2:13" ht="15" customHeight="1" x14ac:dyDescent="0.25">
      <c r="B9226" s="289">
        <v>7105</v>
      </c>
      <c r="C9226" s="261">
        <v>104</v>
      </c>
      <c r="D9226" s="244" t="s">
        <v>11</v>
      </c>
      <c r="E9226" s="263">
        <v>2</v>
      </c>
      <c r="F9226" s="294" t="s">
        <v>214</v>
      </c>
      <c r="G9226" s="294" t="s">
        <v>126</v>
      </c>
      <c r="H9226" s="298">
        <v>1</v>
      </c>
      <c r="M9226" s="274"/>
    </row>
    <row r="9227" spans="2:13" ht="15" customHeight="1" x14ac:dyDescent="0.25">
      <c r="B9227" s="289">
        <v>7106</v>
      </c>
      <c r="C9227" s="261">
        <v>102</v>
      </c>
      <c r="D9227" s="244" t="s">
        <v>11</v>
      </c>
      <c r="E9227" s="263">
        <v>4</v>
      </c>
      <c r="F9227" s="294" t="s">
        <v>964</v>
      </c>
      <c r="G9227" s="294" t="s">
        <v>126</v>
      </c>
      <c r="H9227" s="298">
        <v>1</v>
      </c>
      <c r="M9227" s="274"/>
    </row>
    <row r="9228" spans="2:13" ht="15" customHeight="1" x14ac:dyDescent="0.25">
      <c r="B9228" s="289">
        <v>7106</v>
      </c>
      <c r="C9228" s="261">
        <v>115</v>
      </c>
      <c r="D9228" s="244" t="s">
        <v>12</v>
      </c>
      <c r="E9228" s="263">
        <v>4</v>
      </c>
      <c r="F9228" s="294" t="s">
        <v>126</v>
      </c>
      <c r="G9228" s="294" t="s">
        <v>1471</v>
      </c>
      <c r="H9228" s="298">
        <v>1</v>
      </c>
      <c r="M9228" s="274"/>
    </row>
    <row r="9229" spans="2:13" ht="15" customHeight="1" x14ac:dyDescent="0.25">
      <c r="B9229" s="289">
        <v>7107</v>
      </c>
      <c r="C9229" s="261">
        <v>102</v>
      </c>
      <c r="D9229" s="244" t="s">
        <v>12</v>
      </c>
      <c r="E9229" s="263">
        <v>1</v>
      </c>
      <c r="F9229" s="294" t="s">
        <v>126</v>
      </c>
      <c r="G9229" s="294" t="s">
        <v>437</v>
      </c>
      <c r="H9229" s="298">
        <v>1</v>
      </c>
      <c r="M9229" s="274"/>
    </row>
    <row r="9230" spans="2:13" ht="15" customHeight="1" x14ac:dyDescent="0.25">
      <c r="B9230" s="289">
        <v>7107</v>
      </c>
      <c r="C9230" s="261">
        <v>105</v>
      </c>
      <c r="D9230" s="244" t="s">
        <v>12</v>
      </c>
      <c r="E9230" s="263">
        <v>18</v>
      </c>
      <c r="F9230" s="294" t="s">
        <v>126</v>
      </c>
      <c r="G9230" s="294" t="s">
        <v>1698</v>
      </c>
      <c r="H9230" s="298">
        <v>1</v>
      </c>
      <c r="M9230" s="274"/>
    </row>
    <row r="9231" spans="2:13" ht="15" customHeight="1" x14ac:dyDescent="0.25">
      <c r="B9231" s="289">
        <v>7108</v>
      </c>
      <c r="C9231" s="261">
        <v>98</v>
      </c>
      <c r="D9231" s="244" t="s">
        <v>12</v>
      </c>
      <c r="E9231" s="263">
        <v>1</v>
      </c>
      <c r="F9231" s="294" t="s">
        <v>126</v>
      </c>
      <c r="G9231" s="294" t="s">
        <v>235</v>
      </c>
      <c r="H9231" s="298">
        <v>1</v>
      </c>
      <c r="M9231" s="274"/>
    </row>
    <row r="9232" spans="2:13" ht="15" customHeight="1" x14ac:dyDescent="0.25">
      <c r="B9232" s="289">
        <v>7108</v>
      </c>
      <c r="C9232" s="261">
        <v>105</v>
      </c>
      <c r="D9232" s="244" t="s">
        <v>12</v>
      </c>
      <c r="E9232" s="263">
        <v>27</v>
      </c>
      <c r="F9232" s="294" t="s">
        <v>126</v>
      </c>
      <c r="G9232" s="294" t="s">
        <v>1699</v>
      </c>
      <c r="H9232" s="298">
        <v>1</v>
      </c>
      <c r="M9232" s="274"/>
    </row>
    <row r="9233" spans="2:13" ht="15" customHeight="1" x14ac:dyDescent="0.25">
      <c r="B9233" s="289">
        <v>7109</v>
      </c>
      <c r="C9233" s="261">
        <v>105</v>
      </c>
      <c r="D9233" s="244" t="s">
        <v>12</v>
      </c>
      <c r="E9233" s="263">
        <v>1</v>
      </c>
      <c r="F9233" s="294" t="s">
        <v>126</v>
      </c>
      <c r="G9233" s="294" t="s">
        <v>437</v>
      </c>
      <c r="H9233" s="298">
        <v>1</v>
      </c>
      <c r="M9233" s="274"/>
    </row>
    <row r="9234" spans="2:13" ht="15" customHeight="1" x14ac:dyDescent="0.25">
      <c r="B9234" s="289">
        <v>7110</v>
      </c>
      <c r="C9234" s="261">
        <v>105</v>
      </c>
      <c r="D9234" s="244" t="s">
        <v>12</v>
      </c>
      <c r="E9234" s="263">
        <v>2</v>
      </c>
      <c r="F9234" s="294" t="s">
        <v>126</v>
      </c>
      <c r="G9234" s="294" t="s">
        <v>1351</v>
      </c>
      <c r="H9234" s="298">
        <v>1</v>
      </c>
      <c r="M9234" s="274"/>
    </row>
    <row r="9235" spans="2:13" ht="15" customHeight="1" x14ac:dyDescent="0.25">
      <c r="B9235" s="289">
        <v>7110</v>
      </c>
      <c r="C9235" s="261">
        <v>112</v>
      </c>
      <c r="D9235" s="244" t="s">
        <v>11</v>
      </c>
      <c r="E9235" s="263">
        <v>2</v>
      </c>
      <c r="F9235" s="294" t="s">
        <v>136</v>
      </c>
      <c r="G9235" s="294" t="s">
        <v>126</v>
      </c>
      <c r="H9235" s="298">
        <v>1</v>
      </c>
      <c r="M9235" s="274"/>
    </row>
    <row r="9236" spans="2:13" ht="15" customHeight="1" x14ac:dyDescent="0.25">
      <c r="B9236" s="289">
        <v>7111</v>
      </c>
      <c r="C9236" s="261">
        <v>106</v>
      </c>
      <c r="D9236" s="244" t="s">
        <v>11</v>
      </c>
      <c r="E9236" s="263">
        <v>2</v>
      </c>
      <c r="F9236" s="294" t="s">
        <v>341</v>
      </c>
      <c r="G9236" s="294" t="s">
        <v>126</v>
      </c>
      <c r="H9236" s="298">
        <v>1</v>
      </c>
      <c r="M9236" s="274"/>
    </row>
    <row r="9237" spans="2:13" ht="15" customHeight="1" x14ac:dyDescent="0.25">
      <c r="B9237" s="289">
        <v>7112</v>
      </c>
      <c r="C9237" s="261">
        <v>105</v>
      </c>
      <c r="D9237" s="244" t="s">
        <v>12</v>
      </c>
      <c r="E9237" s="263">
        <v>1</v>
      </c>
      <c r="F9237" s="294" t="s">
        <v>126</v>
      </c>
      <c r="G9237" s="294" t="s">
        <v>139</v>
      </c>
      <c r="H9237" s="298">
        <v>1</v>
      </c>
      <c r="M9237" s="274"/>
    </row>
    <row r="9238" spans="2:13" ht="15" customHeight="1" x14ac:dyDescent="0.25">
      <c r="B9238" s="289">
        <v>7113</v>
      </c>
      <c r="C9238" s="261">
        <v>101</v>
      </c>
      <c r="D9238" s="244" t="s">
        <v>11</v>
      </c>
      <c r="E9238" s="263">
        <v>4</v>
      </c>
      <c r="F9238" s="294" t="s">
        <v>1568</v>
      </c>
      <c r="G9238" s="294" t="s">
        <v>126</v>
      </c>
      <c r="H9238" s="298">
        <v>1</v>
      </c>
      <c r="M9238" s="274"/>
    </row>
    <row r="9239" spans="2:13" ht="15" customHeight="1" x14ac:dyDescent="0.25">
      <c r="B9239" s="289">
        <v>7114</v>
      </c>
      <c r="C9239" s="261">
        <v>98</v>
      </c>
      <c r="D9239" s="244" t="s">
        <v>11</v>
      </c>
      <c r="E9239" s="263">
        <v>8</v>
      </c>
      <c r="F9239" s="294" t="s">
        <v>1519</v>
      </c>
      <c r="G9239" s="294" t="s">
        <v>126</v>
      </c>
      <c r="H9239" s="298">
        <v>1</v>
      </c>
      <c r="M9239" s="274"/>
    </row>
    <row r="9240" spans="2:13" ht="15" customHeight="1" x14ac:dyDescent="0.25">
      <c r="B9240" s="289">
        <v>7115</v>
      </c>
      <c r="C9240" s="261">
        <v>101</v>
      </c>
      <c r="D9240" s="244" t="s">
        <v>11</v>
      </c>
      <c r="E9240" s="263">
        <v>4</v>
      </c>
      <c r="F9240" s="294" t="s">
        <v>1568</v>
      </c>
      <c r="G9240" s="294" t="s">
        <v>126</v>
      </c>
      <c r="H9240" s="298">
        <v>1</v>
      </c>
      <c r="M9240" s="274"/>
    </row>
    <row r="9241" spans="2:13" ht="15" customHeight="1" x14ac:dyDescent="0.25">
      <c r="B9241" s="289">
        <v>7116</v>
      </c>
      <c r="C9241" s="261">
        <v>102</v>
      </c>
      <c r="D9241" s="244" t="s">
        <v>11</v>
      </c>
      <c r="E9241" s="263">
        <v>4</v>
      </c>
      <c r="F9241" s="294" t="s">
        <v>964</v>
      </c>
      <c r="G9241" s="294" t="s">
        <v>126</v>
      </c>
      <c r="H9241" s="298">
        <v>1</v>
      </c>
      <c r="M9241" s="274"/>
    </row>
    <row r="9242" spans="2:13" ht="15" customHeight="1" x14ac:dyDescent="0.25">
      <c r="B9242" s="289">
        <v>7116</v>
      </c>
      <c r="C9242" s="261">
        <v>114</v>
      </c>
      <c r="D9242" s="244" t="s">
        <v>12</v>
      </c>
      <c r="E9242" s="263">
        <v>4</v>
      </c>
      <c r="F9242" s="294" t="s">
        <v>126</v>
      </c>
      <c r="G9242" s="294" t="s">
        <v>1603</v>
      </c>
      <c r="H9242" s="298">
        <v>1</v>
      </c>
      <c r="M9242" s="274"/>
    </row>
    <row r="9243" spans="2:13" ht="15" customHeight="1" x14ac:dyDescent="0.25">
      <c r="B9243" s="289">
        <v>7117</v>
      </c>
      <c r="C9243" s="261">
        <v>101</v>
      </c>
      <c r="D9243" s="244" t="s">
        <v>11</v>
      </c>
      <c r="E9243" s="263">
        <v>4</v>
      </c>
      <c r="F9243" s="294" t="s">
        <v>1568</v>
      </c>
      <c r="G9243" s="294" t="s">
        <v>126</v>
      </c>
      <c r="H9243" s="298">
        <v>1</v>
      </c>
      <c r="M9243" s="274"/>
    </row>
    <row r="9244" spans="2:13" ht="15" customHeight="1" x14ac:dyDescent="0.25">
      <c r="B9244" s="289">
        <v>7118</v>
      </c>
      <c r="C9244" s="261">
        <v>106</v>
      </c>
      <c r="D9244" s="244" t="s">
        <v>11</v>
      </c>
      <c r="E9244" s="263">
        <v>2</v>
      </c>
      <c r="F9244" s="294" t="s">
        <v>341</v>
      </c>
      <c r="G9244" s="294" t="s">
        <v>126</v>
      </c>
      <c r="H9244" s="298">
        <v>1</v>
      </c>
      <c r="M9244" s="274"/>
    </row>
    <row r="9245" spans="2:13" ht="15" customHeight="1" x14ac:dyDescent="0.25">
      <c r="B9245" s="289">
        <v>7119</v>
      </c>
      <c r="C9245" s="261">
        <v>108</v>
      </c>
      <c r="D9245" s="244" t="s">
        <v>11</v>
      </c>
      <c r="E9245" s="263">
        <v>2</v>
      </c>
      <c r="F9245" s="294" t="s">
        <v>227</v>
      </c>
      <c r="G9245" s="294" t="s">
        <v>126</v>
      </c>
      <c r="H9245" s="298">
        <v>1</v>
      </c>
      <c r="M9245" s="274"/>
    </row>
    <row r="9246" spans="2:13" ht="15" customHeight="1" x14ac:dyDescent="0.25">
      <c r="B9246" s="289">
        <v>7120</v>
      </c>
      <c r="C9246" s="261">
        <v>106</v>
      </c>
      <c r="D9246" s="244" t="s">
        <v>11</v>
      </c>
      <c r="E9246" s="263">
        <v>5</v>
      </c>
      <c r="F9246" s="294" t="s">
        <v>1563</v>
      </c>
      <c r="G9246" s="294" t="s">
        <v>126</v>
      </c>
      <c r="H9246" s="298">
        <v>1</v>
      </c>
      <c r="M9246" s="274"/>
    </row>
    <row r="9247" spans="2:13" ht="15" customHeight="1" x14ac:dyDescent="0.25">
      <c r="B9247" s="289">
        <v>7121</v>
      </c>
      <c r="C9247" s="261">
        <v>105</v>
      </c>
      <c r="D9247" s="244" t="s">
        <v>12</v>
      </c>
      <c r="E9247" s="263">
        <v>1</v>
      </c>
      <c r="F9247" s="294" t="s">
        <v>126</v>
      </c>
      <c r="G9247" s="294" t="s">
        <v>437</v>
      </c>
      <c r="H9247" s="298">
        <v>1</v>
      </c>
      <c r="M9247" s="274"/>
    </row>
    <row r="9248" spans="2:13" ht="15" customHeight="1" x14ac:dyDescent="0.25">
      <c r="B9248" s="289">
        <v>7122</v>
      </c>
      <c r="C9248" s="261">
        <v>105</v>
      </c>
      <c r="D9248" s="244" t="s">
        <v>12</v>
      </c>
      <c r="E9248" s="263">
        <v>1</v>
      </c>
      <c r="F9248" s="294" t="s">
        <v>126</v>
      </c>
      <c r="G9248" s="294" t="s">
        <v>437</v>
      </c>
      <c r="H9248" s="298">
        <v>1</v>
      </c>
      <c r="M9248" s="274"/>
    </row>
    <row r="9249" spans="2:13" ht="15" customHeight="1" x14ac:dyDescent="0.25">
      <c r="B9249" s="289">
        <v>7123</v>
      </c>
      <c r="C9249" s="261">
        <v>100</v>
      </c>
      <c r="D9249" s="244" t="s">
        <v>11</v>
      </c>
      <c r="E9249" s="263">
        <v>6</v>
      </c>
      <c r="F9249" s="294" t="s">
        <v>1669</v>
      </c>
      <c r="G9249" s="294" t="s">
        <v>126</v>
      </c>
      <c r="H9249" s="298">
        <v>1</v>
      </c>
      <c r="M9249" s="274"/>
    </row>
    <row r="9250" spans="2:13" ht="15" customHeight="1" x14ac:dyDescent="0.25">
      <c r="B9250" s="289">
        <v>7123</v>
      </c>
      <c r="C9250" s="261">
        <v>114</v>
      </c>
      <c r="D9250" s="244" t="s">
        <v>12</v>
      </c>
      <c r="E9250" s="263">
        <v>6</v>
      </c>
      <c r="F9250" s="294" t="s">
        <v>126</v>
      </c>
      <c r="G9250" s="294" t="s">
        <v>1700</v>
      </c>
      <c r="H9250" s="298">
        <v>1</v>
      </c>
      <c r="M9250" s="274"/>
    </row>
    <row r="9251" spans="2:13" ht="15" customHeight="1" x14ac:dyDescent="0.25">
      <c r="B9251" s="289">
        <v>7124</v>
      </c>
      <c r="C9251" s="261">
        <v>105</v>
      </c>
      <c r="D9251" s="244" t="s">
        <v>11</v>
      </c>
      <c r="E9251" s="263">
        <v>1</v>
      </c>
      <c r="F9251" s="294" t="s">
        <v>437</v>
      </c>
      <c r="G9251" s="294" t="s">
        <v>126</v>
      </c>
      <c r="H9251" s="298">
        <v>1</v>
      </c>
      <c r="M9251" s="274"/>
    </row>
    <row r="9252" spans="2:13" ht="15" customHeight="1" x14ac:dyDescent="0.25">
      <c r="B9252" s="289">
        <v>7125</v>
      </c>
      <c r="C9252" s="261">
        <v>109</v>
      </c>
      <c r="D9252" s="244" t="s">
        <v>11</v>
      </c>
      <c r="E9252" s="263">
        <v>3</v>
      </c>
      <c r="F9252" s="294" t="s">
        <v>1701</v>
      </c>
      <c r="G9252" s="294" t="s">
        <v>126</v>
      </c>
      <c r="H9252" s="298">
        <v>1</v>
      </c>
      <c r="M9252" s="274"/>
    </row>
    <row r="9253" spans="2:13" ht="15" customHeight="1" x14ac:dyDescent="0.25">
      <c r="B9253" s="289">
        <v>7126</v>
      </c>
      <c r="C9253" s="261">
        <v>105</v>
      </c>
      <c r="D9253" s="244" t="s">
        <v>12</v>
      </c>
      <c r="E9253" s="263">
        <v>24</v>
      </c>
      <c r="F9253" s="294" t="s">
        <v>126</v>
      </c>
      <c r="G9253" s="294" t="s">
        <v>1702</v>
      </c>
      <c r="H9253" s="298">
        <v>1</v>
      </c>
      <c r="M9253" s="274"/>
    </row>
    <row r="9254" spans="2:13" ht="15" customHeight="1" x14ac:dyDescent="0.25">
      <c r="B9254" s="289">
        <v>7127</v>
      </c>
      <c r="C9254" s="261">
        <v>102</v>
      </c>
      <c r="D9254" s="244" t="s">
        <v>12</v>
      </c>
      <c r="E9254" s="263">
        <v>4</v>
      </c>
      <c r="F9254" s="294" t="s">
        <v>126</v>
      </c>
      <c r="G9254" s="294" t="s">
        <v>1703</v>
      </c>
      <c r="H9254" s="298">
        <v>1</v>
      </c>
      <c r="M9254" s="274"/>
    </row>
    <row r="9255" spans="2:13" ht="15" customHeight="1" x14ac:dyDescent="0.25">
      <c r="B9255" s="289">
        <v>7127</v>
      </c>
      <c r="C9255" s="261">
        <v>105</v>
      </c>
      <c r="D9255" s="244" t="s">
        <v>12</v>
      </c>
      <c r="E9255" s="263">
        <v>6</v>
      </c>
      <c r="F9255" s="294" t="s">
        <v>126</v>
      </c>
      <c r="G9255" s="294" t="s">
        <v>1704</v>
      </c>
      <c r="H9255" s="298">
        <v>1</v>
      </c>
      <c r="M9255" s="274"/>
    </row>
    <row r="9256" spans="2:13" ht="15" customHeight="1" x14ac:dyDescent="0.25">
      <c r="B9256" s="289">
        <v>7128</v>
      </c>
      <c r="C9256" s="261">
        <v>103</v>
      </c>
      <c r="D9256" s="244" t="s">
        <v>12</v>
      </c>
      <c r="E9256" s="263">
        <v>4</v>
      </c>
      <c r="F9256" s="294" t="s">
        <v>126</v>
      </c>
      <c r="G9256" s="294" t="s">
        <v>1705</v>
      </c>
      <c r="H9256" s="298">
        <v>1</v>
      </c>
      <c r="M9256" s="274"/>
    </row>
    <row r="9257" spans="2:13" ht="15" customHeight="1" x14ac:dyDescent="0.25">
      <c r="B9257" s="289">
        <v>7128</v>
      </c>
      <c r="C9257" s="261">
        <v>110</v>
      </c>
      <c r="D9257" s="244" t="s">
        <v>11</v>
      </c>
      <c r="E9257" s="263">
        <v>4</v>
      </c>
      <c r="F9257" s="294" t="s">
        <v>682</v>
      </c>
      <c r="G9257" s="294" t="s">
        <v>126</v>
      </c>
      <c r="H9257" s="298">
        <v>1</v>
      </c>
      <c r="M9257" s="274"/>
    </row>
    <row r="9258" spans="2:13" ht="15" customHeight="1" x14ac:dyDescent="0.25">
      <c r="B9258" s="289">
        <v>7129</v>
      </c>
      <c r="C9258" s="261">
        <v>100</v>
      </c>
      <c r="D9258" s="244" t="s">
        <v>12</v>
      </c>
      <c r="E9258" s="263">
        <v>5</v>
      </c>
      <c r="F9258" s="294" t="s">
        <v>126</v>
      </c>
      <c r="G9258" s="294" t="s">
        <v>1706</v>
      </c>
      <c r="H9258" s="298">
        <v>1</v>
      </c>
      <c r="M9258" s="274"/>
    </row>
    <row r="9259" spans="2:13" ht="15" customHeight="1" x14ac:dyDescent="0.25">
      <c r="B9259" s="289">
        <v>7129</v>
      </c>
      <c r="C9259" s="261">
        <v>110</v>
      </c>
      <c r="D9259" s="244" t="s">
        <v>11</v>
      </c>
      <c r="E9259" s="263">
        <v>5</v>
      </c>
      <c r="F9259" s="294" t="s">
        <v>595</v>
      </c>
      <c r="G9259" s="294" t="s">
        <v>126</v>
      </c>
      <c r="H9259" s="298">
        <v>1</v>
      </c>
      <c r="M9259" s="274"/>
    </row>
    <row r="9260" spans="2:13" ht="15" customHeight="1" x14ac:dyDescent="0.25">
      <c r="B9260" s="289">
        <v>7130</v>
      </c>
      <c r="C9260" s="261">
        <v>105</v>
      </c>
      <c r="D9260" s="244" t="s">
        <v>11</v>
      </c>
      <c r="E9260" s="263">
        <v>4</v>
      </c>
      <c r="F9260" s="294" t="s">
        <v>1498</v>
      </c>
      <c r="G9260" s="294" t="s">
        <v>126</v>
      </c>
      <c r="H9260" s="298">
        <v>1</v>
      </c>
      <c r="M9260" s="274"/>
    </row>
    <row r="9261" spans="2:13" ht="15" customHeight="1" x14ac:dyDescent="0.25">
      <c r="B9261" s="289">
        <v>7131</v>
      </c>
      <c r="C9261" s="261">
        <v>101</v>
      </c>
      <c r="D9261" s="244" t="s">
        <v>11</v>
      </c>
      <c r="E9261" s="263">
        <v>11</v>
      </c>
      <c r="F9261" s="294" t="s">
        <v>1530</v>
      </c>
      <c r="G9261" s="294" t="s">
        <v>126</v>
      </c>
      <c r="H9261" s="298">
        <v>1</v>
      </c>
      <c r="M9261" s="274"/>
    </row>
    <row r="9262" spans="2:13" ht="15" customHeight="1" x14ac:dyDescent="0.25">
      <c r="B9262" s="289">
        <v>7132</v>
      </c>
      <c r="C9262" s="261">
        <v>105</v>
      </c>
      <c r="D9262" s="244" t="s">
        <v>12</v>
      </c>
      <c r="E9262" s="263">
        <v>26</v>
      </c>
      <c r="F9262" s="294" t="s">
        <v>126</v>
      </c>
      <c r="G9262" s="294" t="s">
        <v>1707</v>
      </c>
      <c r="H9262" s="298">
        <v>1</v>
      </c>
      <c r="M9262" s="274"/>
    </row>
    <row r="9263" spans="2:13" ht="15" customHeight="1" x14ac:dyDescent="0.25">
      <c r="B9263" s="289">
        <v>7133</v>
      </c>
      <c r="C9263" s="261">
        <v>105</v>
      </c>
      <c r="D9263" s="244" t="s">
        <v>11</v>
      </c>
      <c r="E9263" s="263">
        <v>1</v>
      </c>
      <c r="F9263" s="294" t="s">
        <v>437</v>
      </c>
      <c r="G9263" s="294" t="s">
        <v>126</v>
      </c>
      <c r="H9263" s="298">
        <v>1</v>
      </c>
      <c r="M9263" s="274"/>
    </row>
    <row r="9264" spans="2:13" ht="15" customHeight="1" x14ac:dyDescent="0.25">
      <c r="B9264" s="289">
        <v>7134</v>
      </c>
      <c r="C9264" s="261">
        <v>99</v>
      </c>
      <c r="D9264" s="244" t="s">
        <v>12</v>
      </c>
      <c r="E9264" s="263">
        <v>4</v>
      </c>
      <c r="F9264" s="294" t="s">
        <v>126</v>
      </c>
      <c r="G9264" s="294" t="s">
        <v>1509</v>
      </c>
      <c r="H9264" s="298">
        <v>1</v>
      </c>
      <c r="M9264" s="274"/>
    </row>
    <row r="9265" spans="2:13" ht="15" customHeight="1" x14ac:dyDescent="0.25">
      <c r="B9265" s="289">
        <v>7134</v>
      </c>
      <c r="C9265" s="261">
        <v>105</v>
      </c>
      <c r="D9265" s="244" t="s">
        <v>12</v>
      </c>
      <c r="E9265" s="263">
        <v>27</v>
      </c>
      <c r="F9265" s="294" t="s">
        <v>126</v>
      </c>
      <c r="G9265" s="294" t="s">
        <v>1708</v>
      </c>
      <c r="H9265" s="298">
        <v>1</v>
      </c>
      <c r="M9265" s="274"/>
    </row>
    <row r="9266" spans="2:13" ht="15" customHeight="1" x14ac:dyDescent="0.25">
      <c r="B9266" s="289">
        <v>7135</v>
      </c>
      <c r="C9266" s="261">
        <v>102</v>
      </c>
      <c r="D9266" s="244" t="s">
        <v>11</v>
      </c>
      <c r="E9266" s="263">
        <v>3</v>
      </c>
      <c r="F9266" s="294" t="s">
        <v>648</v>
      </c>
      <c r="G9266" s="294" t="s">
        <v>126</v>
      </c>
      <c r="H9266" s="298">
        <v>1</v>
      </c>
      <c r="M9266" s="274"/>
    </row>
    <row r="9267" spans="2:13" ht="15" customHeight="1" x14ac:dyDescent="0.25">
      <c r="B9267" s="289">
        <v>7136</v>
      </c>
      <c r="C9267" s="261">
        <v>106</v>
      </c>
      <c r="D9267" s="244" t="s">
        <v>11</v>
      </c>
      <c r="E9267" s="263">
        <v>2</v>
      </c>
      <c r="F9267" s="294" t="s">
        <v>341</v>
      </c>
      <c r="G9267" s="294" t="s">
        <v>126</v>
      </c>
      <c r="H9267" s="298">
        <v>1</v>
      </c>
      <c r="M9267" s="274"/>
    </row>
    <row r="9268" spans="2:13" ht="15" customHeight="1" x14ac:dyDescent="0.25">
      <c r="B9268" s="289">
        <v>7137</v>
      </c>
      <c r="C9268" s="261">
        <v>101</v>
      </c>
      <c r="D9268" s="244" t="s">
        <v>11</v>
      </c>
      <c r="E9268" s="263">
        <v>15</v>
      </c>
      <c r="F9268" s="294" t="s">
        <v>1709</v>
      </c>
      <c r="G9268" s="294" t="s">
        <v>126</v>
      </c>
      <c r="H9268" s="298">
        <v>1</v>
      </c>
      <c r="M9268" s="274"/>
    </row>
    <row r="9269" spans="2:13" ht="15" customHeight="1" x14ac:dyDescent="0.25">
      <c r="B9269" s="289">
        <v>7138</v>
      </c>
      <c r="C9269" s="261">
        <v>106</v>
      </c>
      <c r="D9269" s="244" t="s">
        <v>11</v>
      </c>
      <c r="E9269" s="263">
        <v>6</v>
      </c>
      <c r="F9269" s="294" t="s">
        <v>1514</v>
      </c>
      <c r="G9269" s="294" t="s">
        <v>126</v>
      </c>
      <c r="H9269" s="298">
        <v>1</v>
      </c>
      <c r="M9269" s="274"/>
    </row>
    <row r="9270" spans="2:13" ht="15" customHeight="1" x14ac:dyDescent="0.25">
      <c r="B9270" s="289">
        <v>7139</v>
      </c>
      <c r="C9270" s="261">
        <v>110</v>
      </c>
      <c r="D9270" s="244" t="s">
        <v>12</v>
      </c>
      <c r="E9270" s="263">
        <v>9</v>
      </c>
      <c r="F9270" s="294" t="s">
        <v>126</v>
      </c>
      <c r="G9270" s="294" t="s">
        <v>1710</v>
      </c>
      <c r="H9270" s="298">
        <v>1</v>
      </c>
      <c r="M9270" s="274"/>
    </row>
    <row r="9271" spans="2:13" ht="15" customHeight="1" x14ac:dyDescent="0.25">
      <c r="B9271" s="289">
        <v>7140</v>
      </c>
      <c r="C9271" s="261">
        <v>105</v>
      </c>
      <c r="D9271" s="244" t="s">
        <v>11</v>
      </c>
      <c r="E9271" s="263">
        <v>3</v>
      </c>
      <c r="F9271" s="294" t="s">
        <v>499</v>
      </c>
      <c r="G9271" s="294" t="s">
        <v>126</v>
      </c>
      <c r="H9271" s="298">
        <v>1</v>
      </c>
      <c r="M9271" s="274"/>
    </row>
    <row r="9272" spans="2:13" ht="15" customHeight="1" x14ac:dyDescent="0.25">
      <c r="B9272" s="289">
        <v>7141</v>
      </c>
      <c r="C9272" s="261">
        <v>99</v>
      </c>
      <c r="D9272" s="244" t="s">
        <v>12</v>
      </c>
      <c r="E9272" s="263">
        <v>4</v>
      </c>
      <c r="F9272" s="294" t="s">
        <v>126</v>
      </c>
      <c r="G9272" s="294" t="s">
        <v>1711</v>
      </c>
      <c r="H9272" s="298">
        <v>1</v>
      </c>
      <c r="M9272" s="274"/>
    </row>
    <row r="9273" spans="2:13" ht="15" customHeight="1" x14ac:dyDescent="0.25">
      <c r="B9273" s="289">
        <v>7141</v>
      </c>
      <c r="C9273" s="261">
        <v>103</v>
      </c>
      <c r="D9273" s="244" t="s">
        <v>12</v>
      </c>
      <c r="E9273" s="263">
        <v>4</v>
      </c>
      <c r="F9273" s="294" t="s">
        <v>126</v>
      </c>
      <c r="G9273" s="294" t="s">
        <v>1712</v>
      </c>
      <c r="H9273" s="298">
        <v>1</v>
      </c>
      <c r="M9273" s="274"/>
    </row>
    <row r="9274" spans="2:13" ht="15" customHeight="1" x14ac:dyDescent="0.25">
      <c r="B9274" s="289">
        <v>7141</v>
      </c>
      <c r="C9274" s="261">
        <v>110</v>
      </c>
      <c r="D9274" s="244" t="s">
        <v>12</v>
      </c>
      <c r="E9274" s="263">
        <v>3</v>
      </c>
      <c r="F9274" s="294" t="s">
        <v>126</v>
      </c>
      <c r="G9274" s="294" t="s">
        <v>1472</v>
      </c>
      <c r="H9274" s="298">
        <v>1</v>
      </c>
      <c r="M9274" s="274"/>
    </row>
    <row r="9275" spans="2:13" ht="15" customHeight="1" x14ac:dyDescent="0.25">
      <c r="B9275" s="289">
        <v>7142</v>
      </c>
      <c r="C9275" s="261">
        <v>105</v>
      </c>
      <c r="D9275" s="244" t="s">
        <v>11</v>
      </c>
      <c r="E9275" s="263">
        <v>2</v>
      </c>
      <c r="F9275" s="294" t="s">
        <v>441</v>
      </c>
      <c r="G9275" s="294" t="s">
        <v>126</v>
      </c>
      <c r="H9275" s="298">
        <v>1</v>
      </c>
      <c r="M9275" s="274"/>
    </row>
    <row r="9276" spans="2:13" ht="15" customHeight="1" x14ac:dyDescent="0.25">
      <c r="B9276" s="289">
        <v>7143</v>
      </c>
      <c r="C9276" s="261">
        <v>104</v>
      </c>
      <c r="D9276" s="244" t="s">
        <v>12</v>
      </c>
      <c r="E9276" s="263">
        <v>2</v>
      </c>
      <c r="F9276" s="294" t="s">
        <v>126</v>
      </c>
      <c r="G9276" s="294" t="s">
        <v>233</v>
      </c>
      <c r="H9276" s="298">
        <v>1</v>
      </c>
      <c r="M9276" s="274"/>
    </row>
    <row r="9277" spans="2:13" ht="15" customHeight="1" x14ac:dyDescent="0.25">
      <c r="B9277" s="289">
        <v>7143</v>
      </c>
      <c r="C9277" s="261">
        <v>112</v>
      </c>
      <c r="D9277" s="244" t="s">
        <v>11</v>
      </c>
      <c r="E9277" s="263">
        <v>2</v>
      </c>
      <c r="F9277" s="294" t="s">
        <v>136</v>
      </c>
      <c r="G9277" s="294" t="s">
        <v>126</v>
      </c>
      <c r="H9277" s="298">
        <v>1</v>
      </c>
      <c r="M9277" s="274"/>
    </row>
    <row r="9278" spans="2:13" ht="15" customHeight="1" x14ac:dyDescent="0.25">
      <c r="B9278" s="289">
        <v>7144</v>
      </c>
      <c r="C9278" s="261">
        <v>104</v>
      </c>
      <c r="D9278" s="244" t="s">
        <v>11</v>
      </c>
      <c r="E9278" s="263">
        <v>2</v>
      </c>
      <c r="F9278" s="294" t="s">
        <v>214</v>
      </c>
      <c r="G9278" s="294" t="s">
        <v>126</v>
      </c>
      <c r="H9278" s="298">
        <v>1</v>
      </c>
      <c r="M9278" s="274"/>
    </row>
    <row r="9279" spans="2:13" ht="15" customHeight="1" x14ac:dyDescent="0.25">
      <c r="B9279" s="289">
        <v>7145</v>
      </c>
      <c r="C9279" s="261">
        <v>105</v>
      </c>
      <c r="D9279" s="244" t="s">
        <v>12</v>
      </c>
      <c r="E9279" s="263">
        <v>1</v>
      </c>
      <c r="F9279" s="294" t="s">
        <v>126</v>
      </c>
      <c r="G9279" s="294" t="s">
        <v>437</v>
      </c>
      <c r="H9279" s="298">
        <v>1</v>
      </c>
      <c r="M9279" s="274"/>
    </row>
    <row r="9280" spans="2:13" ht="15" customHeight="1" x14ac:dyDescent="0.25">
      <c r="B9280" s="289">
        <v>7146</v>
      </c>
      <c r="C9280" s="261">
        <v>105</v>
      </c>
      <c r="D9280" s="244" t="s">
        <v>11</v>
      </c>
      <c r="E9280" s="263">
        <v>1</v>
      </c>
      <c r="F9280" s="294" t="s">
        <v>437</v>
      </c>
      <c r="G9280" s="294" t="s">
        <v>126</v>
      </c>
      <c r="H9280" s="298">
        <v>1</v>
      </c>
      <c r="M9280" s="274"/>
    </row>
    <row r="9281" spans="2:13" ht="15" customHeight="1" x14ac:dyDescent="0.25">
      <c r="B9281" s="289">
        <v>7147</v>
      </c>
      <c r="C9281" s="261">
        <v>105</v>
      </c>
      <c r="D9281" s="244" t="s">
        <v>12</v>
      </c>
      <c r="E9281" s="263">
        <v>3</v>
      </c>
      <c r="F9281" s="294" t="s">
        <v>126</v>
      </c>
      <c r="G9281" s="294" t="s">
        <v>1640</v>
      </c>
      <c r="H9281" s="298">
        <v>1</v>
      </c>
      <c r="M9281" s="274"/>
    </row>
    <row r="9282" spans="2:13" ht="15" customHeight="1" x14ac:dyDescent="0.25">
      <c r="B9282" s="289">
        <v>7148</v>
      </c>
      <c r="C9282" s="261">
        <v>105</v>
      </c>
      <c r="D9282" s="244" t="s">
        <v>12</v>
      </c>
      <c r="E9282" s="263">
        <v>1</v>
      </c>
      <c r="F9282" s="294" t="s">
        <v>126</v>
      </c>
      <c r="G9282" s="294" t="s">
        <v>437</v>
      </c>
      <c r="H9282" s="298">
        <v>1</v>
      </c>
      <c r="M9282" s="274"/>
    </row>
    <row r="9283" spans="2:13" ht="15" customHeight="1" x14ac:dyDescent="0.25">
      <c r="B9283" s="289">
        <v>7149</v>
      </c>
      <c r="C9283" s="261">
        <v>104</v>
      </c>
      <c r="D9283" s="244" t="s">
        <v>12</v>
      </c>
      <c r="E9283" s="263">
        <v>2</v>
      </c>
      <c r="F9283" s="294" t="s">
        <v>126</v>
      </c>
      <c r="G9283" s="294" t="s">
        <v>136</v>
      </c>
      <c r="H9283" s="298">
        <v>1</v>
      </c>
      <c r="M9283" s="274"/>
    </row>
    <row r="9284" spans="2:13" ht="15" customHeight="1" x14ac:dyDescent="0.25">
      <c r="B9284" s="289">
        <v>7149</v>
      </c>
      <c r="C9284" s="261">
        <v>112</v>
      </c>
      <c r="D9284" s="244" t="s">
        <v>11</v>
      </c>
      <c r="E9284" s="263">
        <v>2</v>
      </c>
      <c r="F9284" s="294" t="s">
        <v>136</v>
      </c>
      <c r="G9284" s="294" t="s">
        <v>126</v>
      </c>
      <c r="H9284" s="298">
        <v>1</v>
      </c>
      <c r="M9284" s="274"/>
    </row>
    <row r="9285" spans="2:13" ht="15" customHeight="1" x14ac:dyDescent="0.25">
      <c r="B9285" s="289">
        <v>7150</v>
      </c>
      <c r="C9285" s="261">
        <v>102</v>
      </c>
      <c r="D9285" s="244" t="s">
        <v>11</v>
      </c>
      <c r="E9285" s="263">
        <v>3</v>
      </c>
      <c r="F9285" s="294" t="s">
        <v>648</v>
      </c>
      <c r="G9285" s="294" t="s">
        <v>126</v>
      </c>
      <c r="H9285" s="298">
        <v>1</v>
      </c>
      <c r="M9285" s="274"/>
    </row>
    <row r="9286" spans="2:13" ht="15" customHeight="1" x14ac:dyDescent="0.25">
      <c r="B9286" s="289">
        <v>7150</v>
      </c>
      <c r="C9286" s="261">
        <v>114</v>
      </c>
      <c r="D9286" s="244" t="s">
        <v>12</v>
      </c>
      <c r="E9286" s="263">
        <v>3</v>
      </c>
      <c r="F9286" s="294" t="s">
        <v>126</v>
      </c>
      <c r="G9286" s="294" t="s">
        <v>1327</v>
      </c>
      <c r="H9286" s="298">
        <v>1</v>
      </c>
      <c r="M9286" s="274"/>
    </row>
    <row r="9287" spans="2:13" ht="15" customHeight="1" x14ac:dyDescent="0.25">
      <c r="B9287" s="289">
        <v>7151</v>
      </c>
      <c r="C9287" s="261">
        <v>105</v>
      </c>
      <c r="D9287" s="244" t="s">
        <v>12</v>
      </c>
      <c r="E9287" s="263">
        <v>1</v>
      </c>
      <c r="F9287" s="294" t="s">
        <v>126</v>
      </c>
      <c r="G9287" s="294" t="s">
        <v>437</v>
      </c>
      <c r="H9287" s="298">
        <v>1</v>
      </c>
      <c r="M9287" s="274"/>
    </row>
    <row r="9288" spans="2:13" ht="15" customHeight="1" x14ac:dyDescent="0.25">
      <c r="B9288" s="289">
        <v>7153</v>
      </c>
      <c r="C9288" s="261">
        <v>102</v>
      </c>
      <c r="D9288" s="244" t="s">
        <v>11</v>
      </c>
      <c r="E9288" s="263">
        <v>1</v>
      </c>
      <c r="F9288" s="294" t="s">
        <v>235</v>
      </c>
      <c r="G9288" s="294" t="s">
        <v>126</v>
      </c>
      <c r="H9288" s="298">
        <v>1</v>
      </c>
      <c r="M9288" s="274"/>
    </row>
    <row r="9289" spans="2:13" ht="15" customHeight="1" x14ac:dyDescent="0.25">
      <c r="B9289" s="289">
        <v>7153</v>
      </c>
      <c r="C9289" s="261">
        <v>114</v>
      </c>
      <c r="D9289" s="244" t="s">
        <v>12</v>
      </c>
      <c r="E9289" s="263">
        <v>1</v>
      </c>
      <c r="F9289" s="294" t="s">
        <v>126</v>
      </c>
      <c r="G9289" s="294" t="s">
        <v>437</v>
      </c>
      <c r="H9289" s="298">
        <v>1</v>
      </c>
      <c r="M9289" s="274"/>
    </row>
    <row r="9290" spans="2:13" ht="15" customHeight="1" x14ac:dyDescent="0.25">
      <c r="B9290" s="289">
        <v>7154</v>
      </c>
      <c r="C9290" s="261">
        <v>102</v>
      </c>
      <c r="D9290" s="244" t="s">
        <v>11</v>
      </c>
      <c r="E9290" s="263">
        <v>3</v>
      </c>
      <c r="F9290" s="294" t="s">
        <v>648</v>
      </c>
      <c r="G9290" s="294" t="s">
        <v>126</v>
      </c>
      <c r="H9290" s="298">
        <v>1</v>
      </c>
      <c r="M9290" s="274"/>
    </row>
    <row r="9291" spans="2:13" ht="15" customHeight="1" x14ac:dyDescent="0.25">
      <c r="B9291" s="289">
        <v>7155</v>
      </c>
      <c r="C9291" s="261">
        <v>108</v>
      </c>
      <c r="D9291" s="244" t="s">
        <v>11</v>
      </c>
      <c r="E9291" s="263">
        <v>1</v>
      </c>
      <c r="F9291" s="294" t="s">
        <v>139</v>
      </c>
      <c r="G9291" s="294" t="s">
        <v>126</v>
      </c>
      <c r="H9291" s="298">
        <v>1</v>
      </c>
      <c r="M9291" s="274"/>
    </row>
    <row r="9292" spans="2:13" ht="15" customHeight="1" x14ac:dyDescent="0.25">
      <c r="B9292" s="289">
        <v>7157</v>
      </c>
      <c r="C9292" s="261">
        <v>99</v>
      </c>
      <c r="D9292" s="244" t="s">
        <v>12</v>
      </c>
      <c r="E9292" s="263">
        <v>8</v>
      </c>
      <c r="F9292" s="294" t="s">
        <v>126</v>
      </c>
      <c r="G9292" s="294" t="s">
        <v>1713</v>
      </c>
      <c r="H9292" s="298">
        <v>1</v>
      </c>
      <c r="M9292" s="274"/>
    </row>
    <row r="9293" spans="2:13" ht="15" customHeight="1" x14ac:dyDescent="0.25">
      <c r="B9293" s="289">
        <v>7158</v>
      </c>
      <c r="C9293" s="261">
        <v>98</v>
      </c>
      <c r="D9293" s="244" t="s">
        <v>12</v>
      </c>
      <c r="E9293" s="263">
        <v>3</v>
      </c>
      <c r="F9293" s="294" t="s">
        <v>126</v>
      </c>
      <c r="G9293" s="294" t="s">
        <v>722</v>
      </c>
      <c r="H9293" s="298">
        <v>1</v>
      </c>
      <c r="M9293" s="274"/>
    </row>
    <row r="9294" spans="2:13" ht="15" customHeight="1" x14ac:dyDescent="0.25">
      <c r="B9294" s="289">
        <v>7158</v>
      </c>
      <c r="C9294" s="261">
        <v>111</v>
      </c>
      <c r="D9294" s="244" t="s">
        <v>11</v>
      </c>
      <c r="E9294" s="263">
        <v>3</v>
      </c>
      <c r="F9294" s="294" t="s">
        <v>1478</v>
      </c>
      <c r="G9294" s="294" t="s">
        <v>126</v>
      </c>
      <c r="H9294" s="298">
        <v>1</v>
      </c>
      <c r="M9294" s="274"/>
    </row>
    <row r="9295" spans="2:13" ht="15" customHeight="1" x14ac:dyDescent="0.25">
      <c r="B9295" s="289">
        <v>7159</v>
      </c>
      <c r="C9295" s="261">
        <v>102</v>
      </c>
      <c r="D9295" s="244" t="s">
        <v>12</v>
      </c>
      <c r="E9295" s="263">
        <v>1</v>
      </c>
      <c r="F9295" s="294" t="s">
        <v>126</v>
      </c>
      <c r="G9295" s="294" t="s">
        <v>139</v>
      </c>
      <c r="H9295" s="298">
        <v>1</v>
      </c>
      <c r="M9295" s="274"/>
    </row>
    <row r="9296" spans="2:13" ht="15" customHeight="1" x14ac:dyDescent="0.25">
      <c r="B9296" s="289">
        <v>7159</v>
      </c>
      <c r="C9296" s="261">
        <v>105</v>
      </c>
      <c r="D9296" s="244" t="s">
        <v>12</v>
      </c>
      <c r="E9296" s="263">
        <v>10</v>
      </c>
      <c r="F9296" s="294" t="s">
        <v>126</v>
      </c>
      <c r="G9296" s="294" t="s">
        <v>1714</v>
      </c>
      <c r="H9296" s="298">
        <v>1</v>
      </c>
      <c r="M9296" s="274"/>
    </row>
    <row r="9297" spans="2:13" ht="15" customHeight="1" x14ac:dyDescent="0.25">
      <c r="B9297" s="289">
        <v>7160</v>
      </c>
      <c r="C9297" s="261">
        <v>108</v>
      </c>
      <c r="D9297" s="244" t="s">
        <v>11</v>
      </c>
      <c r="E9297" s="263">
        <v>1</v>
      </c>
      <c r="F9297" s="294" t="s">
        <v>139</v>
      </c>
      <c r="G9297" s="294" t="s">
        <v>126</v>
      </c>
      <c r="H9297" s="298">
        <v>1</v>
      </c>
      <c r="M9297" s="274"/>
    </row>
    <row r="9298" spans="2:13" ht="15" customHeight="1" x14ac:dyDescent="0.25">
      <c r="B9298" s="289">
        <v>7161</v>
      </c>
      <c r="C9298" s="261">
        <v>107</v>
      </c>
      <c r="D9298" s="244" t="s">
        <v>11</v>
      </c>
      <c r="E9298" s="263">
        <v>3</v>
      </c>
      <c r="F9298" s="294" t="s">
        <v>863</v>
      </c>
      <c r="G9298" s="294" t="s">
        <v>126</v>
      </c>
      <c r="H9298" s="298">
        <v>1</v>
      </c>
      <c r="M9298" s="274"/>
    </row>
    <row r="9299" spans="2:13" ht="15" customHeight="1" x14ac:dyDescent="0.25">
      <c r="B9299" s="289">
        <v>7162</v>
      </c>
      <c r="C9299" s="261">
        <v>105</v>
      </c>
      <c r="D9299" s="244" t="s">
        <v>12</v>
      </c>
      <c r="E9299" s="263">
        <v>1</v>
      </c>
      <c r="F9299" s="294" t="s">
        <v>126</v>
      </c>
      <c r="G9299" s="294" t="s">
        <v>437</v>
      </c>
      <c r="H9299" s="298">
        <v>1</v>
      </c>
      <c r="M9299" s="274"/>
    </row>
    <row r="9300" spans="2:13" ht="15" customHeight="1" x14ac:dyDescent="0.25">
      <c r="B9300" s="289">
        <v>7164</v>
      </c>
      <c r="C9300" s="261">
        <v>102</v>
      </c>
      <c r="D9300" s="244" t="s">
        <v>12</v>
      </c>
      <c r="E9300" s="263">
        <v>1</v>
      </c>
      <c r="F9300" s="294" t="s">
        <v>126</v>
      </c>
      <c r="G9300" s="294" t="s">
        <v>437</v>
      </c>
      <c r="H9300" s="298">
        <v>1</v>
      </c>
      <c r="M9300" s="274"/>
    </row>
    <row r="9301" spans="2:13" ht="15" customHeight="1" x14ac:dyDescent="0.25">
      <c r="B9301" s="289">
        <v>7164</v>
      </c>
      <c r="C9301" s="261">
        <v>113</v>
      </c>
      <c r="D9301" s="244" t="s">
        <v>11</v>
      </c>
      <c r="E9301" s="263">
        <v>1</v>
      </c>
      <c r="F9301" s="294" t="s">
        <v>139</v>
      </c>
      <c r="G9301" s="294" t="s">
        <v>126</v>
      </c>
      <c r="H9301" s="298">
        <v>1</v>
      </c>
      <c r="M9301" s="274"/>
    </row>
    <row r="9302" spans="2:13" ht="15" customHeight="1" x14ac:dyDescent="0.25">
      <c r="B9302" s="289">
        <v>7165</v>
      </c>
      <c r="C9302" s="261">
        <v>105</v>
      </c>
      <c r="D9302" s="244" t="s">
        <v>12</v>
      </c>
      <c r="E9302" s="263">
        <v>1</v>
      </c>
      <c r="F9302" s="294" t="s">
        <v>126</v>
      </c>
      <c r="G9302" s="294" t="s">
        <v>437</v>
      </c>
      <c r="H9302" s="298">
        <v>1</v>
      </c>
      <c r="M9302" s="274"/>
    </row>
    <row r="9303" spans="2:13" ht="15" customHeight="1" x14ac:dyDescent="0.25">
      <c r="B9303" s="289">
        <v>7166</v>
      </c>
      <c r="C9303" s="261">
        <v>106</v>
      </c>
      <c r="D9303" s="244" t="s">
        <v>11</v>
      </c>
      <c r="E9303" s="263">
        <v>5</v>
      </c>
      <c r="F9303" s="294" t="s">
        <v>1563</v>
      </c>
      <c r="G9303" s="294" t="s">
        <v>126</v>
      </c>
      <c r="H9303" s="298">
        <v>1</v>
      </c>
      <c r="M9303" s="274"/>
    </row>
    <row r="9304" spans="2:13" ht="15" customHeight="1" x14ac:dyDescent="0.25">
      <c r="B9304" s="289">
        <v>7167</v>
      </c>
      <c r="C9304" s="261">
        <v>107</v>
      </c>
      <c r="D9304" s="244" t="s">
        <v>11</v>
      </c>
      <c r="E9304" s="263">
        <v>32</v>
      </c>
      <c r="F9304" s="294" t="s">
        <v>1715</v>
      </c>
      <c r="G9304" s="294" t="s">
        <v>126</v>
      </c>
      <c r="H9304" s="298">
        <v>1</v>
      </c>
      <c r="M9304" s="274"/>
    </row>
    <row r="9305" spans="2:13" ht="15" customHeight="1" x14ac:dyDescent="0.25">
      <c r="B9305" s="289">
        <v>7168</v>
      </c>
      <c r="C9305" s="261">
        <v>102</v>
      </c>
      <c r="D9305" s="244" t="s">
        <v>11</v>
      </c>
      <c r="E9305" s="263">
        <v>1</v>
      </c>
      <c r="F9305" s="294" t="s">
        <v>235</v>
      </c>
      <c r="G9305" s="294" t="s">
        <v>126</v>
      </c>
      <c r="H9305" s="298">
        <v>1</v>
      </c>
      <c r="M9305" s="274"/>
    </row>
    <row r="9306" spans="2:13" ht="15" customHeight="1" x14ac:dyDescent="0.25">
      <c r="B9306" s="289">
        <v>7168</v>
      </c>
      <c r="C9306" s="261">
        <v>105</v>
      </c>
      <c r="D9306" s="244" t="s">
        <v>12</v>
      </c>
      <c r="E9306" s="263">
        <v>36</v>
      </c>
      <c r="F9306" s="294" t="s">
        <v>126</v>
      </c>
      <c r="G9306" s="294" t="s">
        <v>1716</v>
      </c>
      <c r="H9306" s="298">
        <v>1</v>
      </c>
      <c r="M9306" s="274"/>
    </row>
    <row r="9307" spans="2:13" ht="15" customHeight="1" x14ac:dyDescent="0.25">
      <c r="B9307" s="289">
        <v>7169</v>
      </c>
      <c r="C9307" s="261">
        <v>100</v>
      </c>
      <c r="D9307" s="244" t="s">
        <v>11</v>
      </c>
      <c r="E9307" s="263">
        <v>6</v>
      </c>
      <c r="F9307" s="294" t="s">
        <v>1669</v>
      </c>
      <c r="G9307" s="294" t="s">
        <v>126</v>
      </c>
      <c r="H9307" s="298">
        <v>1</v>
      </c>
      <c r="M9307" s="274"/>
    </row>
    <row r="9308" spans="2:13" ht="15" customHeight="1" x14ac:dyDescent="0.25">
      <c r="B9308" s="289">
        <v>7169</v>
      </c>
      <c r="C9308" s="261">
        <v>118</v>
      </c>
      <c r="D9308" s="244" t="s">
        <v>11</v>
      </c>
      <c r="E9308" s="263">
        <v>2</v>
      </c>
      <c r="F9308" s="294" t="s">
        <v>789</v>
      </c>
      <c r="G9308" s="294" t="s">
        <v>126</v>
      </c>
      <c r="H9308" s="298">
        <v>1</v>
      </c>
      <c r="M9308" s="274"/>
    </row>
    <row r="9309" spans="2:13" ht="15" customHeight="1" x14ac:dyDescent="0.25">
      <c r="B9309" s="289">
        <v>7170</v>
      </c>
      <c r="C9309" s="261">
        <v>102</v>
      </c>
      <c r="D9309" s="244" t="s">
        <v>11</v>
      </c>
      <c r="E9309" s="263">
        <v>4</v>
      </c>
      <c r="F9309" s="294" t="s">
        <v>964</v>
      </c>
      <c r="G9309" s="294" t="s">
        <v>126</v>
      </c>
      <c r="H9309" s="298">
        <v>1</v>
      </c>
      <c r="M9309" s="274"/>
    </row>
    <row r="9310" spans="2:13" ht="15" customHeight="1" x14ac:dyDescent="0.25">
      <c r="B9310" s="289">
        <v>7170</v>
      </c>
      <c r="C9310" s="261">
        <v>114</v>
      </c>
      <c r="D9310" s="244" t="s">
        <v>12</v>
      </c>
      <c r="E9310" s="263">
        <v>4</v>
      </c>
      <c r="F9310" s="294" t="s">
        <v>126</v>
      </c>
      <c r="G9310" s="294" t="s">
        <v>1717</v>
      </c>
      <c r="H9310" s="298">
        <v>1</v>
      </c>
      <c r="M9310" s="274"/>
    </row>
    <row r="9311" spans="2:13" ht="15" customHeight="1" x14ac:dyDescent="0.25">
      <c r="B9311" s="289">
        <v>7171</v>
      </c>
      <c r="C9311" s="261">
        <v>102</v>
      </c>
      <c r="D9311" s="244" t="s">
        <v>11</v>
      </c>
      <c r="E9311" s="263">
        <v>1</v>
      </c>
      <c r="F9311" s="294" t="s">
        <v>235</v>
      </c>
      <c r="G9311" s="294" t="s">
        <v>126</v>
      </c>
      <c r="H9311" s="298">
        <v>1</v>
      </c>
      <c r="M9311" s="274"/>
    </row>
    <row r="9312" spans="2:13" ht="15" customHeight="1" x14ac:dyDescent="0.25">
      <c r="B9312" s="289">
        <v>7171</v>
      </c>
      <c r="C9312" s="261">
        <v>114</v>
      </c>
      <c r="D9312" s="244" t="s">
        <v>12</v>
      </c>
      <c r="E9312" s="263">
        <v>1</v>
      </c>
      <c r="F9312" s="294" t="s">
        <v>126</v>
      </c>
      <c r="G9312" s="294" t="s">
        <v>437</v>
      </c>
      <c r="H9312" s="298">
        <v>1</v>
      </c>
      <c r="M9312" s="274"/>
    </row>
    <row r="9313" spans="2:13" ht="15" customHeight="1" x14ac:dyDescent="0.25">
      <c r="B9313" s="289">
        <v>7172</v>
      </c>
      <c r="C9313" s="261">
        <v>101</v>
      </c>
      <c r="D9313" s="244" t="s">
        <v>11</v>
      </c>
      <c r="E9313" s="263">
        <v>11</v>
      </c>
      <c r="F9313" s="294" t="s">
        <v>1530</v>
      </c>
      <c r="G9313" s="294" t="s">
        <v>126</v>
      </c>
      <c r="H9313" s="298">
        <v>1</v>
      </c>
      <c r="M9313" s="274"/>
    </row>
    <row r="9314" spans="2:13" ht="15" customHeight="1" x14ac:dyDescent="0.25">
      <c r="B9314" s="289">
        <v>7173</v>
      </c>
      <c r="C9314" s="261">
        <v>105</v>
      </c>
      <c r="D9314" s="244" t="s">
        <v>12</v>
      </c>
      <c r="E9314" s="263">
        <v>12</v>
      </c>
      <c r="F9314" s="294" t="s">
        <v>126</v>
      </c>
      <c r="G9314" s="294" t="s">
        <v>1718</v>
      </c>
      <c r="H9314" s="298">
        <v>1</v>
      </c>
      <c r="M9314" s="274"/>
    </row>
    <row r="9315" spans="2:13" ht="15" customHeight="1" x14ac:dyDescent="0.25">
      <c r="B9315" s="289">
        <v>7174</v>
      </c>
      <c r="C9315" s="261">
        <v>105</v>
      </c>
      <c r="D9315" s="244" t="s">
        <v>12</v>
      </c>
      <c r="E9315" s="263">
        <v>1</v>
      </c>
      <c r="F9315" s="294" t="s">
        <v>126</v>
      </c>
      <c r="G9315" s="294" t="s">
        <v>437</v>
      </c>
      <c r="H9315" s="298">
        <v>1</v>
      </c>
      <c r="M9315" s="274"/>
    </row>
    <row r="9316" spans="2:13" ht="15" customHeight="1" x14ac:dyDescent="0.25">
      <c r="B9316" s="289">
        <v>7175</v>
      </c>
      <c r="C9316" s="261">
        <v>105</v>
      </c>
      <c r="D9316" s="244" t="s">
        <v>12</v>
      </c>
      <c r="E9316" s="263">
        <v>1</v>
      </c>
      <c r="F9316" s="294" t="s">
        <v>126</v>
      </c>
      <c r="G9316" s="294" t="s">
        <v>437</v>
      </c>
      <c r="H9316" s="298">
        <v>1</v>
      </c>
      <c r="M9316" s="274"/>
    </row>
    <row r="9317" spans="2:13" ht="15" customHeight="1" x14ac:dyDescent="0.25">
      <c r="B9317" s="289">
        <v>7176</v>
      </c>
      <c r="C9317" s="261">
        <v>104</v>
      </c>
      <c r="D9317" s="244" t="s">
        <v>11</v>
      </c>
      <c r="E9317" s="263">
        <v>8</v>
      </c>
      <c r="F9317" s="294" t="s">
        <v>1719</v>
      </c>
      <c r="G9317" s="294" t="s">
        <v>126</v>
      </c>
      <c r="H9317" s="298">
        <v>1</v>
      </c>
      <c r="M9317" s="274"/>
    </row>
    <row r="9318" spans="2:13" ht="15" customHeight="1" x14ac:dyDescent="0.25">
      <c r="B9318" s="289">
        <v>7178</v>
      </c>
      <c r="C9318" s="261">
        <v>104</v>
      </c>
      <c r="D9318" s="244" t="s">
        <v>11</v>
      </c>
      <c r="E9318" s="263">
        <v>2</v>
      </c>
      <c r="F9318" s="294" t="s">
        <v>214</v>
      </c>
      <c r="G9318" s="294" t="s">
        <v>126</v>
      </c>
      <c r="H9318" s="298">
        <v>1</v>
      </c>
      <c r="M9318" s="274"/>
    </row>
    <row r="9319" spans="2:13" ht="15" customHeight="1" x14ac:dyDescent="0.25">
      <c r="B9319" s="289">
        <v>7178</v>
      </c>
      <c r="C9319" s="261">
        <v>114</v>
      </c>
      <c r="D9319" s="244" t="s">
        <v>12</v>
      </c>
      <c r="E9319" s="263">
        <v>2</v>
      </c>
      <c r="F9319" s="294" t="s">
        <v>126</v>
      </c>
      <c r="G9319" s="294" t="s">
        <v>214</v>
      </c>
      <c r="H9319" s="298">
        <v>1</v>
      </c>
      <c r="M9319" s="274"/>
    </row>
    <row r="9320" spans="2:13" ht="15" customHeight="1" x14ac:dyDescent="0.25">
      <c r="B9320" s="289">
        <v>7179</v>
      </c>
      <c r="C9320" s="261">
        <v>105</v>
      </c>
      <c r="D9320" s="244" t="s">
        <v>12</v>
      </c>
      <c r="E9320" s="263">
        <v>2</v>
      </c>
      <c r="F9320" s="294" t="s">
        <v>126</v>
      </c>
      <c r="G9320" s="294" t="s">
        <v>136</v>
      </c>
      <c r="H9320" s="298">
        <v>1</v>
      </c>
      <c r="M9320" s="274"/>
    </row>
    <row r="9321" spans="2:13" ht="15" customHeight="1" x14ac:dyDescent="0.25">
      <c r="B9321" s="289">
        <v>7180</v>
      </c>
      <c r="C9321" s="261">
        <v>102</v>
      </c>
      <c r="D9321" s="244" t="s">
        <v>11</v>
      </c>
      <c r="E9321" s="263">
        <v>3</v>
      </c>
      <c r="F9321" s="294" t="s">
        <v>648</v>
      </c>
      <c r="G9321" s="294" t="s">
        <v>126</v>
      </c>
      <c r="H9321" s="298">
        <v>1</v>
      </c>
      <c r="M9321" s="274"/>
    </row>
    <row r="9322" spans="2:13" ht="15" customHeight="1" x14ac:dyDescent="0.25">
      <c r="B9322" s="289">
        <v>7180</v>
      </c>
      <c r="C9322" s="261">
        <v>114</v>
      </c>
      <c r="D9322" s="244" t="s">
        <v>12</v>
      </c>
      <c r="E9322" s="263">
        <v>3</v>
      </c>
      <c r="F9322" s="294" t="s">
        <v>126</v>
      </c>
      <c r="G9322" s="294" t="s">
        <v>1720</v>
      </c>
      <c r="H9322" s="298">
        <v>1</v>
      </c>
      <c r="M9322" s="274"/>
    </row>
    <row r="9323" spans="2:13" ht="15" customHeight="1" x14ac:dyDescent="0.25">
      <c r="B9323" s="289">
        <v>7181</v>
      </c>
      <c r="C9323" s="261">
        <v>105</v>
      </c>
      <c r="D9323" s="244" t="s">
        <v>11</v>
      </c>
      <c r="E9323" s="263">
        <v>1</v>
      </c>
      <c r="F9323" s="294" t="s">
        <v>437</v>
      </c>
      <c r="G9323" s="294" t="s">
        <v>126</v>
      </c>
      <c r="H9323" s="298">
        <v>1</v>
      </c>
      <c r="M9323" s="274"/>
    </row>
    <row r="9324" spans="2:13" ht="15" customHeight="1" x14ac:dyDescent="0.25">
      <c r="B9324" s="289">
        <v>7182</v>
      </c>
      <c r="C9324" s="261">
        <v>105</v>
      </c>
      <c r="D9324" s="244" t="s">
        <v>12</v>
      </c>
      <c r="E9324" s="263">
        <v>44</v>
      </c>
      <c r="F9324" s="294" t="s">
        <v>126</v>
      </c>
      <c r="G9324" s="294" t="s">
        <v>1721</v>
      </c>
      <c r="H9324" s="298">
        <v>1</v>
      </c>
      <c r="M9324" s="274"/>
    </row>
    <row r="9325" spans="2:13" ht="15" customHeight="1" x14ac:dyDescent="0.25">
      <c r="B9325" s="289">
        <v>7183</v>
      </c>
      <c r="C9325" s="261">
        <v>102</v>
      </c>
      <c r="D9325" s="244" t="s">
        <v>11</v>
      </c>
      <c r="E9325" s="263">
        <v>1</v>
      </c>
      <c r="F9325" s="294" t="s">
        <v>235</v>
      </c>
      <c r="G9325" s="294" t="s">
        <v>126</v>
      </c>
      <c r="H9325" s="298">
        <v>1</v>
      </c>
      <c r="M9325" s="274"/>
    </row>
    <row r="9326" spans="2:13" ht="15" customHeight="1" x14ac:dyDescent="0.25">
      <c r="B9326" s="289">
        <v>7183</v>
      </c>
      <c r="C9326" s="261">
        <v>105</v>
      </c>
      <c r="D9326" s="244" t="s">
        <v>12</v>
      </c>
      <c r="E9326" s="263">
        <v>24</v>
      </c>
      <c r="F9326" s="294" t="s">
        <v>126</v>
      </c>
      <c r="G9326" s="294" t="s">
        <v>1722</v>
      </c>
      <c r="H9326" s="298">
        <v>1</v>
      </c>
      <c r="M9326" s="274"/>
    </row>
    <row r="9327" spans="2:13" ht="15" customHeight="1" x14ac:dyDescent="0.25">
      <c r="B9327" s="289">
        <v>7183</v>
      </c>
      <c r="C9327" s="261">
        <v>115</v>
      </c>
      <c r="D9327" s="244" t="s">
        <v>12</v>
      </c>
      <c r="E9327" s="263">
        <v>6</v>
      </c>
      <c r="F9327" s="294" t="s">
        <v>126</v>
      </c>
      <c r="G9327" s="294" t="s">
        <v>1723</v>
      </c>
      <c r="H9327" s="298">
        <v>1</v>
      </c>
      <c r="M9327" s="274"/>
    </row>
    <row r="9328" spans="2:13" ht="15" customHeight="1" x14ac:dyDescent="0.25">
      <c r="B9328" s="289">
        <v>7184</v>
      </c>
      <c r="C9328" s="261">
        <v>99</v>
      </c>
      <c r="D9328" s="244" t="s">
        <v>12</v>
      </c>
      <c r="E9328" s="263">
        <v>8</v>
      </c>
      <c r="F9328" s="294" t="s">
        <v>126</v>
      </c>
      <c r="G9328" s="294" t="s">
        <v>1724</v>
      </c>
      <c r="H9328" s="298">
        <v>1</v>
      </c>
      <c r="M9328" s="274"/>
    </row>
    <row r="9329" spans="2:13" ht="15" customHeight="1" x14ac:dyDescent="0.25">
      <c r="B9329" s="289">
        <v>7184</v>
      </c>
      <c r="C9329" s="261">
        <v>110</v>
      </c>
      <c r="D9329" s="244" t="s">
        <v>12</v>
      </c>
      <c r="E9329" s="263">
        <v>1</v>
      </c>
      <c r="F9329" s="294" t="s">
        <v>126</v>
      </c>
      <c r="G9329" s="294" t="s">
        <v>437</v>
      </c>
      <c r="H9329" s="298">
        <v>1</v>
      </c>
      <c r="M9329" s="274"/>
    </row>
    <row r="9330" spans="2:13" ht="15" customHeight="1" x14ac:dyDescent="0.25">
      <c r="B9330" s="289">
        <v>7185</v>
      </c>
      <c r="C9330" s="261">
        <v>99</v>
      </c>
      <c r="D9330" s="244" t="s">
        <v>12</v>
      </c>
      <c r="E9330" s="263">
        <v>2</v>
      </c>
      <c r="F9330" s="294" t="s">
        <v>126</v>
      </c>
      <c r="G9330" s="294" t="s">
        <v>789</v>
      </c>
      <c r="H9330" s="298">
        <v>1</v>
      </c>
      <c r="M9330" s="274"/>
    </row>
    <row r="9331" spans="2:13" ht="15" customHeight="1" x14ac:dyDescent="0.25">
      <c r="B9331" s="289">
        <v>7185</v>
      </c>
      <c r="C9331" s="261">
        <v>105</v>
      </c>
      <c r="D9331" s="244" t="s">
        <v>12</v>
      </c>
      <c r="E9331" s="263">
        <v>38</v>
      </c>
      <c r="F9331" s="294" t="s">
        <v>126</v>
      </c>
      <c r="G9331" s="294" t="s">
        <v>1725</v>
      </c>
      <c r="H9331" s="298">
        <v>1</v>
      </c>
      <c r="M9331" s="274"/>
    </row>
    <row r="9332" spans="2:13" ht="15" customHeight="1" x14ac:dyDescent="0.25">
      <c r="B9332" s="289">
        <v>7185</v>
      </c>
      <c r="C9332" s="261">
        <v>114</v>
      </c>
      <c r="D9332" s="244" t="s">
        <v>12</v>
      </c>
      <c r="E9332" s="263">
        <v>2</v>
      </c>
      <c r="F9332" s="294" t="s">
        <v>126</v>
      </c>
      <c r="G9332" s="294" t="s">
        <v>285</v>
      </c>
      <c r="H9332" s="298">
        <v>1</v>
      </c>
      <c r="M9332" s="274"/>
    </row>
    <row r="9333" spans="2:13" ht="15" customHeight="1" x14ac:dyDescent="0.25">
      <c r="B9333" s="289">
        <v>7186</v>
      </c>
      <c r="C9333" s="261">
        <v>104</v>
      </c>
      <c r="D9333" s="244" t="s">
        <v>11</v>
      </c>
      <c r="E9333" s="263">
        <v>26</v>
      </c>
      <c r="F9333" s="294" t="s">
        <v>1726</v>
      </c>
      <c r="G9333" s="294" t="s">
        <v>126</v>
      </c>
      <c r="H9333" s="298">
        <v>1</v>
      </c>
      <c r="M9333" s="274"/>
    </row>
    <row r="9334" spans="2:13" ht="15" customHeight="1" x14ac:dyDescent="0.25">
      <c r="B9334" s="289">
        <v>7187</v>
      </c>
      <c r="C9334" s="261">
        <v>105</v>
      </c>
      <c r="D9334" s="244" t="s">
        <v>12</v>
      </c>
      <c r="E9334" s="263">
        <v>1</v>
      </c>
      <c r="F9334" s="294" t="s">
        <v>126</v>
      </c>
      <c r="G9334" s="294" t="s">
        <v>437</v>
      </c>
      <c r="H9334" s="298">
        <v>1</v>
      </c>
      <c r="M9334" s="274"/>
    </row>
    <row r="9335" spans="2:13" ht="15" customHeight="1" x14ac:dyDescent="0.25">
      <c r="B9335" s="289">
        <v>7188</v>
      </c>
      <c r="C9335" s="261">
        <v>106</v>
      </c>
      <c r="D9335" s="244" t="s">
        <v>12</v>
      </c>
      <c r="E9335" s="263">
        <v>5</v>
      </c>
      <c r="F9335" s="294" t="s">
        <v>126</v>
      </c>
      <c r="G9335" s="294" t="s">
        <v>1727</v>
      </c>
      <c r="H9335" s="298">
        <v>1</v>
      </c>
      <c r="M9335" s="274"/>
    </row>
    <row r="9336" spans="2:13" ht="15" customHeight="1" x14ac:dyDescent="0.25">
      <c r="B9336" s="289">
        <v>7189</v>
      </c>
      <c r="C9336" s="261">
        <v>106</v>
      </c>
      <c r="D9336" s="244" t="s">
        <v>11</v>
      </c>
      <c r="E9336" s="263">
        <v>5</v>
      </c>
      <c r="F9336" s="294" t="s">
        <v>1563</v>
      </c>
      <c r="G9336" s="294" t="s">
        <v>126</v>
      </c>
      <c r="H9336" s="298">
        <v>1</v>
      </c>
      <c r="M9336" s="274"/>
    </row>
    <row r="9337" spans="2:13" ht="15" customHeight="1" x14ac:dyDescent="0.25">
      <c r="B9337" s="289">
        <v>7190</v>
      </c>
      <c r="C9337" s="261">
        <v>107</v>
      </c>
      <c r="D9337" s="244" t="s">
        <v>11</v>
      </c>
      <c r="E9337" s="263">
        <v>2</v>
      </c>
      <c r="F9337" s="294" t="s">
        <v>233</v>
      </c>
      <c r="G9337" s="294" t="s">
        <v>126</v>
      </c>
      <c r="H9337" s="298">
        <v>1</v>
      </c>
      <c r="M9337" s="274"/>
    </row>
    <row r="9338" spans="2:13" ht="15" customHeight="1" x14ac:dyDescent="0.25">
      <c r="B9338" s="289">
        <v>7191</v>
      </c>
      <c r="C9338" s="261">
        <v>96</v>
      </c>
      <c r="D9338" s="244" t="s">
        <v>11</v>
      </c>
      <c r="E9338" s="263">
        <v>9</v>
      </c>
      <c r="F9338" s="294" t="s">
        <v>1543</v>
      </c>
      <c r="G9338" s="294" t="s">
        <v>126</v>
      </c>
      <c r="H9338" s="298">
        <v>1</v>
      </c>
      <c r="M9338" s="274"/>
    </row>
    <row r="9339" spans="2:13" ht="15" customHeight="1" x14ac:dyDescent="0.25">
      <c r="B9339" s="289">
        <v>7192</v>
      </c>
      <c r="C9339" s="261">
        <v>99</v>
      </c>
      <c r="D9339" s="244" t="s">
        <v>11</v>
      </c>
      <c r="E9339" s="263">
        <v>2</v>
      </c>
      <c r="F9339" s="294" t="s">
        <v>431</v>
      </c>
      <c r="G9339" s="294" t="s">
        <v>126</v>
      </c>
      <c r="H9339" s="298">
        <v>1</v>
      </c>
      <c r="M9339" s="274"/>
    </row>
    <row r="9340" spans="2:13" ht="15" customHeight="1" x14ac:dyDescent="0.25">
      <c r="B9340" s="289">
        <v>7192</v>
      </c>
      <c r="C9340" s="261">
        <v>114</v>
      </c>
      <c r="D9340" s="244" t="s">
        <v>12</v>
      </c>
      <c r="E9340" s="263">
        <v>2</v>
      </c>
      <c r="F9340" s="294" t="s">
        <v>126</v>
      </c>
      <c r="G9340" s="294" t="s">
        <v>285</v>
      </c>
      <c r="H9340" s="298">
        <v>1</v>
      </c>
      <c r="M9340" s="274"/>
    </row>
    <row r="9341" spans="2:13" ht="15" customHeight="1" x14ac:dyDescent="0.25">
      <c r="B9341" s="289">
        <v>7193</v>
      </c>
      <c r="C9341" s="261">
        <v>106</v>
      </c>
      <c r="D9341" s="244" t="s">
        <v>11</v>
      </c>
      <c r="E9341" s="263">
        <v>2</v>
      </c>
      <c r="F9341" s="294" t="s">
        <v>341</v>
      </c>
      <c r="G9341" s="294" t="s">
        <v>126</v>
      </c>
      <c r="H9341" s="298">
        <v>1</v>
      </c>
      <c r="M9341" s="274"/>
    </row>
    <row r="9342" spans="2:13" ht="15" customHeight="1" x14ac:dyDescent="0.25">
      <c r="B9342" s="289">
        <v>7194</v>
      </c>
      <c r="C9342" s="261">
        <v>105</v>
      </c>
      <c r="D9342" s="244" t="s">
        <v>12</v>
      </c>
      <c r="E9342" s="263">
        <v>25</v>
      </c>
      <c r="F9342" s="294" t="s">
        <v>126</v>
      </c>
      <c r="G9342" s="294" t="s">
        <v>1728</v>
      </c>
      <c r="H9342" s="298">
        <v>1</v>
      </c>
      <c r="M9342" s="274"/>
    </row>
    <row r="9343" spans="2:13" ht="15" customHeight="1" x14ac:dyDescent="0.25">
      <c r="B9343" s="289">
        <v>7195</v>
      </c>
      <c r="C9343" s="261">
        <v>105</v>
      </c>
      <c r="D9343" s="244" t="s">
        <v>12</v>
      </c>
      <c r="E9343" s="263">
        <v>1</v>
      </c>
      <c r="F9343" s="294" t="s">
        <v>126</v>
      </c>
      <c r="G9343" s="294" t="s">
        <v>437</v>
      </c>
      <c r="H9343" s="298">
        <v>1</v>
      </c>
      <c r="M9343" s="274"/>
    </row>
    <row r="9344" spans="2:13" ht="15" customHeight="1" x14ac:dyDescent="0.25">
      <c r="B9344" s="289">
        <v>7196</v>
      </c>
      <c r="C9344" s="261">
        <v>106</v>
      </c>
      <c r="D9344" s="244" t="s">
        <v>12</v>
      </c>
      <c r="E9344" s="263">
        <v>1</v>
      </c>
      <c r="F9344" s="294" t="s">
        <v>126</v>
      </c>
      <c r="G9344" s="294" t="s">
        <v>139</v>
      </c>
      <c r="H9344" s="298">
        <v>1</v>
      </c>
      <c r="M9344" s="274"/>
    </row>
    <row r="9345" spans="2:13" ht="15" customHeight="1" x14ac:dyDescent="0.25">
      <c r="B9345" s="289">
        <v>7198</v>
      </c>
      <c r="C9345" s="261">
        <v>105</v>
      </c>
      <c r="D9345" s="244" t="s">
        <v>12</v>
      </c>
      <c r="E9345" s="263">
        <v>1</v>
      </c>
      <c r="F9345" s="294" t="s">
        <v>126</v>
      </c>
      <c r="G9345" s="294" t="s">
        <v>437</v>
      </c>
      <c r="H9345" s="298">
        <v>1</v>
      </c>
      <c r="M9345" s="274"/>
    </row>
    <row r="9346" spans="2:13" ht="15" customHeight="1" x14ac:dyDescent="0.25">
      <c r="B9346" s="289">
        <v>7199</v>
      </c>
      <c r="C9346" s="261">
        <v>106</v>
      </c>
      <c r="D9346" s="244" t="s">
        <v>11</v>
      </c>
      <c r="E9346" s="263">
        <v>1</v>
      </c>
      <c r="F9346" s="294" t="s">
        <v>426</v>
      </c>
      <c r="G9346" s="294" t="s">
        <v>126</v>
      </c>
      <c r="H9346" s="298">
        <v>1</v>
      </c>
      <c r="M9346" s="274"/>
    </row>
    <row r="9347" spans="2:13" ht="15" customHeight="1" x14ac:dyDescent="0.25">
      <c r="B9347" s="289">
        <v>7200</v>
      </c>
      <c r="C9347" s="261">
        <v>105</v>
      </c>
      <c r="D9347" s="244" t="s">
        <v>12</v>
      </c>
      <c r="E9347" s="263">
        <v>1</v>
      </c>
      <c r="F9347" s="294" t="s">
        <v>126</v>
      </c>
      <c r="G9347" s="294" t="s">
        <v>437</v>
      </c>
      <c r="H9347" s="298">
        <v>1</v>
      </c>
      <c r="M9347" s="274"/>
    </row>
    <row r="9348" spans="2:13" ht="15" customHeight="1" x14ac:dyDescent="0.25">
      <c r="B9348" s="289">
        <v>7201</v>
      </c>
      <c r="C9348" s="261">
        <v>102</v>
      </c>
      <c r="D9348" s="244" t="s">
        <v>12</v>
      </c>
      <c r="E9348" s="263">
        <v>4</v>
      </c>
      <c r="F9348" s="294" t="s">
        <v>126</v>
      </c>
      <c r="G9348" s="294" t="s">
        <v>1614</v>
      </c>
      <c r="H9348" s="298">
        <v>1</v>
      </c>
      <c r="M9348" s="274"/>
    </row>
    <row r="9349" spans="2:13" ht="15" customHeight="1" x14ac:dyDescent="0.25">
      <c r="B9349" s="289">
        <v>7201</v>
      </c>
      <c r="C9349" s="261">
        <v>110</v>
      </c>
      <c r="D9349" s="244" t="s">
        <v>11</v>
      </c>
      <c r="E9349" s="263">
        <v>4</v>
      </c>
      <c r="F9349" s="294" t="s">
        <v>682</v>
      </c>
      <c r="G9349" s="294" t="s">
        <v>126</v>
      </c>
      <c r="H9349" s="298">
        <v>1</v>
      </c>
      <c r="M9349" s="274"/>
    </row>
    <row r="9350" spans="2:13" ht="15" customHeight="1" x14ac:dyDescent="0.25">
      <c r="B9350" s="289">
        <v>7202</v>
      </c>
      <c r="C9350" s="261">
        <v>105</v>
      </c>
      <c r="D9350" s="244" t="s">
        <v>12</v>
      </c>
      <c r="E9350" s="263">
        <v>1</v>
      </c>
      <c r="F9350" s="294" t="s">
        <v>126</v>
      </c>
      <c r="G9350" s="294" t="s">
        <v>437</v>
      </c>
      <c r="H9350" s="298">
        <v>1</v>
      </c>
      <c r="M9350" s="274"/>
    </row>
    <row r="9351" spans="2:13" ht="15" customHeight="1" x14ac:dyDescent="0.25">
      <c r="B9351" s="289">
        <v>7203</v>
      </c>
      <c r="C9351" s="261">
        <v>105</v>
      </c>
      <c r="D9351" s="244" t="s">
        <v>12</v>
      </c>
      <c r="E9351" s="263">
        <v>2</v>
      </c>
      <c r="F9351" s="294" t="s">
        <v>126</v>
      </c>
      <c r="G9351" s="294" t="s">
        <v>136</v>
      </c>
      <c r="H9351" s="298">
        <v>1</v>
      </c>
      <c r="M9351" s="274"/>
    </row>
    <row r="9352" spans="2:13" ht="15" customHeight="1" x14ac:dyDescent="0.25">
      <c r="B9352" s="289">
        <v>7205</v>
      </c>
      <c r="C9352" s="261">
        <v>105</v>
      </c>
      <c r="D9352" s="244" t="s">
        <v>12</v>
      </c>
      <c r="E9352" s="263">
        <v>1</v>
      </c>
      <c r="F9352" s="294" t="s">
        <v>126</v>
      </c>
      <c r="G9352" s="294" t="s">
        <v>437</v>
      </c>
      <c r="H9352" s="298">
        <v>1</v>
      </c>
      <c r="M9352" s="274"/>
    </row>
    <row r="9353" spans="2:13" ht="15" customHeight="1" x14ac:dyDescent="0.25">
      <c r="B9353" s="289">
        <v>7206</v>
      </c>
      <c r="C9353" s="261">
        <v>102</v>
      </c>
      <c r="D9353" s="244" t="s">
        <v>12</v>
      </c>
      <c r="E9353" s="263">
        <v>1</v>
      </c>
      <c r="F9353" s="294" t="s">
        <v>126</v>
      </c>
      <c r="G9353" s="294" t="s">
        <v>437</v>
      </c>
      <c r="H9353" s="298">
        <v>1</v>
      </c>
      <c r="M9353" s="274"/>
    </row>
    <row r="9354" spans="2:13" ht="15" customHeight="1" x14ac:dyDescent="0.25">
      <c r="B9354" s="289">
        <v>7206</v>
      </c>
      <c r="C9354" s="261">
        <v>113</v>
      </c>
      <c r="D9354" s="244" t="s">
        <v>11</v>
      </c>
      <c r="E9354" s="263">
        <v>1</v>
      </c>
      <c r="F9354" s="294" t="s">
        <v>139</v>
      </c>
      <c r="G9354" s="294" t="s">
        <v>126</v>
      </c>
      <c r="H9354" s="298">
        <v>1</v>
      </c>
      <c r="M9354" s="274"/>
    </row>
    <row r="9355" spans="2:13" ht="15" customHeight="1" x14ac:dyDescent="0.25">
      <c r="B9355" s="289">
        <v>7207</v>
      </c>
      <c r="C9355" s="261">
        <v>105</v>
      </c>
      <c r="D9355" s="244" t="s">
        <v>12</v>
      </c>
      <c r="E9355" s="263">
        <v>3</v>
      </c>
      <c r="F9355" s="294" t="s">
        <v>126</v>
      </c>
      <c r="G9355" s="294" t="s">
        <v>296</v>
      </c>
      <c r="H9355" s="298">
        <v>1</v>
      </c>
      <c r="M9355" s="274"/>
    </row>
    <row r="9356" spans="2:13" ht="15" customHeight="1" x14ac:dyDescent="0.25">
      <c r="B9356" s="289">
        <v>7208</v>
      </c>
      <c r="C9356" s="261">
        <v>103</v>
      </c>
      <c r="D9356" s="244" t="s">
        <v>12</v>
      </c>
      <c r="E9356" s="263">
        <v>3</v>
      </c>
      <c r="F9356" s="294" t="s">
        <v>126</v>
      </c>
      <c r="G9356" s="294" t="s">
        <v>1479</v>
      </c>
      <c r="H9356" s="298">
        <v>1</v>
      </c>
      <c r="M9356" s="274"/>
    </row>
    <row r="9357" spans="2:13" ht="15" customHeight="1" x14ac:dyDescent="0.25">
      <c r="B9357" s="289">
        <v>7208</v>
      </c>
      <c r="C9357" s="261">
        <v>111</v>
      </c>
      <c r="D9357" s="244" t="s">
        <v>11</v>
      </c>
      <c r="E9357" s="263">
        <v>3</v>
      </c>
      <c r="F9357" s="294" t="s">
        <v>1478</v>
      </c>
      <c r="G9357" s="294" t="s">
        <v>126</v>
      </c>
      <c r="H9357" s="298">
        <v>1</v>
      </c>
      <c r="M9357" s="274"/>
    </row>
    <row r="9358" spans="2:13" ht="15" customHeight="1" x14ac:dyDescent="0.25">
      <c r="B9358" s="289">
        <v>7210</v>
      </c>
      <c r="C9358" s="261">
        <v>83</v>
      </c>
      <c r="D9358" s="244" t="s">
        <v>11</v>
      </c>
      <c r="E9358" s="263">
        <v>39</v>
      </c>
      <c r="F9358" s="294" t="s">
        <v>1729</v>
      </c>
      <c r="G9358" s="294" t="s">
        <v>126</v>
      </c>
      <c r="H9358" s="298">
        <v>1</v>
      </c>
      <c r="M9358" s="274"/>
    </row>
    <row r="9359" spans="2:13" ht="15" customHeight="1" x14ac:dyDescent="0.25">
      <c r="B9359" s="289">
        <v>7211</v>
      </c>
      <c r="C9359" s="261">
        <v>85</v>
      </c>
      <c r="D9359" s="244" t="s">
        <v>11</v>
      </c>
      <c r="E9359" s="263">
        <v>28</v>
      </c>
      <c r="F9359" s="294" t="s">
        <v>1730</v>
      </c>
      <c r="G9359" s="294" t="s">
        <v>126</v>
      </c>
      <c r="H9359" s="298">
        <v>1</v>
      </c>
      <c r="M9359" s="274"/>
    </row>
    <row r="9360" spans="2:13" ht="15" customHeight="1" x14ac:dyDescent="0.25">
      <c r="B9360" s="289">
        <v>7212</v>
      </c>
      <c r="C9360" s="261">
        <v>100</v>
      </c>
      <c r="D9360" s="244" t="s">
        <v>11</v>
      </c>
      <c r="E9360" s="263">
        <v>6</v>
      </c>
      <c r="F9360" s="294" t="s">
        <v>1669</v>
      </c>
      <c r="G9360" s="294" t="s">
        <v>126</v>
      </c>
      <c r="H9360" s="298">
        <v>1</v>
      </c>
      <c r="M9360" s="274"/>
    </row>
    <row r="9361" spans="2:13" ht="15" customHeight="1" x14ac:dyDescent="0.25">
      <c r="B9361" s="289">
        <v>7213</v>
      </c>
      <c r="C9361" s="261">
        <v>104</v>
      </c>
      <c r="D9361" s="244" t="s">
        <v>11</v>
      </c>
      <c r="E9361" s="263">
        <v>1</v>
      </c>
      <c r="F9361" s="294" t="s">
        <v>235</v>
      </c>
      <c r="G9361" s="294" t="s">
        <v>126</v>
      </c>
      <c r="H9361" s="298">
        <v>1</v>
      </c>
      <c r="M9361" s="274"/>
    </row>
    <row r="9362" spans="2:13" ht="15" customHeight="1" x14ac:dyDescent="0.25">
      <c r="B9362" s="289">
        <v>7214</v>
      </c>
      <c r="C9362" s="261">
        <v>105</v>
      </c>
      <c r="D9362" s="244" t="s">
        <v>12</v>
      </c>
      <c r="E9362" s="263">
        <v>10</v>
      </c>
      <c r="F9362" s="294" t="s">
        <v>126</v>
      </c>
      <c r="G9362" s="294" t="s">
        <v>1601</v>
      </c>
      <c r="H9362" s="298">
        <v>1</v>
      </c>
      <c r="M9362" s="274"/>
    </row>
    <row r="9363" spans="2:13" ht="15" customHeight="1" x14ac:dyDescent="0.25">
      <c r="B9363" s="289">
        <v>7215</v>
      </c>
      <c r="C9363" s="261">
        <v>107</v>
      </c>
      <c r="D9363" s="244" t="s">
        <v>12</v>
      </c>
      <c r="E9363" s="263">
        <v>1</v>
      </c>
      <c r="F9363" s="294" t="s">
        <v>126</v>
      </c>
      <c r="G9363" s="294" t="s">
        <v>426</v>
      </c>
      <c r="H9363" s="298">
        <v>1</v>
      </c>
      <c r="M9363" s="274"/>
    </row>
    <row r="9364" spans="2:13" ht="15" customHeight="1" x14ac:dyDescent="0.25">
      <c r="B9364" s="289">
        <v>7216</v>
      </c>
      <c r="C9364" s="261">
        <v>102</v>
      </c>
      <c r="D9364" s="244" t="s">
        <v>12</v>
      </c>
      <c r="E9364" s="263">
        <v>1</v>
      </c>
      <c r="F9364" s="294" t="s">
        <v>126</v>
      </c>
      <c r="G9364" s="294" t="s">
        <v>139</v>
      </c>
      <c r="H9364" s="298">
        <v>1</v>
      </c>
      <c r="M9364" s="274"/>
    </row>
    <row r="9365" spans="2:13" ht="15" customHeight="1" x14ac:dyDescent="0.25">
      <c r="B9365" s="289">
        <v>7216</v>
      </c>
      <c r="C9365" s="261">
        <v>113</v>
      </c>
      <c r="D9365" s="244" t="s">
        <v>11</v>
      </c>
      <c r="E9365" s="263">
        <v>1</v>
      </c>
      <c r="F9365" s="294" t="s">
        <v>139</v>
      </c>
      <c r="G9365" s="294" t="s">
        <v>126</v>
      </c>
      <c r="H9365" s="298">
        <v>1</v>
      </c>
      <c r="M9365" s="274"/>
    </row>
    <row r="9366" spans="2:13" ht="15" customHeight="1" x14ac:dyDescent="0.25">
      <c r="B9366" s="289">
        <v>7217</v>
      </c>
      <c r="C9366" s="261">
        <v>105</v>
      </c>
      <c r="D9366" s="244" t="s">
        <v>12</v>
      </c>
      <c r="E9366" s="263">
        <v>13</v>
      </c>
      <c r="F9366" s="294" t="s">
        <v>126</v>
      </c>
      <c r="G9366" s="294" t="s">
        <v>1731</v>
      </c>
      <c r="H9366" s="298">
        <v>1</v>
      </c>
      <c r="M9366" s="274"/>
    </row>
    <row r="9367" spans="2:13" ht="15" customHeight="1" x14ac:dyDescent="0.25">
      <c r="B9367" s="289">
        <v>7218</v>
      </c>
      <c r="C9367" s="261">
        <v>102</v>
      </c>
      <c r="D9367" s="244" t="s">
        <v>11</v>
      </c>
      <c r="E9367" s="263">
        <v>4</v>
      </c>
      <c r="F9367" s="294" t="s">
        <v>964</v>
      </c>
      <c r="G9367" s="294" t="s">
        <v>126</v>
      </c>
      <c r="H9367" s="298">
        <v>1</v>
      </c>
      <c r="M9367" s="274"/>
    </row>
    <row r="9368" spans="2:13" ht="15" customHeight="1" x14ac:dyDescent="0.25">
      <c r="B9368" s="289">
        <v>7218</v>
      </c>
      <c r="C9368" s="261">
        <v>116</v>
      </c>
      <c r="D9368" s="244" t="s">
        <v>12</v>
      </c>
      <c r="E9368" s="263">
        <v>4</v>
      </c>
      <c r="F9368" s="294" t="s">
        <v>126</v>
      </c>
      <c r="G9368" s="294" t="s">
        <v>1586</v>
      </c>
      <c r="H9368" s="298">
        <v>1</v>
      </c>
      <c r="M9368" s="274"/>
    </row>
    <row r="9369" spans="2:13" ht="15" customHeight="1" x14ac:dyDescent="0.25">
      <c r="B9369" s="289">
        <v>7219</v>
      </c>
      <c r="C9369" s="261">
        <v>100</v>
      </c>
      <c r="D9369" s="244" t="s">
        <v>11</v>
      </c>
      <c r="E9369" s="263">
        <v>1</v>
      </c>
      <c r="F9369" s="294" t="s">
        <v>235</v>
      </c>
      <c r="G9369" s="294" t="s">
        <v>126</v>
      </c>
      <c r="H9369" s="298">
        <v>1</v>
      </c>
      <c r="M9369" s="274"/>
    </row>
    <row r="9370" spans="2:13" ht="15" customHeight="1" x14ac:dyDescent="0.25">
      <c r="B9370" s="289">
        <v>7220</v>
      </c>
      <c r="C9370" s="261">
        <v>102</v>
      </c>
      <c r="D9370" s="244" t="s">
        <v>11</v>
      </c>
      <c r="E9370" s="263">
        <v>22</v>
      </c>
      <c r="F9370" s="294" t="s">
        <v>1501</v>
      </c>
      <c r="G9370" s="294" t="s">
        <v>126</v>
      </c>
      <c r="H9370" s="298">
        <v>1</v>
      </c>
      <c r="M9370" s="274"/>
    </row>
    <row r="9371" spans="2:13" ht="15" customHeight="1" x14ac:dyDescent="0.25">
      <c r="B9371" s="289">
        <v>7221</v>
      </c>
      <c r="C9371" s="261">
        <v>105</v>
      </c>
      <c r="D9371" s="244" t="s">
        <v>12</v>
      </c>
      <c r="E9371" s="263">
        <v>2</v>
      </c>
      <c r="F9371" s="294" t="s">
        <v>126</v>
      </c>
      <c r="G9371" s="294" t="s">
        <v>136</v>
      </c>
      <c r="H9371" s="298">
        <v>1</v>
      </c>
      <c r="M9371" s="274"/>
    </row>
    <row r="9372" spans="2:13" ht="15" customHeight="1" x14ac:dyDescent="0.25">
      <c r="B9372" s="289">
        <v>7222</v>
      </c>
      <c r="C9372" s="261">
        <v>102</v>
      </c>
      <c r="D9372" s="244" t="s">
        <v>11</v>
      </c>
      <c r="E9372" s="263">
        <v>12</v>
      </c>
      <c r="F9372" s="294" t="s">
        <v>1732</v>
      </c>
      <c r="G9372" s="294" t="s">
        <v>126</v>
      </c>
      <c r="H9372" s="298">
        <v>1</v>
      </c>
      <c r="M9372" s="274"/>
    </row>
    <row r="9373" spans="2:13" ht="15" customHeight="1" x14ac:dyDescent="0.25">
      <c r="B9373" s="289">
        <v>7223</v>
      </c>
      <c r="C9373" s="261">
        <v>105</v>
      </c>
      <c r="D9373" s="244" t="s">
        <v>11</v>
      </c>
      <c r="E9373" s="263">
        <v>6</v>
      </c>
      <c r="F9373" s="294" t="s">
        <v>1546</v>
      </c>
      <c r="G9373" s="294" t="s">
        <v>126</v>
      </c>
      <c r="H9373" s="298">
        <v>1</v>
      </c>
      <c r="M9373" s="274"/>
    </row>
    <row r="9374" spans="2:13" ht="15" customHeight="1" x14ac:dyDescent="0.25">
      <c r="B9374" s="289">
        <v>7224</v>
      </c>
      <c r="C9374" s="261">
        <v>105</v>
      </c>
      <c r="D9374" s="244" t="s">
        <v>11</v>
      </c>
      <c r="E9374" s="263">
        <v>1</v>
      </c>
      <c r="F9374" s="294" t="s">
        <v>437</v>
      </c>
      <c r="G9374" s="294" t="s">
        <v>126</v>
      </c>
      <c r="H9374" s="298">
        <v>1</v>
      </c>
      <c r="M9374" s="274"/>
    </row>
    <row r="9375" spans="2:13" ht="15" customHeight="1" x14ac:dyDescent="0.25">
      <c r="B9375" s="289">
        <v>7226</v>
      </c>
      <c r="C9375" s="261">
        <v>105</v>
      </c>
      <c r="D9375" s="244" t="s">
        <v>12</v>
      </c>
      <c r="E9375" s="263">
        <v>32</v>
      </c>
      <c r="F9375" s="294" t="s">
        <v>126</v>
      </c>
      <c r="G9375" s="294" t="s">
        <v>1733</v>
      </c>
      <c r="H9375" s="298">
        <v>1</v>
      </c>
      <c r="M9375" s="274"/>
    </row>
    <row r="9376" spans="2:13" ht="15" customHeight="1" x14ac:dyDescent="0.25">
      <c r="B9376" s="289">
        <v>7226</v>
      </c>
      <c r="C9376" s="261">
        <v>114</v>
      </c>
      <c r="D9376" s="244" t="s">
        <v>12</v>
      </c>
      <c r="E9376" s="263">
        <v>5</v>
      </c>
      <c r="F9376" s="294" t="s">
        <v>126</v>
      </c>
      <c r="G9376" s="294" t="s">
        <v>1734</v>
      </c>
      <c r="H9376" s="298">
        <v>1</v>
      </c>
      <c r="M9376" s="274"/>
    </row>
    <row r="9377" spans="2:13" ht="15" customHeight="1" x14ac:dyDescent="0.25">
      <c r="B9377" s="289">
        <v>7227</v>
      </c>
      <c r="C9377" s="261">
        <v>107</v>
      </c>
      <c r="D9377" s="244" t="s">
        <v>11</v>
      </c>
      <c r="E9377" s="263">
        <v>4</v>
      </c>
      <c r="F9377" s="294" t="s">
        <v>1735</v>
      </c>
      <c r="G9377" s="294" t="s">
        <v>126</v>
      </c>
      <c r="H9377" s="298">
        <v>1</v>
      </c>
      <c r="M9377" s="274"/>
    </row>
    <row r="9378" spans="2:13" ht="15" customHeight="1" x14ac:dyDescent="0.25">
      <c r="B9378" s="289">
        <v>7228</v>
      </c>
      <c r="C9378" s="261">
        <v>105</v>
      </c>
      <c r="D9378" s="244" t="s">
        <v>12</v>
      </c>
      <c r="E9378" s="263">
        <v>3</v>
      </c>
      <c r="F9378" s="294" t="s">
        <v>126</v>
      </c>
      <c r="G9378" s="294" t="s">
        <v>296</v>
      </c>
      <c r="H9378" s="298">
        <v>1</v>
      </c>
      <c r="M9378" s="274"/>
    </row>
    <row r="9379" spans="2:13" ht="15" customHeight="1" x14ac:dyDescent="0.25">
      <c r="B9379" s="289">
        <v>7229</v>
      </c>
      <c r="C9379" s="261">
        <v>105</v>
      </c>
      <c r="D9379" s="244" t="s">
        <v>12</v>
      </c>
      <c r="E9379" s="263">
        <v>7</v>
      </c>
      <c r="F9379" s="294" t="s">
        <v>126</v>
      </c>
      <c r="G9379" s="294" t="s">
        <v>1736</v>
      </c>
      <c r="H9379" s="298">
        <v>1</v>
      </c>
      <c r="M9379" s="274"/>
    </row>
    <row r="9380" spans="2:13" ht="15" customHeight="1" x14ac:dyDescent="0.25">
      <c r="B9380" s="289">
        <v>7230</v>
      </c>
      <c r="C9380" s="261">
        <v>109</v>
      </c>
      <c r="D9380" s="244" t="s">
        <v>11</v>
      </c>
      <c r="E9380" s="263">
        <v>2</v>
      </c>
      <c r="F9380" s="294" t="s">
        <v>511</v>
      </c>
      <c r="G9380" s="294" t="s">
        <v>126</v>
      </c>
      <c r="H9380" s="298">
        <v>1</v>
      </c>
      <c r="M9380" s="274"/>
    </row>
    <row r="9381" spans="2:13" ht="15" customHeight="1" x14ac:dyDescent="0.25">
      <c r="B9381" s="289">
        <v>7231</v>
      </c>
      <c r="C9381" s="261">
        <v>105</v>
      </c>
      <c r="D9381" s="244" t="s">
        <v>12</v>
      </c>
      <c r="E9381" s="263">
        <v>2</v>
      </c>
      <c r="F9381" s="294" t="s">
        <v>126</v>
      </c>
      <c r="G9381" s="294" t="s">
        <v>341</v>
      </c>
      <c r="H9381" s="298">
        <v>1</v>
      </c>
      <c r="M9381" s="274"/>
    </row>
    <row r="9382" spans="2:13" ht="15" customHeight="1" x14ac:dyDescent="0.25">
      <c r="B9382" s="289">
        <v>7232</v>
      </c>
      <c r="C9382" s="261">
        <v>105</v>
      </c>
      <c r="D9382" s="244" t="s">
        <v>12</v>
      </c>
      <c r="E9382" s="263">
        <v>21</v>
      </c>
      <c r="F9382" s="294" t="s">
        <v>126</v>
      </c>
      <c r="G9382" s="294" t="s">
        <v>1737</v>
      </c>
      <c r="H9382" s="298">
        <v>1</v>
      </c>
      <c r="M9382" s="274"/>
    </row>
    <row r="9383" spans="2:13" ht="15" customHeight="1" x14ac:dyDescent="0.25">
      <c r="B9383" s="289">
        <v>7233</v>
      </c>
      <c r="C9383" s="261">
        <v>102</v>
      </c>
      <c r="D9383" s="244" t="s">
        <v>11</v>
      </c>
      <c r="E9383" s="263">
        <v>4</v>
      </c>
      <c r="F9383" s="294" t="s">
        <v>964</v>
      </c>
      <c r="G9383" s="294" t="s">
        <v>126</v>
      </c>
      <c r="H9383" s="298">
        <v>1</v>
      </c>
      <c r="M9383" s="274"/>
    </row>
    <row r="9384" spans="2:13" ht="15" customHeight="1" x14ac:dyDescent="0.25">
      <c r="B9384" s="289">
        <v>7233</v>
      </c>
      <c r="C9384" s="261">
        <v>115</v>
      </c>
      <c r="D9384" s="244" t="s">
        <v>12</v>
      </c>
      <c r="E9384" s="263">
        <v>4</v>
      </c>
      <c r="F9384" s="294" t="s">
        <v>126</v>
      </c>
      <c r="G9384" s="294" t="s">
        <v>1738</v>
      </c>
      <c r="H9384" s="298">
        <v>1</v>
      </c>
      <c r="M9384" s="274"/>
    </row>
    <row r="9385" spans="2:13" ht="15" customHeight="1" x14ac:dyDescent="0.25">
      <c r="B9385" s="289">
        <v>7234</v>
      </c>
      <c r="C9385" s="261">
        <v>102</v>
      </c>
      <c r="D9385" s="244" t="s">
        <v>11</v>
      </c>
      <c r="E9385" s="263">
        <v>4</v>
      </c>
      <c r="F9385" s="294" t="s">
        <v>964</v>
      </c>
      <c r="G9385" s="294" t="s">
        <v>126</v>
      </c>
      <c r="H9385" s="298">
        <v>1</v>
      </c>
      <c r="M9385" s="274"/>
    </row>
    <row r="9386" spans="2:13" ht="15" customHeight="1" x14ac:dyDescent="0.25">
      <c r="B9386" s="289">
        <v>7234</v>
      </c>
      <c r="C9386" s="261">
        <v>114</v>
      </c>
      <c r="D9386" s="244" t="s">
        <v>12</v>
      </c>
      <c r="E9386" s="263">
        <v>4</v>
      </c>
      <c r="F9386" s="294" t="s">
        <v>126</v>
      </c>
      <c r="G9386" s="294" t="s">
        <v>1631</v>
      </c>
      <c r="H9386" s="298">
        <v>1</v>
      </c>
      <c r="M9386" s="274"/>
    </row>
    <row r="9387" spans="2:13" ht="15" customHeight="1" x14ac:dyDescent="0.25">
      <c r="B9387" s="289">
        <v>7235</v>
      </c>
      <c r="C9387" s="261">
        <v>102</v>
      </c>
      <c r="D9387" s="244" t="s">
        <v>11</v>
      </c>
      <c r="E9387" s="263">
        <v>4</v>
      </c>
      <c r="F9387" s="294" t="s">
        <v>964</v>
      </c>
      <c r="G9387" s="294" t="s">
        <v>126</v>
      </c>
      <c r="H9387" s="298">
        <v>1</v>
      </c>
      <c r="M9387" s="274"/>
    </row>
    <row r="9388" spans="2:13" ht="15" customHeight="1" x14ac:dyDescent="0.25">
      <c r="B9388" s="289">
        <v>7235</v>
      </c>
      <c r="C9388" s="261">
        <v>114</v>
      </c>
      <c r="D9388" s="244" t="s">
        <v>12</v>
      </c>
      <c r="E9388" s="263">
        <v>4</v>
      </c>
      <c r="F9388" s="294" t="s">
        <v>126</v>
      </c>
      <c r="G9388" s="294" t="s">
        <v>1517</v>
      </c>
      <c r="H9388" s="298">
        <v>1</v>
      </c>
      <c r="M9388" s="274"/>
    </row>
    <row r="9389" spans="2:13" ht="15" customHeight="1" x14ac:dyDescent="0.25">
      <c r="B9389" s="289">
        <v>7236</v>
      </c>
      <c r="C9389" s="261">
        <v>102</v>
      </c>
      <c r="D9389" s="244" t="s">
        <v>12</v>
      </c>
      <c r="E9389" s="263">
        <v>1</v>
      </c>
      <c r="F9389" s="294" t="s">
        <v>126</v>
      </c>
      <c r="G9389" s="294" t="s">
        <v>426</v>
      </c>
      <c r="H9389" s="298">
        <v>1</v>
      </c>
      <c r="M9389" s="274"/>
    </row>
    <row r="9390" spans="2:13" ht="15" customHeight="1" x14ac:dyDescent="0.25">
      <c r="B9390" s="289">
        <v>7236</v>
      </c>
      <c r="C9390" s="261">
        <v>105</v>
      </c>
      <c r="D9390" s="244" t="s">
        <v>12</v>
      </c>
      <c r="E9390" s="263">
        <v>28</v>
      </c>
      <c r="F9390" s="294" t="s">
        <v>126</v>
      </c>
      <c r="G9390" s="294" t="s">
        <v>1739</v>
      </c>
      <c r="H9390" s="298">
        <v>1</v>
      </c>
      <c r="M9390" s="274"/>
    </row>
    <row r="9391" spans="2:13" ht="15" customHeight="1" x14ac:dyDescent="0.25">
      <c r="B9391" s="289">
        <v>7236</v>
      </c>
      <c r="C9391" s="261">
        <v>112</v>
      </c>
      <c r="D9391" s="244" t="s">
        <v>12</v>
      </c>
      <c r="E9391" s="263">
        <v>1</v>
      </c>
      <c r="F9391" s="294" t="s">
        <v>126</v>
      </c>
      <c r="G9391" s="294" t="s">
        <v>139</v>
      </c>
      <c r="H9391" s="298">
        <v>1</v>
      </c>
      <c r="M9391" s="274"/>
    </row>
    <row r="9392" spans="2:13" ht="15" customHeight="1" x14ac:dyDescent="0.25">
      <c r="B9392" s="289">
        <v>7236</v>
      </c>
      <c r="C9392" s="261">
        <v>122</v>
      </c>
      <c r="D9392" s="244" t="s">
        <v>12</v>
      </c>
      <c r="E9392" s="263">
        <v>6</v>
      </c>
      <c r="F9392" s="294" t="s">
        <v>126</v>
      </c>
      <c r="G9392" s="294" t="s">
        <v>1740</v>
      </c>
      <c r="H9392" s="298">
        <v>1</v>
      </c>
      <c r="M9392" s="274"/>
    </row>
    <row r="9393" spans="2:13" ht="15" customHeight="1" x14ac:dyDescent="0.25">
      <c r="B9393" s="289">
        <v>7237</v>
      </c>
      <c r="C9393" s="261">
        <v>103</v>
      </c>
      <c r="D9393" s="244" t="s">
        <v>12</v>
      </c>
      <c r="E9393" s="263">
        <v>8</v>
      </c>
      <c r="F9393" s="294" t="s">
        <v>126</v>
      </c>
      <c r="G9393" s="294" t="s">
        <v>1741</v>
      </c>
      <c r="H9393" s="298">
        <v>1</v>
      </c>
      <c r="M9393" s="274"/>
    </row>
    <row r="9394" spans="2:13" ht="15" customHeight="1" x14ac:dyDescent="0.25">
      <c r="B9394" s="289">
        <v>7238</v>
      </c>
      <c r="C9394" s="261">
        <v>102</v>
      </c>
      <c r="D9394" s="244" t="s">
        <v>12</v>
      </c>
      <c r="E9394" s="263">
        <v>4</v>
      </c>
      <c r="F9394" s="294" t="s">
        <v>126</v>
      </c>
      <c r="G9394" s="294" t="s">
        <v>1742</v>
      </c>
      <c r="H9394" s="298">
        <v>1</v>
      </c>
      <c r="M9394" s="274"/>
    </row>
    <row r="9395" spans="2:13" ht="15" customHeight="1" x14ac:dyDescent="0.25">
      <c r="B9395" s="289">
        <v>7238</v>
      </c>
      <c r="C9395" s="261">
        <v>105</v>
      </c>
      <c r="D9395" s="244" t="s">
        <v>12</v>
      </c>
      <c r="E9395" s="263">
        <v>2</v>
      </c>
      <c r="F9395" s="294" t="s">
        <v>126</v>
      </c>
      <c r="G9395" s="294" t="s">
        <v>214</v>
      </c>
      <c r="H9395" s="298">
        <v>1</v>
      </c>
      <c r="M9395" s="274"/>
    </row>
    <row r="9396" spans="2:13" ht="15" customHeight="1" x14ac:dyDescent="0.25">
      <c r="B9396" s="289">
        <v>7239</v>
      </c>
      <c r="C9396" s="261">
        <v>100</v>
      </c>
      <c r="D9396" s="244" t="s">
        <v>12</v>
      </c>
      <c r="E9396" s="263">
        <v>3</v>
      </c>
      <c r="F9396" s="294" t="s">
        <v>126</v>
      </c>
      <c r="G9396" s="294" t="s">
        <v>1600</v>
      </c>
      <c r="H9396" s="298">
        <v>1</v>
      </c>
      <c r="M9396" s="274"/>
    </row>
    <row r="9397" spans="2:13" ht="15" customHeight="1" x14ac:dyDescent="0.25">
      <c r="B9397" s="289">
        <v>7239</v>
      </c>
      <c r="C9397" s="261">
        <v>106</v>
      </c>
      <c r="D9397" s="244" t="s">
        <v>11</v>
      </c>
      <c r="E9397" s="263">
        <v>1</v>
      </c>
      <c r="F9397" s="294" t="s">
        <v>426</v>
      </c>
      <c r="G9397" s="294" t="s">
        <v>126</v>
      </c>
      <c r="H9397" s="298">
        <v>1</v>
      </c>
      <c r="M9397" s="274"/>
    </row>
    <row r="9398" spans="2:13" ht="15" customHeight="1" x14ac:dyDescent="0.25">
      <c r="B9398" s="289">
        <v>7239</v>
      </c>
      <c r="C9398" s="261">
        <v>112</v>
      </c>
      <c r="D9398" s="244" t="s">
        <v>11</v>
      </c>
      <c r="E9398" s="263">
        <v>2</v>
      </c>
      <c r="F9398" s="294" t="s">
        <v>136</v>
      </c>
      <c r="G9398" s="294" t="s">
        <v>126</v>
      </c>
      <c r="H9398" s="298">
        <v>1</v>
      </c>
      <c r="M9398" s="274"/>
    </row>
    <row r="9399" spans="2:13" ht="15" customHeight="1" x14ac:dyDescent="0.25">
      <c r="B9399" s="289">
        <v>7240</v>
      </c>
      <c r="C9399" s="261">
        <v>105</v>
      </c>
      <c r="D9399" s="244" t="s">
        <v>12</v>
      </c>
      <c r="E9399" s="263">
        <v>16</v>
      </c>
      <c r="F9399" s="294" t="s">
        <v>126</v>
      </c>
      <c r="G9399" s="294" t="s">
        <v>1743</v>
      </c>
      <c r="H9399" s="298">
        <v>1</v>
      </c>
      <c r="M9399" s="274"/>
    </row>
    <row r="9400" spans="2:13" ht="15" customHeight="1" x14ac:dyDescent="0.25">
      <c r="B9400" s="289">
        <v>7241</v>
      </c>
      <c r="C9400" s="261">
        <v>105</v>
      </c>
      <c r="D9400" s="244" t="s">
        <v>11</v>
      </c>
      <c r="E9400" s="263">
        <v>1</v>
      </c>
      <c r="F9400" s="294" t="s">
        <v>437</v>
      </c>
      <c r="G9400" s="294" t="s">
        <v>126</v>
      </c>
      <c r="H9400" s="298">
        <v>1</v>
      </c>
      <c r="M9400" s="274"/>
    </row>
    <row r="9401" spans="2:13" ht="15" customHeight="1" x14ac:dyDescent="0.25">
      <c r="B9401" s="289">
        <v>7242</v>
      </c>
      <c r="C9401" s="261">
        <v>105</v>
      </c>
      <c r="D9401" s="244" t="s">
        <v>12</v>
      </c>
      <c r="E9401" s="263">
        <v>1</v>
      </c>
      <c r="F9401" s="294" t="s">
        <v>126</v>
      </c>
      <c r="G9401" s="294" t="s">
        <v>437</v>
      </c>
      <c r="H9401" s="298">
        <v>1</v>
      </c>
      <c r="M9401" s="274"/>
    </row>
    <row r="9402" spans="2:13" ht="15" customHeight="1" x14ac:dyDescent="0.25">
      <c r="B9402" s="289">
        <v>7243</v>
      </c>
      <c r="C9402" s="261">
        <v>105</v>
      </c>
      <c r="D9402" s="244" t="s">
        <v>12</v>
      </c>
      <c r="E9402" s="263">
        <v>12</v>
      </c>
      <c r="F9402" s="294" t="s">
        <v>126</v>
      </c>
      <c r="G9402" s="294" t="s">
        <v>1744</v>
      </c>
      <c r="H9402" s="298">
        <v>1</v>
      </c>
      <c r="M9402" s="274"/>
    </row>
    <row r="9403" spans="2:13" ht="15" customHeight="1" x14ac:dyDescent="0.25">
      <c r="B9403" s="289">
        <v>7244</v>
      </c>
      <c r="C9403" s="261">
        <v>105</v>
      </c>
      <c r="D9403" s="244" t="s">
        <v>11</v>
      </c>
      <c r="E9403" s="263">
        <v>11</v>
      </c>
      <c r="F9403" s="294" t="s">
        <v>1632</v>
      </c>
      <c r="G9403" s="294" t="s">
        <v>126</v>
      </c>
      <c r="H9403" s="298">
        <v>1</v>
      </c>
      <c r="M9403" s="274"/>
    </row>
    <row r="9404" spans="2:13" ht="15" customHeight="1" x14ac:dyDescent="0.25">
      <c r="B9404" s="289">
        <v>7245</v>
      </c>
      <c r="C9404" s="261">
        <v>105</v>
      </c>
      <c r="D9404" s="244" t="s">
        <v>11</v>
      </c>
      <c r="E9404" s="263">
        <v>2</v>
      </c>
      <c r="F9404" s="294" t="s">
        <v>441</v>
      </c>
      <c r="G9404" s="294" t="s">
        <v>126</v>
      </c>
      <c r="H9404" s="298">
        <v>1</v>
      </c>
      <c r="M9404" s="274"/>
    </row>
    <row r="9405" spans="2:13" ht="15" customHeight="1" x14ac:dyDescent="0.25">
      <c r="B9405" s="289">
        <v>7245</v>
      </c>
      <c r="C9405" s="261">
        <v>114</v>
      </c>
      <c r="D9405" s="244" t="s">
        <v>12</v>
      </c>
      <c r="E9405" s="263">
        <v>3</v>
      </c>
      <c r="F9405" s="294" t="s">
        <v>126</v>
      </c>
      <c r="G9405" s="294" t="s">
        <v>446</v>
      </c>
      <c r="H9405" s="298">
        <v>1</v>
      </c>
      <c r="M9405" s="274"/>
    </row>
    <row r="9406" spans="2:13" ht="15" customHeight="1" x14ac:dyDescent="0.25">
      <c r="B9406" s="289">
        <v>7246</v>
      </c>
      <c r="C9406" s="261">
        <v>102</v>
      </c>
      <c r="D9406" s="244" t="s">
        <v>12</v>
      </c>
      <c r="E9406" s="263">
        <v>5</v>
      </c>
      <c r="F9406" s="294" t="s">
        <v>126</v>
      </c>
      <c r="G9406" s="294" t="s">
        <v>1745</v>
      </c>
      <c r="H9406" s="298">
        <v>1</v>
      </c>
      <c r="M9406" s="274"/>
    </row>
    <row r="9407" spans="2:13" ht="15" customHeight="1" x14ac:dyDescent="0.25">
      <c r="B9407" s="289">
        <v>7246</v>
      </c>
      <c r="C9407" s="261">
        <v>106</v>
      </c>
      <c r="D9407" s="244" t="s">
        <v>11</v>
      </c>
      <c r="E9407" s="263">
        <v>2</v>
      </c>
      <c r="F9407" s="294" t="s">
        <v>341</v>
      </c>
      <c r="G9407" s="294" t="s">
        <v>126</v>
      </c>
      <c r="H9407" s="298">
        <v>1</v>
      </c>
      <c r="M9407" s="274"/>
    </row>
    <row r="9408" spans="2:13" ht="15" customHeight="1" x14ac:dyDescent="0.25">
      <c r="B9408" s="289">
        <v>7246</v>
      </c>
      <c r="C9408" s="261">
        <v>111</v>
      </c>
      <c r="D9408" s="244" t="s">
        <v>11</v>
      </c>
      <c r="E9408" s="263">
        <v>3</v>
      </c>
      <c r="F9408" s="294" t="s">
        <v>1478</v>
      </c>
      <c r="G9408" s="294" t="s">
        <v>126</v>
      </c>
      <c r="H9408" s="298">
        <v>1</v>
      </c>
      <c r="M9408" s="274"/>
    </row>
    <row r="9409" spans="2:13" ht="15" customHeight="1" x14ac:dyDescent="0.25">
      <c r="B9409" s="289">
        <v>7247</v>
      </c>
      <c r="C9409" s="261">
        <v>105</v>
      </c>
      <c r="D9409" s="244" t="s">
        <v>12</v>
      </c>
      <c r="E9409" s="263">
        <v>35</v>
      </c>
      <c r="F9409" s="294" t="s">
        <v>126</v>
      </c>
      <c r="G9409" s="294" t="s">
        <v>1746</v>
      </c>
      <c r="H9409" s="298">
        <v>1</v>
      </c>
      <c r="M9409" s="274"/>
    </row>
    <row r="9410" spans="2:13" ht="15" customHeight="1" x14ac:dyDescent="0.25">
      <c r="B9410" s="289">
        <v>7248</v>
      </c>
      <c r="C9410" s="261">
        <v>105</v>
      </c>
      <c r="D9410" s="244" t="s">
        <v>12</v>
      </c>
      <c r="E9410" s="263">
        <v>1</v>
      </c>
      <c r="F9410" s="294" t="s">
        <v>126</v>
      </c>
      <c r="G9410" s="294" t="s">
        <v>437</v>
      </c>
      <c r="H9410" s="298">
        <v>1</v>
      </c>
      <c r="M9410" s="274"/>
    </row>
    <row r="9411" spans="2:13" ht="15" customHeight="1" x14ac:dyDescent="0.25">
      <c r="B9411" s="289">
        <v>7249</v>
      </c>
      <c r="C9411" s="261">
        <v>105</v>
      </c>
      <c r="D9411" s="244" t="s">
        <v>12</v>
      </c>
      <c r="E9411" s="263">
        <v>1</v>
      </c>
      <c r="F9411" s="294" t="s">
        <v>126</v>
      </c>
      <c r="G9411" s="294" t="s">
        <v>437</v>
      </c>
      <c r="H9411" s="298">
        <v>1</v>
      </c>
      <c r="M9411" s="274"/>
    </row>
    <row r="9412" spans="2:13" ht="15" customHeight="1" x14ac:dyDescent="0.25">
      <c r="B9412" s="289">
        <v>7250</v>
      </c>
      <c r="C9412" s="261">
        <v>103</v>
      </c>
      <c r="D9412" s="244" t="s">
        <v>12</v>
      </c>
      <c r="E9412" s="263">
        <v>1</v>
      </c>
      <c r="F9412" s="294" t="s">
        <v>126</v>
      </c>
      <c r="G9412" s="294" t="s">
        <v>139</v>
      </c>
      <c r="H9412" s="298">
        <v>1</v>
      </c>
      <c r="M9412" s="274"/>
    </row>
    <row r="9413" spans="2:13" ht="15" customHeight="1" x14ac:dyDescent="0.25">
      <c r="B9413" s="289">
        <v>7250</v>
      </c>
      <c r="C9413" s="261">
        <v>113</v>
      </c>
      <c r="D9413" s="244" t="s">
        <v>11</v>
      </c>
      <c r="E9413" s="263">
        <v>1</v>
      </c>
      <c r="F9413" s="294" t="s">
        <v>139</v>
      </c>
      <c r="G9413" s="294" t="s">
        <v>126</v>
      </c>
      <c r="H9413" s="298">
        <v>1</v>
      </c>
      <c r="M9413" s="274"/>
    </row>
    <row r="9414" spans="2:13" ht="15" customHeight="1" x14ac:dyDescent="0.25">
      <c r="B9414" s="289">
        <v>7251</v>
      </c>
      <c r="C9414" s="261">
        <v>106</v>
      </c>
      <c r="D9414" s="244" t="s">
        <v>11</v>
      </c>
      <c r="E9414" s="263">
        <v>1</v>
      </c>
      <c r="F9414" s="294" t="s">
        <v>426</v>
      </c>
      <c r="G9414" s="294" t="s">
        <v>126</v>
      </c>
      <c r="H9414" s="298">
        <v>1</v>
      </c>
      <c r="M9414" s="274"/>
    </row>
    <row r="9415" spans="2:13" ht="15" customHeight="1" x14ac:dyDescent="0.25">
      <c r="B9415" s="289">
        <v>7252</v>
      </c>
      <c r="C9415" s="261">
        <v>90</v>
      </c>
      <c r="D9415" s="244" t="s">
        <v>11</v>
      </c>
      <c r="E9415" s="263">
        <v>3</v>
      </c>
      <c r="F9415" s="294" t="s">
        <v>1524</v>
      </c>
      <c r="G9415" s="294" t="s">
        <v>126</v>
      </c>
      <c r="H9415" s="298">
        <v>1</v>
      </c>
      <c r="M9415" s="274"/>
    </row>
    <row r="9416" spans="2:13" ht="15" customHeight="1" x14ac:dyDescent="0.25">
      <c r="B9416" s="289">
        <v>7252</v>
      </c>
      <c r="C9416" s="261">
        <v>104</v>
      </c>
      <c r="D9416" s="244" t="s">
        <v>11</v>
      </c>
      <c r="E9416" s="263">
        <v>1</v>
      </c>
      <c r="F9416" s="294" t="s">
        <v>235</v>
      </c>
      <c r="G9416" s="294" t="s">
        <v>126</v>
      </c>
      <c r="H9416" s="298">
        <v>1</v>
      </c>
      <c r="M9416" s="274"/>
    </row>
    <row r="9417" spans="2:13" ht="15" customHeight="1" x14ac:dyDescent="0.25">
      <c r="B9417" s="289">
        <v>7252</v>
      </c>
      <c r="C9417" s="261">
        <v>114</v>
      </c>
      <c r="D9417" s="244" t="s">
        <v>12</v>
      </c>
      <c r="E9417" s="263">
        <v>1</v>
      </c>
      <c r="F9417" s="294" t="s">
        <v>126</v>
      </c>
      <c r="G9417" s="294" t="s">
        <v>437</v>
      </c>
      <c r="H9417" s="298">
        <v>1</v>
      </c>
      <c r="M9417" s="274"/>
    </row>
    <row r="9418" spans="2:13" ht="15" customHeight="1" x14ac:dyDescent="0.25">
      <c r="B9418" s="289">
        <v>7253</v>
      </c>
      <c r="C9418" s="261">
        <v>105</v>
      </c>
      <c r="D9418" s="244" t="s">
        <v>12</v>
      </c>
      <c r="E9418" s="263">
        <v>1</v>
      </c>
      <c r="F9418" s="294" t="s">
        <v>126</v>
      </c>
      <c r="G9418" s="294" t="s">
        <v>437</v>
      </c>
      <c r="H9418" s="298">
        <v>1</v>
      </c>
      <c r="M9418" s="274"/>
    </row>
    <row r="9419" spans="2:13" ht="15" customHeight="1" x14ac:dyDescent="0.25">
      <c r="B9419" s="289">
        <v>7254</v>
      </c>
      <c r="C9419" s="261">
        <v>108</v>
      </c>
      <c r="D9419" s="244" t="s">
        <v>11</v>
      </c>
      <c r="E9419" s="263">
        <v>8</v>
      </c>
      <c r="F9419" s="294" t="s">
        <v>1747</v>
      </c>
      <c r="G9419" s="294" t="s">
        <v>126</v>
      </c>
      <c r="H9419" s="298">
        <v>1</v>
      </c>
      <c r="M9419" s="274"/>
    </row>
    <row r="9420" spans="2:13" ht="15" customHeight="1" x14ac:dyDescent="0.25">
      <c r="B9420" s="289">
        <v>7256</v>
      </c>
      <c r="C9420" s="261">
        <v>85</v>
      </c>
      <c r="D9420" s="244" t="s">
        <v>11</v>
      </c>
      <c r="E9420" s="263">
        <v>24</v>
      </c>
      <c r="F9420" s="294" t="s">
        <v>1748</v>
      </c>
      <c r="G9420" s="294" t="s">
        <v>126</v>
      </c>
      <c r="H9420" s="298">
        <v>1</v>
      </c>
      <c r="M9420" s="274"/>
    </row>
    <row r="9421" spans="2:13" ht="15" customHeight="1" x14ac:dyDescent="0.25">
      <c r="B9421" s="289">
        <v>7257</v>
      </c>
      <c r="C9421" s="261">
        <v>101</v>
      </c>
      <c r="D9421" s="244" t="s">
        <v>11</v>
      </c>
      <c r="E9421" s="263">
        <v>3</v>
      </c>
      <c r="F9421" s="294" t="s">
        <v>423</v>
      </c>
      <c r="G9421" s="294" t="s">
        <v>126</v>
      </c>
      <c r="H9421" s="298">
        <v>1</v>
      </c>
      <c r="M9421" s="274"/>
    </row>
    <row r="9422" spans="2:13" ht="15" customHeight="1" x14ac:dyDescent="0.25">
      <c r="B9422" s="289">
        <v>7257</v>
      </c>
      <c r="C9422" s="261">
        <v>108</v>
      </c>
      <c r="D9422" s="244" t="s">
        <v>12</v>
      </c>
      <c r="E9422" s="263">
        <v>1</v>
      </c>
      <c r="F9422" s="294" t="s">
        <v>126</v>
      </c>
      <c r="G9422" s="294" t="s">
        <v>426</v>
      </c>
      <c r="H9422" s="298">
        <v>1</v>
      </c>
      <c r="M9422" s="274"/>
    </row>
    <row r="9423" spans="2:13" ht="15" customHeight="1" x14ac:dyDescent="0.25">
      <c r="B9423" s="289">
        <v>7257</v>
      </c>
      <c r="C9423" s="261">
        <v>114</v>
      </c>
      <c r="D9423" s="244" t="s">
        <v>12</v>
      </c>
      <c r="E9423" s="263">
        <v>2</v>
      </c>
      <c r="F9423" s="294" t="s">
        <v>126</v>
      </c>
      <c r="G9423" s="294" t="s">
        <v>431</v>
      </c>
      <c r="H9423" s="298">
        <v>1</v>
      </c>
      <c r="M9423" s="274"/>
    </row>
    <row r="9424" spans="2:13" ht="15" customHeight="1" x14ac:dyDescent="0.25">
      <c r="B9424" s="289">
        <v>7258</v>
      </c>
      <c r="C9424" s="261">
        <v>101</v>
      </c>
      <c r="D9424" s="244" t="s">
        <v>11</v>
      </c>
      <c r="E9424" s="263">
        <v>11</v>
      </c>
      <c r="F9424" s="294" t="s">
        <v>1530</v>
      </c>
      <c r="G9424" s="294" t="s">
        <v>126</v>
      </c>
      <c r="H9424" s="298">
        <v>1</v>
      </c>
      <c r="M9424" s="274"/>
    </row>
    <row r="9425" spans="2:13" ht="15" customHeight="1" x14ac:dyDescent="0.25">
      <c r="B9425" s="289">
        <v>7259</v>
      </c>
      <c r="C9425" s="261">
        <v>105</v>
      </c>
      <c r="D9425" s="244" t="s">
        <v>12</v>
      </c>
      <c r="E9425" s="263">
        <v>1</v>
      </c>
      <c r="F9425" s="294" t="s">
        <v>126</v>
      </c>
      <c r="G9425" s="294" t="s">
        <v>235</v>
      </c>
      <c r="H9425" s="298">
        <v>1</v>
      </c>
      <c r="M9425" s="274"/>
    </row>
    <row r="9426" spans="2:13" ht="15" customHeight="1" x14ac:dyDescent="0.25">
      <c r="B9426" s="289">
        <v>7260</v>
      </c>
      <c r="C9426" s="261">
        <v>105</v>
      </c>
      <c r="D9426" s="244" t="s">
        <v>12</v>
      </c>
      <c r="E9426" s="263">
        <v>1</v>
      </c>
      <c r="F9426" s="294" t="s">
        <v>126</v>
      </c>
      <c r="G9426" s="294" t="s">
        <v>437</v>
      </c>
      <c r="H9426" s="298">
        <v>1</v>
      </c>
      <c r="M9426" s="274"/>
    </row>
    <row r="9427" spans="2:13" ht="15" customHeight="1" x14ac:dyDescent="0.25">
      <c r="B9427" s="289">
        <v>7261</v>
      </c>
      <c r="C9427" s="261">
        <v>106</v>
      </c>
      <c r="D9427" s="244" t="s">
        <v>12</v>
      </c>
      <c r="E9427" s="263">
        <v>2</v>
      </c>
      <c r="F9427" s="294" t="s">
        <v>126</v>
      </c>
      <c r="G9427" s="294" t="s">
        <v>789</v>
      </c>
      <c r="H9427" s="298">
        <v>1</v>
      </c>
      <c r="M9427" s="274"/>
    </row>
    <row r="9428" spans="2:13" ht="15" customHeight="1" x14ac:dyDescent="0.25">
      <c r="B9428" s="289">
        <v>7262</v>
      </c>
      <c r="C9428" s="261">
        <v>102</v>
      </c>
      <c r="D9428" s="244" t="s">
        <v>12</v>
      </c>
      <c r="E9428" s="263">
        <v>5</v>
      </c>
      <c r="F9428" s="294" t="s">
        <v>126</v>
      </c>
      <c r="G9428" s="294" t="s">
        <v>1749</v>
      </c>
      <c r="H9428" s="298">
        <v>1</v>
      </c>
      <c r="M9428" s="274"/>
    </row>
    <row r="9429" spans="2:13" ht="15" customHeight="1" x14ac:dyDescent="0.25">
      <c r="B9429" s="289">
        <v>7262</v>
      </c>
      <c r="C9429" s="261">
        <v>110</v>
      </c>
      <c r="D9429" s="244" t="s">
        <v>11</v>
      </c>
      <c r="E9429" s="263">
        <v>5</v>
      </c>
      <c r="F9429" s="294" t="s">
        <v>595</v>
      </c>
      <c r="G9429" s="294" t="s">
        <v>126</v>
      </c>
      <c r="H9429" s="298">
        <v>1</v>
      </c>
      <c r="M9429" s="274"/>
    </row>
    <row r="9430" spans="2:13" ht="15" customHeight="1" x14ac:dyDescent="0.25">
      <c r="B9430" s="289">
        <v>7263</v>
      </c>
      <c r="C9430" s="261">
        <v>105</v>
      </c>
      <c r="D9430" s="244" t="s">
        <v>12</v>
      </c>
      <c r="E9430" s="263">
        <v>33</v>
      </c>
      <c r="F9430" s="294" t="s">
        <v>126</v>
      </c>
      <c r="G9430" s="294" t="s">
        <v>1750</v>
      </c>
      <c r="H9430" s="298">
        <v>1</v>
      </c>
      <c r="M9430" s="274"/>
    </row>
    <row r="9431" spans="2:13" ht="15" customHeight="1" x14ac:dyDescent="0.25">
      <c r="B9431" s="289">
        <v>7263</v>
      </c>
      <c r="C9431" s="261">
        <v>111</v>
      </c>
      <c r="D9431" s="244" t="s">
        <v>12</v>
      </c>
      <c r="E9431" s="263">
        <v>1</v>
      </c>
      <c r="F9431" s="294" t="s">
        <v>126</v>
      </c>
      <c r="G9431" s="294" t="s">
        <v>437</v>
      </c>
      <c r="H9431" s="298">
        <v>1</v>
      </c>
      <c r="M9431" s="274"/>
    </row>
    <row r="9432" spans="2:13" ht="15" customHeight="1" x14ac:dyDescent="0.25">
      <c r="B9432" s="289">
        <v>7263</v>
      </c>
      <c r="C9432" s="261">
        <v>115</v>
      </c>
      <c r="D9432" s="244" t="s">
        <v>12</v>
      </c>
      <c r="E9432" s="263">
        <v>3</v>
      </c>
      <c r="F9432" s="294" t="s">
        <v>126</v>
      </c>
      <c r="G9432" s="294" t="s">
        <v>1508</v>
      </c>
      <c r="H9432" s="298">
        <v>1</v>
      </c>
      <c r="M9432" s="274"/>
    </row>
    <row r="9433" spans="2:13" ht="15" customHeight="1" x14ac:dyDescent="0.25">
      <c r="B9433" s="289">
        <v>7264</v>
      </c>
      <c r="C9433" s="261">
        <v>105</v>
      </c>
      <c r="D9433" s="244" t="s">
        <v>12</v>
      </c>
      <c r="E9433" s="263">
        <v>1</v>
      </c>
      <c r="F9433" s="294" t="s">
        <v>126</v>
      </c>
      <c r="G9433" s="294" t="s">
        <v>437</v>
      </c>
      <c r="H9433" s="298">
        <v>1</v>
      </c>
      <c r="M9433" s="274"/>
    </row>
    <row r="9434" spans="2:13" ht="15" customHeight="1" x14ac:dyDescent="0.25">
      <c r="B9434" s="289">
        <v>7265</v>
      </c>
      <c r="C9434" s="261">
        <v>94</v>
      </c>
      <c r="D9434" s="244" t="s">
        <v>11</v>
      </c>
      <c r="E9434" s="263">
        <v>22</v>
      </c>
      <c r="F9434" s="294" t="s">
        <v>1680</v>
      </c>
      <c r="G9434" s="294" t="s">
        <v>126</v>
      </c>
      <c r="H9434" s="298">
        <v>1</v>
      </c>
      <c r="M9434" s="274"/>
    </row>
    <row r="9435" spans="2:13" ht="15" customHeight="1" x14ac:dyDescent="0.25">
      <c r="B9435" s="289">
        <v>7266</v>
      </c>
      <c r="C9435" s="261">
        <v>101</v>
      </c>
      <c r="D9435" s="244" t="s">
        <v>11</v>
      </c>
      <c r="E9435" s="263">
        <v>20</v>
      </c>
      <c r="F9435" s="294" t="s">
        <v>1535</v>
      </c>
      <c r="G9435" s="294" t="s">
        <v>126</v>
      </c>
      <c r="H9435" s="298">
        <v>1</v>
      </c>
      <c r="M9435" s="274"/>
    </row>
    <row r="9436" spans="2:13" ht="15" customHeight="1" x14ac:dyDescent="0.25">
      <c r="B9436" s="289">
        <v>7267</v>
      </c>
      <c r="C9436" s="261">
        <v>105</v>
      </c>
      <c r="D9436" s="244" t="s">
        <v>12</v>
      </c>
      <c r="E9436" s="263">
        <v>1</v>
      </c>
      <c r="F9436" s="294" t="s">
        <v>126</v>
      </c>
      <c r="G9436" s="294" t="s">
        <v>139</v>
      </c>
      <c r="H9436" s="298">
        <v>1</v>
      </c>
      <c r="M9436" s="274"/>
    </row>
    <row r="9437" spans="2:13" ht="15" customHeight="1" x14ac:dyDescent="0.25">
      <c r="B9437" s="289">
        <v>7268</v>
      </c>
      <c r="C9437" s="261">
        <v>104</v>
      </c>
      <c r="D9437" s="244" t="s">
        <v>12</v>
      </c>
      <c r="E9437" s="263">
        <v>2</v>
      </c>
      <c r="F9437" s="294" t="s">
        <v>126</v>
      </c>
      <c r="G9437" s="294" t="s">
        <v>341</v>
      </c>
      <c r="H9437" s="298">
        <v>1</v>
      </c>
      <c r="M9437" s="274"/>
    </row>
    <row r="9438" spans="2:13" ht="15" customHeight="1" x14ac:dyDescent="0.25">
      <c r="B9438" s="289">
        <v>7268</v>
      </c>
      <c r="C9438" s="261">
        <v>112</v>
      </c>
      <c r="D9438" s="244" t="s">
        <v>11</v>
      </c>
      <c r="E9438" s="263">
        <v>2</v>
      </c>
      <c r="F9438" s="294" t="s">
        <v>136</v>
      </c>
      <c r="G9438" s="294" t="s">
        <v>126</v>
      </c>
      <c r="H9438" s="298">
        <v>1</v>
      </c>
      <c r="M9438" s="274"/>
    </row>
    <row r="9439" spans="2:13" ht="15" customHeight="1" x14ac:dyDescent="0.25">
      <c r="B9439" s="289">
        <v>7269</v>
      </c>
      <c r="C9439" s="261">
        <v>105</v>
      </c>
      <c r="D9439" s="244" t="s">
        <v>12</v>
      </c>
      <c r="E9439" s="263">
        <v>1</v>
      </c>
      <c r="F9439" s="294" t="s">
        <v>126</v>
      </c>
      <c r="G9439" s="294" t="s">
        <v>437</v>
      </c>
      <c r="H9439" s="298">
        <v>1</v>
      </c>
      <c r="M9439" s="274"/>
    </row>
    <row r="9440" spans="2:13" ht="15" customHeight="1" x14ac:dyDescent="0.25">
      <c r="B9440" s="289">
        <v>7270</v>
      </c>
      <c r="C9440" s="261">
        <v>102</v>
      </c>
      <c r="D9440" s="244" t="s">
        <v>11</v>
      </c>
      <c r="E9440" s="263">
        <v>3</v>
      </c>
      <c r="F9440" s="294" t="s">
        <v>648</v>
      </c>
      <c r="G9440" s="294" t="s">
        <v>126</v>
      </c>
      <c r="H9440" s="298">
        <v>1</v>
      </c>
      <c r="M9440" s="274"/>
    </row>
    <row r="9441" spans="2:13" ht="15" customHeight="1" x14ac:dyDescent="0.25">
      <c r="B9441" s="289">
        <v>7270</v>
      </c>
      <c r="C9441" s="261">
        <v>114</v>
      </c>
      <c r="D9441" s="244" t="s">
        <v>12</v>
      </c>
      <c r="E9441" s="263">
        <v>3</v>
      </c>
      <c r="F9441" s="294" t="s">
        <v>126</v>
      </c>
      <c r="G9441" s="294" t="s">
        <v>1720</v>
      </c>
      <c r="H9441" s="298">
        <v>1</v>
      </c>
      <c r="M9441" s="274"/>
    </row>
    <row r="9442" spans="2:13" ht="15" customHeight="1" x14ac:dyDescent="0.25">
      <c r="B9442" s="289">
        <v>7271</v>
      </c>
      <c r="C9442" s="261">
        <v>105</v>
      </c>
      <c r="D9442" s="244" t="s">
        <v>12</v>
      </c>
      <c r="E9442" s="263">
        <v>1</v>
      </c>
      <c r="F9442" s="294" t="s">
        <v>126</v>
      </c>
      <c r="G9442" s="294" t="s">
        <v>437</v>
      </c>
      <c r="H9442" s="298">
        <v>1</v>
      </c>
      <c r="M9442" s="274"/>
    </row>
    <row r="9443" spans="2:13" ht="15" customHeight="1" x14ac:dyDescent="0.25">
      <c r="B9443" s="289">
        <v>7272</v>
      </c>
      <c r="C9443" s="261">
        <v>106</v>
      </c>
      <c r="D9443" s="244" t="s">
        <v>11</v>
      </c>
      <c r="E9443" s="263">
        <v>1</v>
      </c>
      <c r="F9443" s="294" t="s">
        <v>426</v>
      </c>
      <c r="G9443" s="294" t="s">
        <v>126</v>
      </c>
      <c r="H9443" s="298">
        <v>1</v>
      </c>
      <c r="M9443" s="274"/>
    </row>
    <row r="9444" spans="2:13" ht="15" customHeight="1" x14ac:dyDescent="0.25">
      <c r="B9444" s="289">
        <v>7273</v>
      </c>
      <c r="C9444" s="261">
        <v>102</v>
      </c>
      <c r="D9444" s="244" t="s">
        <v>12</v>
      </c>
      <c r="E9444" s="263">
        <v>1</v>
      </c>
      <c r="F9444" s="294" t="s">
        <v>126</v>
      </c>
      <c r="G9444" s="294" t="s">
        <v>139</v>
      </c>
      <c r="H9444" s="298">
        <v>1</v>
      </c>
      <c r="M9444" s="274"/>
    </row>
    <row r="9445" spans="2:13" ht="15" customHeight="1" x14ac:dyDescent="0.25">
      <c r="B9445" s="289">
        <v>7273</v>
      </c>
      <c r="C9445" s="261">
        <v>113</v>
      </c>
      <c r="D9445" s="244" t="s">
        <v>11</v>
      </c>
      <c r="E9445" s="263">
        <v>1</v>
      </c>
      <c r="F9445" s="294" t="s">
        <v>139</v>
      </c>
      <c r="G9445" s="294" t="s">
        <v>126</v>
      </c>
      <c r="H9445" s="298">
        <v>1</v>
      </c>
      <c r="M9445" s="274"/>
    </row>
    <row r="9446" spans="2:13" ht="15" customHeight="1" x14ac:dyDescent="0.25">
      <c r="B9446" s="289">
        <v>7274</v>
      </c>
      <c r="C9446" s="261">
        <v>105</v>
      </c>
      <c r="D9446" s="244" t="s">
        <v>12</v>
      </c>
      <c r="E9446" s="263">
        <v>1</v>
      </c>
      <c r="F9446" s="294" t="s">
        <v>126</v>
      </c>
      <c r="G9446" s="294" t="s">
        <v>437</v>
      </c>
      <c r="H9446" s="298">
        <v>1</v>
      </c>
      <c r="M9446" s="274"/>
    </row>
    <row r="9447" spans="2:13" ht="15" customHeight="1" x14ac:dyDescent="0.25">
      <c r="B9447" s="289">
        <v>7275</v>
      </c>
      <c r="C9447" s="261">
        <v>99</v>
      </c>
      <c r="D9447" s="244" t="s">
        <v>12</v>
      </c>
      <c r="E9447" s="263">
        <v>15</v>
      </c>
      <c r="F9447" s="294" t="s">
        <v>126</v>
      </c>
      <c r="G9447" s="294" t="s">
        <v>1751</v>
      </c>
      <c r="H9447" s="298">
        <v>1</v>
      </c>
      <c r="M9447" s="274"/>
    </row>
    <row r="9448" spans="2:13" ht="15" customHeight="1" x14ac:dyDescent="0.25">
      <c r="B9448" s="289">
        <v>7275</v>
      </c>
      <c r="C9448" s="261">
        <v>105</v>
      </c>
      <c r="D9448" s="244" t="s">
        <v>12</v>
      </c>
      <c r="E9448" s="263">
        <v>29</v>
      </c>
      <c r="F9448" s="294" t="s">
        <v>126</v>
      </c>
      <c r="G9448" s="294" t="s">
        <v>1752</v>
      </c>
      <c r="H9448" s="298">
        <v>1</v>
      </c>
      <c r="M9448" s="274"/>
    </row>
    <row r="9449" spans="2:13" ht="15" customHeight="1" x14ac:dyDescent="0.25">
      <c r="B9449" s="289">
        <v>7276</v>
      </c>
      <c r="C9449" s="261">
        <v>105</v>
      </c>
      <c r="D9449" s="244" t="s">
        <v>12</v>
      </c>
      <c r="E9449" s="263">
        <v>32</v>
      </c>
      <c r="F9449" s="294" t="s">
        <v>126</v>
      </c>
      <c r="G9449" s="294" t="s">
        <v>1753</v>
      </c>
      <c r="H9449" s="298">
        <v>1</v>
      </c>
      <c r="M9449" s="274"/>
    </row>
    <row r="9450" spans="2:13" ht="15" customHeight="1" x14ac:dyDescent="0.25">
      <c r="B9450" s="289">
        <v>7277</v>
      </c>
      <c r="C9450" s="261">
        <v>105</v>
      </c>
      <c r="D9450" s="244" t="s">
        <v>12</v>
      </c>
      <c r="E9450" s="263">
        <v>3</v>
      </c>
      <c r="F9450" s="294" t="s">
        <v>126</v>
      </c>
      <c r="G9450" s="294" t="s">
        <v>1523</v>
      </c>
      <c r="H9450" s="298">
        <v>1</v>
      </c>
      <c r="M9450" s="274"/>
    </row>
    <row r="9451" spans="2:13" ht="15" customHeight="1" x14ac:dyDescent="0.25">
      <c r="B9451" s="289">
        <v>7278</v>
      </c>
      <c r="C9451" s="261">
        <v>105</v>
      </c>
      <c r="D9451" s="244" t="s">
        <v>11</v>
      </c>
      <c r="E9451" s="263">
        <v>36</v>
      </c>
      <c r="F9451" s="294" t="s">
        <v>1754</v>
      </c>
      <c r="G9451" s="294" t="s">
        <v>126</v>
      </c>
      <c r="H9451" s="298">
        <v>1</v>
      </c>
      <c r="M9451" s="274"/>
    </row>
    <row r="9452" spans="2:13" ht="15" customHeight="1" x14ac:dyDescent="0.25">
      <c r="B9452" s="289">
        <v>7279</v>
      </c>
      <c r="C9452" s="261">
        <v>102</v>
      </c>
      <c r="D9452" s="244" t="s">
        <v>11</v>
      </c>
      <c r="E9452" s="263">
        <v>4</v>
      </c>
      <c r="F9452" s="294" t="s">
        <v>964</v>
      </c>
      <c r="G9452" s="294" t="s">
        <v>126</v>
      </c>
      <c r="H9452" s="298">
        <v>1</v>
      </c>
      <c r="M9452" s="274"/>
    </row>
    <row r="9453" spans="2:13" ht="15" customHeight="1" x14ac:dyDescent="0.25">
      <c r="B9453" s="289">
        <v>7279</v>
      </c>
      <c r="C9453" s="261">
        <v>114</v>
      </c>
      <c r="D9453" s="244" t="s">
        <v>12</v>
      </c>
      <c r="E9453" s="263">
        <v>4</v>
      </c>
      <c r="F9453" s="294" t="s">
        <v>126</v>
      </c>
      <c r="G9453" s="294" t="s">
        <v>1755</v>
      </c>
      <c r="H9453" s="298">
        <v>1</v>
      </c>
      <c r="M9453" s="274"/>
    </row>
    <row r="9454" spans="2:13" ht="15" customHeight="1" x14ac:dyDescent="0.25">
      <c r="B9454" s="289">
        <v>7280</v>
      </c>
      <c r="C9454" s="261">
        <v>105</v>
      </c>
      <c r="D9454" s="244" t="s">
        <v>12</v>
      </c>
      <c r="E9454" s="263">
        <v>1</v>
      </c>
      <c r="F9454" s="294" t="s">
        <v>126</v>
      </c>
      <c r="G9454" s="294" t="s">
        <v>437</v>
      </c>
      <c r="H9454" s="298">
        <v>1</v>
      </c>
      <c r="M9454" s="274"/>
    </row>
    <row r="9455" spans="2:13" ht="15" customHeight="1" x14ac:dyDescent="0.25">
      <c r="B9455" s="289">
        <v>7282</v>
      </c>
      <c r="C9455" s="261">
        <v>103</v>
      </c>
      <c r="D9455" s="244" t="s">
        <v>12</v>
      </c>
      <c r="E9455" s="263">
        <v>3</v>
      </c>
      <c r="F9455" s="294" t="s">
        <v>126</v>
      </c>
      <c r="G9455" s="294" t="s">
        <v>1479</v>
      </c>
      <c r="H9455" s="298">
        <v>1</v>
      </c>
      <c r="M9455" s="274"/>
    </row>
    <row r="9456" spans="2:13" ht="15" customHeight="1" x14ac:dyDescent="0.25">
      <c r="B9456" s="289">
        <v>7282</v>
      </c>
      <c r="C9456" s="261">
        <v>111</v>
      </c>
      <c r="D9456" s="244" t="s">
        <v>11</v>
      </c>
      <c r="E9456" s="263">
        <v>3</v>
      </c>
      <c r="F9456" s="294" t="s">
        <v>1478</v>
      </c>
      <c r="G9456" s="294" t="s">
        <v>126</v>
      </c>
      <c r="H9456" s="298">
        <v>1</v>
      </c>
      <c r="M9456" s="274"/>
    </row>
    <row r="9457" spans="2:13" ht="15" customHeight="1" x14ac:dyDescent="0.25">
      <c r="B9457" s="289">
        <v>7283</v>
      </c>
      <c r="C9457" s="261">
        <v>107</v>
      </c>
      <c r="D9457" s="244" t="s">
        <v>12</v>
      </c>
      <c r="E9457" s="263">
        <v>4</v>
      </c>
      <c r="F9457" s="294" t="s">
        <v>126</v>
      </c>
      <c r="G9457" s="294" t="s">
        <v>1756</v>
      </c>
      <c r="H9457" s="298">
        <v>1</v>
      </c>
      <c r="M9457" s="274"/>
    </row>
    <row r="9458" spans="2:13" ht="15" customHeight="1" x14ac:dyDescent="0.25">
      <c r="B9458" s="289">
        <v>7284</v>
      </c>
      <c r="C9458" s="261">
        <v>105</v>
      </c>
      <c r="D9458" s="244" t="s">
        <v>12</v>
      </c>
      <c r="E9458" s="263">
        <v>1</v>
      </c>
      <c r="F9458" s="294" t="s">
        <v>126</v>
      </c>
      <c r="G9458" s="294" t="s">
        <v>437</v>
      </c>
      <c r="H9458" s="298">
        <v>1</v>
      </c>
      <c r="M9458" s="274"/>
    </row>
    <row r="9459" spans="2:13" ht="15" customHeight="1" x14ac:dyDescent="0.25">
      <c r="B9459" s="289">
        <v>7285</v>
      </c>
      <c r="C9459" s="261">
        <v>105</v>
      </c>
      <c r="D9459" s="244" t="s">
        <v>12</v>
      </c>
      <c r="E9459" s="263">
        <v>1</v>
      </c>
      <c r="F9459" s="294" t="s">
        <v>126</v>
      </c>
      <c r="G9459" s="294" t="s">
        <v>437</v>
      </c>
      <c r="H9459" s="298">
        <v>1</v>
      </c>
      <c r="M9459" s="274"/>
    </row>
    <row r="9460" spans="2:13" ht="15" customHeight="1" x14ac:dyDescent="0.25">
      <c r="B9460" s="289">
        <v>7286</v>
      </c>
      <c r="C9460" s="261">
        <v>112</v>
      </c>
      <c r="D9460" s="244" t="s">
        <v>12</v>
      </c>
      <c r="E9460" s="263">
        <v>6</v>
      </c>
      <c r="F9460" s="294" t="s">
        <v>126</v>
      </c>
      <c r="G9460" s="294" t="s">
        <v>1278</v>
      </c>
      <c r="H9460" s="298">
        <v>1</v>
      </c>
      <c r="M9460" s="274"/>
    </row>
    <row r="9461" spans="2:13" ht="15" customHeight="1" x14ac:dyDescent="0.25">
      <c r="B9461" s="289">
        <v>7287</v>
      </c>
      <c r="C9461" s="261">
        <v>104</v>
      </c>
      <c r="D9461" s="244" t="s">
        <v>12</v>
      </c>
      <c r="E9461" s="263">
        <v>2</v>
      </c>
      <c r="F9461" s="294" t="s">
        <v>126</v>
      </c>
      <c r="G9461" s="294" t="s">
        <v>227</v>
      </c>
      <c r="H9461" s="298">
        <v>1</v>
      </c>
      <c r="M9461" s="274"/>
    </row>
    <row r="9462" spans="2:13" ht="15" customHeight="1" x14ac:dyDescent="0.25">
      <c r="B9462" s="289">
        <v>7287</v>
      </c>
      <c r="C9462" s="261">
        <v>112</v>
      </c>
      <c r="D9462" s="244" t="s">
        <v>11</v>
      </c>
      <c r="E9462" s="263">
        <v>2</v>
      </c>
      <c r="F9462" s="294" t="s">
        <v>136</v>
      </c>
      <c r="G9462" s="294" t="s">
        <v>126</v>
      </c>
      <c r="H9462" s="298">
        <v>1</v>
      </c>
      <c r="M9462" s="274"/>
    </row>
    <row r="9463" spans="2:13" ht="15" customHeight="1" x14ac:dyDescent="0.25">
      <c r="B9463" s="289">
        <v>7288</v>
      </c>
      <c r="C9463" s="261">
        <v>100</v>
      </c>
      <c r="D9463" s="244" t="s">
        <v>12</v>
      </c>
      <c r="E9463" s="263">
        <v>8</v>
      </c>
      <c r="F9463" s="294" t="s">
        <v>126</v>
      </c>
      <c r="G9463" s="294" t="s">
        <v>1757</v>
      </c>
      <c r="H9463" s="298">
        <v>1</v>
      </c>
      <c r="M9463" s="274"/>
    </row>
    <row r="9464" spans="2:13" ht="15" customHeight="1" x14ac:dyDescent="0.25">
      <c r="B9464" s="289">
        <v>7289</v>
      </c>
      <c r="C9464" s="261">
        <v>102</v>
      </c>
      <c r="D9464" s="244" t="s">
        <v>12</v>
      </c>
      <c r="E9464" s="263">
        <v>3</v>
      </c>
      <c r="F9464" s="294" t="s">
        <v>126</v>
      </c>
      <c r="G9464" s="294" t="s">
        <v>446</v>
      </c>
      <c r="H9464" s="298">
        <v>1</v>
      </c>
      <c r="M9464" s="274"/>
    </row>
    <row r="9465" spans="2:13" ht="15" customHeight="1" x14ac:dyDescent="0.25">
      <c r="B9465" s="289">
        <v>7289</v>
      </c>
      <c r="C9465" s="261">
        <v>111</v>
      </c>
      <c r="D9465" s="244" t="s">
        <v>11</v>
      </c>
      <c r="E9465" s="263">
        <v>3</v>
      </c>
      <c r="F9465" s="294" t="s">
        <v>1478</v>
      </c>
      <c r="G9465" s="294" t="s">
        <v>126</v>
      </c>
      <c r="H9465" s="298">
        <v>1</v>
      </c>
      <c r="M9465" s="274"/>
    </row>
    <row r="9466" spans="2:13" ht="15" customHeight="1" x14ac:dyDescent="0.25">
      <c r="B9466" s="289">
        <v>7290</v>
      </c>
      <c r="C9466" s="261">
        <v>108</v>
      </c>
      <c r="D9466" s="244" t="s">
        <v>11</v>
      </c>
      <c r="E9466" s="263">
        <v>1</v>
      </c>
      <c r="F9466" s="294" t="s">
        <v>139</v>
      </c>
      <c r="G9466" s="294" t="s">
        <v>126</v>
      </c>
      <c r="H9466" s="298">
        <v>1</v>
      </c>
      <c r="M9466" s="274"/>
    </row>
    <row r="9467" spans="2:13" ht="15" customHeight="1" x14ac:dyDescent="0.25">
      <c r="B9467" s="289">
        <v>7291</v>
      </c>
      <c r="C9467" s="261">
        <v>105</v>
      </c>
      <c r="D9467" s="244" t="s">
        <v>12</v>
      </c>
      <c r="E9467" s="263">
        <v>1</v>
      </c>
      <c r="F9467" s="294" t="s">
        <v>126</v>
      </c>
      <c r="G9467" s="294" t="s">
        <v>437</v>
      </c>
      <c r="H9467" s="298">
        <v>1</v>
      </c>
      <c r="M9467" s="274"/>
    </row>
    <row r="9468" spans="2:13" ht="15" customHeight="1" x14ac:dyDescent="0.25">
      <c r="B9468" s="289">
        <v>7292</v>
      </c>
      <c r="C9468" s="261">
        <v>105</v>
      </c>
      <c r="D9468" s="244" t="s">
        <v>11</v>
      </c>
      <c r="E9468" s="263">
        <v>1</v>
      </c>
      <c r="F9468" s="294" t="s">
        <v>437</v>
      </c>
      <c r="G9468" s="294" t="s">
        <v>126</v>
      </c>
      <c r="H9468" s="298">
        <v>1</v>
      </c>
      <c r="M9468" s="274"/>
    </row>
    <row r="9469" spans="2:13" ht="15" customHeight="1" x14ac:dyDescent="0.25">
      <c r="B9469" s="289">
        <v>7293</v>
      </c>
      <c r="C9469" s="261">
        <v>105</v>
      </c>
      <c r="D9469" s="244" t="s">
        <v>11</v>
      </c>
      <c r="E9469" s="263">
        <v>4</v>
      </c>
      <c r="F9469" s="294" t="s">
        <v>1498</v>
      </c>
      <c r="G9469" s="294" t="s">
        <v>126</v>
      </c>
      <c r="H9469" s="298">
        <v>1</v>
      </c>
      <c r="M9469" s="274"/>
    </row>
    <row r="9470" spans="2:13" ht="15" customHeight="1" x14ac:dyDescent="0.25">
      <c r="B9470" s="289">
        <v>7294</v>
      </c>
      <c r="C9470" s="261">
        <v>105</v>
      </c>
      <c r="D9470" s="244" t="s">
        <v>12</v>
      </c>
      <c r="E9470" s="263">
        <v>2</v>
      </c>
      <c r="F9470" s="294" t="s">
        <v>126</v>
      </c>
      <c r="G9470" s="294" t="s">
        <v>417</v>
      </c>
      <c r="H9470" s="298">
        <v>1</v>
      </c>
      <c r="M9470" s="274"/>
    </row>
    <row r="9471" spans="2:13" ht="15" customHeight="1" x14ac:dyDescent="0.25">
      <c r="B9471" s="289">
        <v>7295</v>
      </c>
      <c r="C9471" s="261">
        <v>100</v>
      </c>
      <c r="D9471" s="244" t="s">
        <v>12</v>
      </c>
      <c r="E9471" s="263">
        <v>3</v>
      </c>
      <c r="F9471" s="294" t="s">
        <v>126</v>
      </c>
      <c r="G9471" s="294" t="s">
        <v>438</v>
      </c>
      <c r="H9471" s="298">
        <v>1</v>
      </c>
      <c r="M9471" s="274"/>
    </row>
    <row r="9472" spans="2:13" ht="15" customHeight="1" x14ac:dyDescent="0.25">
      <c r="B9472" s="289">
        <v>7295</v>
      </c>
      <c r="C9472" s="261">
        <v>105</v>
      </c>
      <c r="D9472" s="244" t="s">
        <v>12</v>
      </c>
      <c r="E9472" s="263">
        <v>1</v>
      </c>
      <c r="F9472" s="294" t="s">
        <v>126</v>
      </c>
      <c r="G9472" s="294" t="s">
        <v>437</v>
      </c>
      <c r="H9472" s="298">
        <v>1</v>
      </c>
      <c r="M9472" s="274"/>
    </row>
    <row r="9473" spans="2:13" ht="15" customHeight="1" x14ac:dyDescent="0.25">
      <c r="B9473" s="289">
        <v>7295</v>
      </c>
      <c r="C9473" s="261">
        <v>110</v>
      </c>
      <c r="D9473" s="244" t="s">
        <v>11</v>
      </c>
      <c r="E9473" s="263">
        <v>4</v>
      </c>
      <c r="F9473" s="294" t="s">
        <v>682</v>
      </c>
      <c r="G9473" s="294" t="s">
        <v>126</v>
      </c>
      <c r="H9473" s="298">
        <v>1</v>
      </c>
      <c r="M9473" s="274"/>
    </row>
    <row r="9474" spans="2:13" ht="15" customHeight="1" x14ac:dyDescent="0.25">
      <c r="B9474" s="289">
        <v>7296</v>
      </c>
      <c r="C9474" s="261">
        <v>105</v>
      </c>
      <c r="D9474" s="244" t="s">
        <v>12</v>
      </c>
      <c r="E9474" s="263">
        <v>1</v>
      </c>
      <c r="F9474" s="294" t="s">
        <v>126</v>
      </c>
      <c r="G9474" s="294" t="s">
        <v>437</v>
      </c>
      <c r="H9474" s="298">
        <v>1</v>
      </c>
      <c r="M9474" s="274"/>
    </row>
    <row r="9475" spans="2:13" ht="15" customHeight="1" x14ac:dyDescent="0.25">
      <c r="B9475" s="289">
        <v>7297</v>
      </c>
      <c r="C9475" s="261">
        <v>105</v>
      </c>
      <c r="D9475" s="244" t="s">
        <v>12</v>
      </c>
      <c r="E9475" s="263">
        <v>1</v>
      </c>
      <c r="F9475" s="294" t="s">
        <v>126</v>
      </c>
      <c r="G9475" s="294" t="s">
        <v>437</v>
      </c>
      <c r="H9475" s="298">
        <v>1</v>
      </c>
      <c r="M9475" s="274"/>
    </row>
    <row r="9476" spans="2:13" ht="15" customHeight="1" x14ac:dyDescent="0.25">
      <c r="M9476" s="274"/>
    </row>
    <row r="9477" spans="2:13" ht="15" customHeight="1" x14ac:dyDescent="0.25">
      <c r="M9477" s="274"/>
    </row>
    <row r="9478" spans="2:13" ht="15" customHeight="1" x14ac:dyDescent="0.25">
      <c r="M9478" s="274"/>
    </row>
    <row r="9479" spans="2:13" ht="15" customHeight="1" x14ac:dyDescent="0.25">
      <c r="M9479" s="274"/>
    </row>
    <row r="9480" spans="2:13" ht="15" customHeight="1" x14ac:dyDescent="0.25">
      <c r="M9480" s="274"/>
    </row>
    <row r="9481" spans="2:13" ht="15" customHeight="1" x14ac:dyDescent="0.25">
      <c r="M9481" s="274"/>
    </row>
    <row r="9482" spans="2:13" ht="15" customHeight="1" x14ac:dyDescent="0.25">
      <c r="M9482" s="274"/>
    </row>
    <row r="9483" spans="2:13" ht="15" customHeight="1" x14ac:dyDescent="0.25">
      <c r="M9483" s="274"/>
    </row>
    <row r="9484" spans="2:13" ht="15" customHeight="1" x14ac:dyDescent="0.25">
      <c r="M9484" s="274"/>
    </row>
    <row r="9485" spans="2:13" ht="15" customHeight="1" x14ac:dyDescent="0.25">
      <c r="M9485" s="274"/>
    </row>
    <row r="9486" spans="2:13" ht="15" customHeight="1" x14ac:dyDescent="0.25">
      <c r="M9486" s="274"/>
    </row>
    <row r="9487" spans="2:13" ht="15" customHeight="1" x14ac:dyDescent="0.25">
      <c r="M9487" s="274"/>
    </row>
    <row r="9488" spans="2:13" ht="15" customHeight="1" x14ac:dyDescent="0.25">
      <c r="M9488" s="274"/>
    </row>
    <row r="9489" spans="13:13" ht="15" customHeight="1" x14ac:dyDescent="0.25">
      <c r="M9489" s="274"/>
    </row>
    <row r="9490" spans="13:13" ht="15" customHeight="1" x14ac:dyDescent="0.25">
      <c r="M9490" s="274"/>
    </row>
    <row r="9491" spans="13:13" ht="15" customHeight="1" x14ac:dyDescent="0.25">
      <c r="M9491" s="274"/>
    </row>
    <row r="9492" spans="13:13" ht="15" customHeight="1" x14ac:dyDescent="0.25">
      <c r="M9492" s="274"/>
    </row>
    <row r="9493" spans="13:13" ht="15" customHeight="1" x14ac:dyDescent="0.25">
      <c r="M9493" s="274"/>
    </row>
    <row r="9494" spans="13:13" ht="15" customHeight="1" x14ac:dyDescent="0.25">
      <c r="M9494" s="274"/>
    </row>
    <row r="9495" spans="13:13" ht="15" customHeight="1" x14ac:dyDescent="0.25">
      <c r="M9495" s="274"/>
    </row>
    <row r="9496" spans="13:13" ht="15" customHeight="1" x14ac:dyDescent="0.25">
      <c r="M9496" s="274"/>
    </row>
    <row r="9497" spans="13:13" ht="15" customHeight="1" x14ac:dyDescent="0.25">
      <c r="M9497" s="274"/>
    </row>
    <row r="9498" spans="13:13" ht="15" customHeight="1" x14ac:dyDescent="0.25">
      <c r="M9498" s="274"/>
    </row>
    <row r="9499" spans="13:13" ht="15" customHeight="1" x14ac:dyDescent="0.25">
      <c r="M9499" s="274"/>
    </row>
    <row r="9500" spans="13:13" ht="15" customHeight="1" x14ac:dyDescent="0.25">
      <c r="M9500" s="274"/>
    </row>
    <row r="9501" spans="13:13" ht="15" customHeight="1" x14ac:dyDescent="0.25">
      <c r="M9501" s="274"/>
    </row>
    <row r="9502" spans="13:13" ht="15" customHeight="1" x14ac:dyDescent="0.25">
      <c r="M9502" s="274"/>
    </row>
    <row r="9503" spans="13:13" ht="15" customHeight="1" x14ac:dyDescent="0.25">
      <c r="M9503" s="274"/>
    </row>
    <row r="9504" spans="13:13" ht="15" customHeight="1" x14ac:dyDescent="0.25">
      <c r="M9504" s="274"/>
    </row>
    <row r="9505" spans="13:13" ht="15" customHeight="1" x14ac:dyDescent="0.25">
      <c r="M9505" s="274"/>
    </row>
    <row r="9506" spans="13:13" ht="15" customHeight="1" x14ac:dyDescent="0.25">
      <c r="M9506" s="274"/>
    </row>
    <row r="9507" spans="13:13" ht="15" customHeight="1" x14ac:dyDescent="0.25">
      <c r="M9507" s="274"/>
    </row>
    <row r="9508" spans="13:13" ht="15" customHeight="1" x14ac:dyDescent="0.25">
      <c r="M9508" s="274"/>
    </row>
    <row r="9509" spans="13:13" ht="15" customHeight="1" x14ac:dyDescent="0.25">
      <c r="M9509" s="274"/>
    </row>
    <row r="9510" spans="13:13" ht="15" customHeight="1" x14ac:dyDescent="0.25">
      <c r="M9510" s="274"/>
    </row>
    <row r="9511" spans="13:13" ht="15" customHeight="1" x14ac:dyDescent="0.25">
      <c r="M9511" s="274"/>
    </row>
    <row r="9512" spans="13:13" ht="15" customHeight="1" x14ac:dyDescent="0.25">
      <c r="M9512" s="274"/>
    </row>
    <row r="9513" spans="13:13" ht="15" customHeight="1" x14ac:dyDescent="0.25">
      <c r="M9513" s="274"/>
    </row>
    <row r="9514" spans="13:13" ht="15" customHeight="1" x14ac:dyDescent="0.25">
      <c r="M9514" s="274"/>
    </row>
    <row r="9515" spans="13:13" ht="15" customHeight="1" x14ac:dyDescent="0.25">
      <c r="M9515" s="274"/>
    </row>
    <row r="9516" spans="13:13" ht="15" customHeight="1" x14ac:dyDescent="0.25">
      <c r="M9516" s="274"/>
    </row>
    <row r="9517" spans="13:13" ht="15" customHeight="1" x14ac:dyDescent="0.25">
      <c r="M9517" s="274"/>
    </row>
    <row r="9518" spans="13:13" ht="15" customHeight="1" x14ac:dyDescent="0.25">
      <c r="M9518" s="274"/>
    </row>
    <row r="9519" spans="13:13" ht="15" customHeight="1" x14ac:dyDescent="0.25">
      <c r="M9519" s="274"/>
    </row>
    <row r="9520" spans="13:13" ht="15" customHeight="1" x14ac:dyDescent="0.25">
      <c r="M9520" s="274"/>
    </row>
    <row r="9521" spans="13:13" ht="15" customHeight="1" x14ac:dyDescent="0.25">
      <c r="M9521" s="274"/>
    </row>
    <row r="9522" spans="13:13" ht="15" customHeight="1" x14ac:dyDescent="0.25">
      <c r="M9522" s="274"/>
    </row>
    <row r="9523" spans="13:13" ht="15" customHeight="1" x14ac:dyDescent="0.25">
      <c r="M9523" s="274"/>
    </row>
    <row r="9524" spans="13:13" ht="15" customHeight="1" x14ac:dyDescent="0.25">
      <c r="M9524" s="274"/>
    </row>
    <row r="9525" spans="13:13" ht="15" customHeight="1" x14ac:dyDescent="0.25">
      <c r="M9525" s="274"/>
    </row>
    <row r="9526" spans="13:13" ht="15" customHeight="1" x14ac:dyDescent="0.25">
      <c r="M9526" s="274"/>
    </row>
    <row r="9527" spans="13:13" ht="15" customHeight="1" x14ac:dyDescent="0.25">
      <c r="M9527" s="274"/>
    </row>
    <row r="9528" spans="13:13" ht="15" customHeight="1" x14ac:dyDescent="0.25">
      <c r="M9528" s="274"/>
    </row>
    <row r="9529" spans="13:13" ht="15" customHeight="1" x14ac:dyDescent="0.25">
      <c r="M9529" s="274"/>
    </row>
    <row r="9530" spans="13:13" ht="15" customHeight="1" x14ac:dyDescent="0.25">
      <c r="M9530" s="274"/>
    </row>
    <row r="9531" spans="13:13" ht="15" customHeight="1" x14ac:dyDescent="0.25">
      <c r="M9531" s="274"/>
    </row>
    <row r="9532" spans="13:13" ht="15" customHeight="1" x14ac:dyDescent="0.25">
      <c r="M9532" s="274"/>
    </row>
    <row r="9533" spans="13:13" ht="15" customHeight="1" x14ac:dyDescent="0.25">
      <c r="M9533" s="274"/>
    </row>
    <row r="9534" spans="13:13" ht="15" customHeight="1" x14ac:dyDescent="0.25">
      <c r="M9534" s="274"/>
    </row>
    <row r="9535" spans="13:13" ht="15" customHeight="1" x14ac:dyDescent="0.25">
      <c r="M9535" s="274"/>
    </row>
    <row r="9536" spans="13:13" ht="15" customHeight="1" x14ac:dyDescent="0.25">
      <c r="M9536" s="274"/>
    </row>
    <row r="9537" spans="13:13" ht="15" customHeight="1" x14ac:dyDescent="0.25">
      <c r="M9537" s="274"/>
    </row>
    <row r="9538" spans="13:13" ht="15" customHeight="1" x14ac:dyDescent="0.25">
      <c r="M9538" s="274"/>
    </row>
    <row r="9539" spans="13:13" ht="15" customHeight="1" x14ac:dyDescent="0.25">
      <c r="M9539" s="274"/>
    </row>
    <row r="9540" spans="13:13" ht="15" customHeight="1" x14ac:dyDescent="0.25">
      <c r="M9540" s="274"/>
    </row>
    <row r="9541" spans="13:13" ht="15" customHeight="1" x14ac:dyDescent="0.25">
      <c r="M9541" s="274"/>
    </row>
    <row r="9542" spans="13:13" ht="15" customHeight="1" x14ac:dyDescent="0.25">
      <c r="M9542" s="274"/>
    </row>
    <row r="9543" spans="13:13" ht="15" customHeight="1" x14ac:dyDescent="0.25">
      <c r="M9543" s="274"/>
    </row>
    <row r="9544" spans="13:13" ht="15" customHeight="1" x14ac:dyDescent="0.25">
      <c r="M9544" s="274"/>
    </row>
    <row r="9545" spans="13:13" ht="15" customHeight="1" x14ac:dyDescent="0.25">
      <c r="M9545" s="274"/>
    </row>
    <row r="9546" spans="13:13" ht="15" customHeight="1" x14ac:dyDescent="0.25">
      <c r="M9546" s="274"/>
    </row>
    <row r="9547" spans="13:13" ht="15" customHeight="1" x14ac:dyDescent="0.25">
      <c r="M9547" s="274"/>
    </row>
    <row r="9548" spans="13:13" ht="15" customHeight="1" x14ac:dyDescent="0.25">
      <c r="M9548" s="274"/>
    </row>
    <row r="9549" spans="13:13" ht="15" customHeight="1" x14ac:dyDescent="0.25">
      <c r="M9549" s="274"/>
    </row>
    <row r="9550" spans="13:13" ht="15" customHeight="1" x14ac:dyDescent="0.25">
      <c r="M9550" s="274"/>
    </row>
    <row r="9551" spans="13:13" ht="15" customHeight="1" x14ac:dyDescent="0.25">
      <c r="M9551" s="274"/>
    </row>
    <row r="9552" spans="13:13" ht="15" customHeight="1" x14ac:dyDescent="0.25">
      <c r="M9552" s="274"/>
    </row>
    <row r="9553" spans="13:13" ht="15" customHeight="1" x14ac:dyDescent="0.25">
      <c r="M9553" s="274"/>
    </row>
    <row r="9554" spans="13:13" ht="15" customHeight="1" x14ac:dyDescent="0.25">
      <c r="M9554" s="274"/>
    </row>
    <row r="9555" spans="13:13" ht="15" customHeight="1" x14ac:dyDescent="0.25">
      <c r="M9555" s="274"/>
    </row>
    <row r="9556" spans="13:13" ht="15" customHeight="1" x14ac:dyDescent="0.25">
      <c r="M9556" s="274"/>
    </row>
    <row r="9557" spans="13:13" ht="15" customHeight="1" x14ac:dyDescent="0.25">
      <c r="M9557" s="274"/>
    </row>
    <row r="9558" spans="13:13" ht="15" customHeight="1" x14ac:dyDescent="0.25">
      <c r="M9558" s="274"/>
    </row>
    <row r="9559" spans="13:13" ht="15" customHeight="1" x14ac:dyDescent="0.25">
      <c r="M9559" s="274"/>
    </row>
    <row r="9560" spans="13:13" ht="15" customHeight="1" x14ac:dyDescent="0.25">
      <c r="M9560" s="274"/>
    </row>
    <row r="9561" spans="13:13" ht="15" customHeight="1" x14ac:dyDescent="0.25">
      <c r="M9561" s="274"/>
    </row>
    <row r="9562" spans="13:13" ht="15" customHeight="1" x14ac:dyDescent="0.25">
      <c r="M9562" s="274"/>
    </row>
    <row r="9563" spans="13:13" ht="15" customHeight="1" x14ac:dyDescent="0.25">
      <c r="M9563" s="274"/>
    </row>
    <row r="9564" spans="13:13" ht="15" customHeight="1" x14ac:dyDescent="0.25">
      <c r="M9564" s="274"/>
    </row>
    <row r="9565" spans="13:13" ht="15" customHeight="1" x14ac:dyDescent="0.25">
      <c r="M9565" s="274"/>
    </row>
    <row r="9566" spans="13:13" ht="15" customHeight="1" x14ac:dyDescent="0.25">
      <c r="M9566" s="274"/>
    </row>
    <row r="9567" spans="13:13" ht="15" customHeight="1" x14ac:dyDescent="0.25">
      <c r="M9567" s="274"/>
    </row>
    <row r="9568" spans="13:13" ht="15" customHeight="1" x14ac:dyDescent="0.25">
      <c r="M9568" s="274"/>
    </row>
    <row r="9569" spans="13:13" ht="15" customHeight="1" x14ac:dyDescent="0.25">
      <c r="M9569" s="274"/>
    </row>
    <row r="9570" spans="13:13" ht="15" customHeight="1" x14ac:dyDescent="0.25">
      <c r="M9570" s="274"/>
    </row>
    <row r="9571" spans="13:13" ht="15" customHeight="1" x14ac:dyDescent="0.25">
      <c r="M9571" s="274"/>
    </row>
    <row r="9572" spans="13:13" ht="15" customHeight="1" x14ac:dyDescent="0.25">
      <c r="M9572" s="274"/>
    </row>
    <row r="9573" spans="13:13" ht="15" customHeight="1" x14ac:dyDescent="0.25">
      <c r="M9573" s="274"/>
    </row>
    <row r="9574" spans="13:13" ht="15" customHeight="1" x14ac:dyDescent="0.25">
      <c r="M9574" s="274"/>
    </row>
    <row r="9575" spans="13:13" ht="15" customHeight="1" x14ac:dyDescent="0.25">
      <c r="M9575" s="274"/>
    </row>
    <row r="9576" spans="13:13" ht="15" customHeight="1" x14ac:dyDescent="0.25">
      <c r="M9576" s="274"/>
    </row>
    <row r="9577" spans="13:13" ht="15" customHeight="1" x14ac:dyDescent="0.25">
      <c r="M9577" s="274"/>
    </row>
    <row r="9578" spans="13:13" ht="15" customHeight="1" x14ac:dyDescent="0.25">
      <c r="M9578" s="274"/>
    </row>
    <row r="9579" spans="13:13" ht="15" customHeight="1" x14ac:dyDescent="0.25">
      <c r="M9579" s="274"/>
    </row>
    <row r="9580" spans="13:13" ht="15" customHeight="1" x14ac:dyDescent="0.25">
      <c r="M9580" s="274"/>
    </row>
    <row r="9581" spans="13:13" ht="15" customHeight="1" x14ac:dyDescent="0.25">
      <c r="M9581" s="274"/>
    </row>
    <row r="9582" spans="13:13" ht="15" customHeight="1" x14ac:dyDescent="0.25">
      <c r="M9582" s="274"/>
    </row>
    <row r="9583" spans="13:13" ht="15" customHeight="1" x14ac:dyDescent="0.25">
      <c r="M9583" s="274"/>
    </row>
    <row r="9584" spans="13:13" ht="15" customHeight="1" x14ac:dyDescent="0.25">
      <c r="M9584" s="274"/>
    </row>
    <row r="9585" spans="13:13" ht="15" customHeight="1" x14ac:dyDescent="0.25">
      <c r="M9585" s="274"/>
    </row>
    <row r="9586" spans="13:13" ht="15" customHeight="1" x14ac:dyDescent="0.25">
      <c r="M9586" s="274"/>
    </row>
    <row r="9587" spans="13:13" ht="15" customHeight="1" x14ac:dyDescent="0.25">
      <c r="M9587" s="274"/>
    </row>
    <row r="9588" spans="13:13" ht="15" customHeight="1" x14ac:dyDescent="0.25">
      <c r="M9588" s="274"/>
    </row>
    <row r="9589" spans="13:13" ht="15" customHeight="1" x14ac:dyDescent="0.25">
      <c r="M9589" s="274"/>
    </row>
    <row r="9590" spans="13:13" ht="15" customHeight="1" x14ac:dyDescent="0.25">
      <c r="M9590" s="274"/>
    </row>
    <row r="9591" spans="13:13" ht="15" customHeight="1" x14ac:dyDescent="0.25">
      <c r="M9591" s="274"/>
    </row>
    <row r="9592" spans="13:13" ht="15" customHeight="1" x14ac:dyDescent="0.25">
      <c r="M9592" s="274"/>
    </row>
    <row r="9593" spans="13:13" ht="15" customHeight="1" x14ac:dyDescent="0.25">
      <c r="M9593" s="274"/>
    </row>
    <row r="9594" spans="13:13" ht="15" customHeight="1" x14ac:dyDescent="0.25">
      <c r="M9594" s="274"/>
    </row>
    <row r="9595" spans="13:13" ht="15" customHeight="1" x14ac:dyDescent="0.25">
      <c r="M9595" s="274"/>
    </row>
    <row r="9596" spans="13:13" ht="15" customHeight="1" x14ac:dyDescent="0.25">
      <c r="M9596" s="274"/>
    </row>
    <row r="9597" spans="13:13" ht="15" customHeight="1" x14ac:dyDescent="0.25">
      <c r="M9597" s="274"/>
    </row>
    <row r="9598" spans="13:13" ht="15" customHeight="1" x14ac:dyDescent="0.25">
      <c r="M9598" s="274"/>
    </row>
    <row r="9599" spans="13:13" ht="15" customHeight="1" x14ac:dyDescent="0.25">
      <c r="M9599" s="274"/>
    </row>
    <row r="9600" spans="13:13" ht="15" customHeight="1" x14ac:dyDescent="0.25">
      <c r="M9600" s="274"/>
    </row>
    <row r="9601" spans="13:13" ht="15" customHeight="1" x14ac:dyDescent="0.25">
      <c r="M9601" s="274"/>
    </row>
    <row r="9602" spans="13:13" ht="15" customHeight="1" x14ac:dyDescent="0.25">
      <c r="M9602" s="274"/>
    </row>
    <row r="9603" spans="13:13" ht="15" customHeight="1" x14ac:dyDescent="0.25">
      <c r="M9603" s="274"/>
    </row>
    <row r="9604" spans="13:13" ht="15" customHeight="1" x14ac:dyDescent="0.25">
      <c r="M9604" s="274"/>
    </row>
    <row r="9605" spans="13:13" ht="15" customHeight="1" x14ac:dyDescent="0.25">
      <c r="M9605" s="274"/>
    </row>
    <row r="9606" spans="13:13" ht="15" customHeight="1" x14ac:dyDescent="0.25">
      <c r="M9606" s="274"/>
    </row>
    <row r="9607" spans="13:13" ht="15" customHeight="1" x14ac:dyDescent="0.25">
      <c r="M9607" s="274"/>
    </row>
    <row r="9608" spans="13:13" ht="15" customHeight="1" x14ac:dyDescent="0.25">
      <c r="M9608" s="274"/>
    </row>
    <row r="9609" spans="13:13" ht="15" customHeight="1" x14ac:dyDescent="0.25">
      <c r="M9609" s="274"/>
    </row>
    <row r="9610" spans="13:13" ht="15" customHeight="1" x14ac:dyDescent="0.25">
      <c r="M9610" s="274"/>
    </row>
    <row r="9611" spans="13:13" ht="15" customHeight="1" x14ac:dyDescent="0.25">
      <c r="M9611" s="274"/>
    </row>
    <row r="9612" spans="13:13" ht="15" customHeight="1" x14ac:dyDescent="0.25">
      <c r="M9612" s="274"/>
    </row>
    <row r="9613" spans="13:13" ht="15" customHeight="1" x14ac:dyDescent="0.25">
      <c r="M9613" s="274"/>
    </row>
    <row r="9614" spans="13:13" ht="15" customHeight="1" x14ac:dyDescent="0.25">
      <c r="M9614" s="274"/>
    </row>
    <row r="9615" spans="13:13" ht="15" customHeight="1" x14ac:dyDescent="0.25">
      <c r="M9615" s="274"/>
    </row>
    <row r="9616" spans="13:13" ht="15" customHeight="1" x14ac:dyDescent="0.25">
      <c r="M9616" s="274"/>
    </row>
    <row r="9617" spans="13:13" ht="15" customHeight="1" x14ac:dyDescent="0.25">
      <c r="M9617" s="274"/>
    </row>
    <row r="9618" spans="13:13" ht="15" customHeight="1" x14ac:dyDescent="0.25">
      <c r="M9618" s="274"/>
    </row>
    <row r="9619" spans="13:13" ht="15" customHeight="1" x14ac:dyDescent="0.25">
      <c r="M9619" s="274"/>
    </row>
    <row r="9620" spans="13:13" ht="15" customHeight="1" x14ac:dyDescent="0.25">
      <c r="M9620" s="274"/>
    </row>
    <row r="9621" spans="13:13" ht="15" customHeight="1" x14ac:dyDescent="0.25">
      <c r="M9621" s="274"/>
    </row>
    <row r="9622" spans="13:13" ht="15" customHeight="1" x14ac:dyDescent="0.25">
      <c r="M9622" s="274"/>
    </row>
    <row r="9623" spans="13:13" ht="15" customHeight="1" x14ac:dyDescent="0.25">
      <c r="M9623" s="274"/>
    </row>
    <row r="9624" spans="13:13" ht="15" customHeight="1" x14ac:dyDescent="0.25">
      <c r="M9624" s="274"/>
    </row>
    <row r="9625" spans="13:13" ht="15" customHeight="1" x14ac:dyDescent="0.25">
      <c r="M9625" s="274"/>
    </row>
    <row r="9626" spans="13:13" ht="15" customHeight="1" x14ac:dyDescent="0.25">
      <c r="M9626" s="274"/>
    </row>
    <row r="9627" spans="13:13" ht="15" customHeight="1" x14ac:dyDescent="0.25">
      <c r="M9627" s="274"/>
    </row>
    <row r="9628" spans="13:13" ht="15" customHeight="1" x14ac:dyDescent="0.25">
      <c r="M9628" s="274"/>
    </row>
    <row r="9629" spans="13:13" ht="15" customHeight="1" x14ac:dyDescent="0.25">
      <c r="M9629" s="274"/>
    </row>
    <row r="9630" spans="13:13" ht="15" customHeight="1" x14ac:dyDescent="0.25">
      <c r="M9630" s="274"/>
    </row>
    <row r="9631" spans="13:13" ht="15" customHeight="1" x14ac:dyDescent="0.25">
      <c r="M9631" s="274"/>
    </row>
    <row r="9632" spans="13:13" ht="15" customHeight="1" x14ac:dyDescent="0.25">
      <c r="M9632" s="274"/>
    </row>
    <row r="9633" spans="13:13" ht="15" customHeight="1" x14ac:dyDescent="0.25">
      <c r="M9633" s="274"/>
    </row>
    <row r="9634" spans="13:13" ht="15" customHeight="1" x14ac:dyDescent="0.25">
      <c r="M9634" s="274"/>
    </row>
    <row r="9635" spans="13:13" ht="15" customHeight="1" x14ac:dyDescent="0.25">
      <c r="M9635" s="274"/>
    </row>
    <row r="9636" spans="13:13" ht="15" customHeight="1" x14ac:dyDescent="0.25">
      <c r="M9636" s="274"/>
    </row>
    <row r="9637" spans="13:13" ht="15" customHeight="1" x14ac:dyDescent="0.25">
      <c r="M9637" s="274"/>
    </row>
    <row r="9638" spans="13:13" ht="15" customHeight="1" x14ac:dyDescent="0.25">
      <c r="M9638" s="274"/>
    </row>
    <row r="9639" spans="13:13" ht="15" customHeight="1" x14ac:dyDescent="0.25">
      <c r="M9639" s="274"/>
    </row>
    <row r="9640" spans="13:13" ht="15" customHeight="1" x14ac:dyDescent="0.25">
      <c r="M9640" s="274"/>
    </row>
    <row r="9641" spans="13:13" ht="15" customHeight="1" x14ac:dyDescent="0.25">
      <c r="M9641" s="274"/>
    </row>
    <row r="9642" spans="13:13" ht="15" customHeight="1" x14ac:dyDescent="0.25">
      <c r="M9642" s="274"/>
    </row>
    <row r="9643" spans="13:13" ht="15" customHeight="1" x14ac:dyDescent="0.25">
      <c r="M9643" s="274"/>
    </row>
    <row r="9644" spans="13:13" ht="15" customHeight="1" x14ac:dyDescent="0.25">
      <c r="M9644" s="274"/>
    </row>
    <row r="9645" spans="13:13" ht="15" customHeight="1" x14ac:dyDescent="0.25">
      <c r="M9645" s="274"/>
    </row>
    <row r="9646" spans="13:13" ht="15" customHeight="1" x14ac:dyDescent="0.25">
      <c r="M9646" s="274"/>
    </row>
    <row r="9647" spans="13:13" ht="15" customHeight="1" x14ac:dyDescent="0.25">
      <c r="M9647" s="274"/>
    </row>
    <row r="9648" spans="13:13" ht="15" customHeight="1" x14ac:dyDescent="0.25">
      <c r="M9648" s="274"/>
    </row>
    <row r="9649" spans="13:13" ht="15" customHeight="1" x14ac:dyDescent="0.25">
      <c r="M9649" s="274"/>
    </row>
    <row r="9650" spans="13:13" ht="15" customHeight="1" x14ac:dyDescent="0.25">
      <c r="M9650" s="274"/>
    </row>
    <row r="9651" spans="13:13" ht="15" customHeight="1" x14ac:dyDescent="0.25">
      <c r="M9651" s="274"/>
    </row>
    <row r="9652" spans="13:13" ht="15" customHeight="1" x14ac:dyDescent="0.25">
      <c r="M9652" s="274"/>
    </row>
    <row r="9653" spans="13:13" ht="15" customHeight="1" x14ac:dyDescent="0.25">
      <c r="M9653" s="274"/>
    </row>
    <row r="9654" spans="13:13" ht="15" customHeight="1" x14ac:dyDescent="0.25">
      <c r="M9654" s="274"/>
    </row>
    <row r="9655" spans="13:13" ht="15" customHeight="1" x14ac:dyDescent="0.25">
      <c r="M9655" s="274"/>
    </row>
    <row r="9656" spans="13:13" ht="15" customHeight="1" x14ac:dyDescent="0.25">
      <c r="M9656" s="274"/>
    </row>
    <row r="9657" spans="13:13" ht="15" customHeight="1" x14ac:dyDescent="0.25">
      <c r="M9657" s="274"/>
    </row>
    <row r="9658" spans="13:13" ht="15" customHeight="1" x14ac:dyDescent="0.25">
      <c r="M9658" s="274"/>
    </row>
    <row r="9659" spans="13:13" ht="15" customHeight="1" x14ac:dyDescent="0.25">
      <c r="M9659" s="274"/>
    </row>
    <row r="9660" spans="13:13" ht="15" customHeight="1" x14ac:dyDescent="0.25">
      <c r="M9660" s="274"/>
    </row>
    <row r="9661" spans="13:13" ht="15" customHeight="1" x14ac:dyDescent="0.25">
      <c r="M9661" s="274"/>
    </row>
    <row r="9662" spans="13:13" ht="15" customHeight="1" x14ac:dyDescent="0.25">
      <c r="M9662" s="274"/>
    </row>
    <row r="9663" spans="13:13" ht="15" customHeight="1" x14ac:dyDescent="0.25">
      <c r="M9663" s="274"/>
    </row>
    <row r="9664" spans="13:13" ht="15" customHeight="1" x14ac:dyDescent="0.25">
      <c r="M9664" s="274"/>
    </row>
    <row r="9665" spans="13:13" ht="15" customHeight="1" x14ac:dyDescent="0.25">
      <c r="M9665" s="274"/>
    </row>
    <row r="9666" spans="13:13" ht="15" customHeight="1" x14ac:dyDescent="0.25">
      <c r="M9666" s="274"/>
    </row>
    <row r="9667" spans="13:13" ht="15" customHeight="1" x14ac:dyDescent="0.25">
      <c r="M9667" s="274"/>
    </row>
    <row r="9668" spans="13:13" ht="15" customHeight="1" x14ac:dyDescent="0.25">
      <c r="M9668" s="274"/>
    </row>
    <row r="9669" spans="13:13" ht="15" customHeight="1" x14ac:dyDescent="0.25">
      <c r="M9669" s="274"/>
    </row>
    <row r="9670" spans="13:13" ht="15" customHeight="1" x14ac:dyDescent="0.25">
      <c r="M9670" s="274"/>
    </row>
    <row r="9671" spans="13:13" ht="15" customHeight="1" x14ac:dyDescent="0.25">
      <c r="M9671" s="274"/>
    </row>
    <row r="9672" spans="13:13" ht="15" customHeight="1" x14ac:dyDescent="0.25">
      <c r="M9672" s="274"/>
    </row>
    <row r="9673" spans="13:13" ht="15" customHeight="1" x14ac:dyDescent="0.25">
      <c r="M9673" s="274"/>
    </row>
    <row r="9674" spans="13:13" ht="15" customHeight="1" x14ac:dyDescent="0.25">
      <c r="M9674" s="274"/>
    </row>
    <row r="9675" spans="13:13" ht="15" customHeight="1" x14ac:dyDescent="0.25">
      <c r="M9675" s="274"/>
    </row>
    <row r="9676" spans="13:13" ht="15" customHeight="1" x14ac:dyDescent="0.25">
      <c r="M9676" s="274"/>
    </row>
    <row r="9677" spans="13:13" ht="15" customHeight="1" x14ac:dyDescent="0.25">
      <c r="M9677" s="274"/>
    </row>
    <row r="9678" spans="13:13" ht="15" customHeight="1" x14ac:dyDescent="0.25">
      <c r="M9678" s="274"/>
    </row>
    <row r="9679" spans="13:13" ht="15" customHeight="1" x14ac:dyDescent="0.25">
      <c r="M9679" s="274"/>
    </row>
    <row r="9680" spans="13:13" ht="15" customHeight="1" x14ac:dyDescent="0.25">
      <c r="M9680" s="274"/>
    </row>
    <row r="9681" spans="13:13" ht="15" customHeight="1" x14ac:dyDescent="0.25">
      <c r="M9681" s="274"/>
    </row>
    <row r="9682" spans="13:13" ht="15" customHeight="1" x14ac:dyDescent="0.25">
      <c r="M9682" s="274"/>
    </row>
    <row r="9683" spans="13:13" ht="15" customHeight="1" x14ac:dyDescent="0.25">
      <c r="M9683" s="274"/>
    </row>
    <row r="9684" spans="13:13" ht="15" customHeight="1" x14ac:dyDescent="0.25">
      <c r="M9684" s="274"/>
    </row>
    <row r="9685" spans="13:13" ht="15" customHeight="1" x14ac:dyDescent="0.25">
      <c r="M9685" s="274"/>
    </row>
    <row r="9686" spans="13:13" ht="15" customHeight="1" x14ac:dyDescent="0.25">
      <c r="M9686" s="274"/>
    </row>
    <row r="9687" spans="13:13" ht="15" customHeight="1" x14ac:dyDescent="0.25">
      <c r="M9687" s="274"/>
    </row>
    <row r="9688" spans="13:13" ht="15" customHeight="1" x14ac:dyDescent="0.25">
      <c r="M9688" s="274"/>
    </row>
    <row r="9689" spans="13:13" ht="15" customHeight="1" x14ac:dyDescent="0.25">
      <c r="M9689" s="274"/>
    </row>
    <row r="9690" spans="13:13" ht="15" customHeight="1" x14ac:dyDescent="0.25">
      <c r="M9690" s="274"/>
    </row>
    <row r="9691" spans="13:13" ht="15" customHeight="1" x14ac:dyDescent="0.25">
      <c r="M9691" s="274"/>
    </row>
    <row r="9692" spans="13:13" ht="15" customHeight="1" x14ac:dyDescent="0.25">
      <c r="M9692" s="274"/>
    </row>
    <row r="9693" spans="13:13" ht="15" customHeight="1" x14ac:dyDescent="0.25">
      <c r="M9693" s="274"/>
    </row>
    <row r="9694" spans="13:13" ht="15" customHeight="1" x14ac:dyDescent="0.25">
      <c r="M9694" s="274"/>
    </row>
    <row r="9695" spans="13:13" ht="15" customHeight="1" x14ac:dyDescent="0.25">
      <c r="M9695" s="274"/>
    </row>
    <row r="9696" spans="13:13" ht="15" customHeight="1" x14ac:dyDescent="0.25">
      <c r="M9696" s="274"/>
    </row>
    <row r="9697" spans="13:13" ht="15" customHeight="1" x14ac:dyDescent="0.25">
      <c r="M9697" s="274"/>
    </row>
    <row r="9698" spans="13:13" ht="15" customHeight="1" x14ac:dyDescent="0.25">
      <c r="M9698" s="274"/>
    </row>
    <row r="9699" spans="13:13" ht="15" customHeight="1" x14ac:dyDescent="0.25">
      <c r="M9699" s="274"/>
    </row>
    <row r="9700" spans="13:13" ht="15" customHeight="1" x14ac:dyDescent="0.25">
      <c r="M9700" s="274"/>
    </row>
    <row r="9701" spans="13:13" ht="15" customHeight="1" x14ac:dyDescent="0.25">
      <c r="M9701" s="274"/>
    </row>
    <row r="9702" spans="13:13" ht="15" customHeight="1" x14ac:dyDescent="0.25">
      <c r="M9702" s="274"/>
    </row>
    <row r="9703" spans="13:13" ht="15" customHeight="1" x14ac:dyDescent="0.25">
      <c r="M9703" s="274"/>
    </row>
    <row r="9704" spans="13:13" ht="15" customHeight="1" x14ac:dyDescent="0.25">
      <c r="M9704" s="274"/>
    </row>
    <row r="9705" spans="13:13" ht="15" customHeight="1" x14ac:dyDescent="0.25">
      <c r="M9705" s="274"/>
    </row>
    <row r="9706" spans="13:13" ht="15" customHeight="1" x14ac:dyDescent="0.25">
      <c r="M9706" s="274"/>
    </row>
    <row r="9707" spans="13:13" ht="15" customHeight="1" x14ac:dyDescent="0.25">
      <c r="M9707" s="274"/>
    </row>
    <row r="9708" spans="13:13" ht="15" customHeight="1" x14ac:dyDescent="0.25">
      <c r="M9708" s="274"/>
    </row>
    <row r="9709" spans="13:13" ht="15" customHeight="1" x14ac:dyDescent="0.25">
      <c r="M9709" s="274"/>
    </row>
    <row r="9710" spans="13:13" ht="15" customHeight="1" x14ac:dyDescent="0.25">
      <c r="M9710" s="274"/>
    </row>
    <row r="9711" spans="13:13" ht="15" customHeight="1" x14ac:dyDescent="0.25">
      <c r="M9711" s="274"/>
    </row>
    <row r="9712" spans="13:13" ht="15" customHeight="1" x14ac:dyDescent="0.25">
      <c r="M9712" s="274"/>
    </row>
    <row r="9713" spans="13:13" ht="15" customHeight="1" x14ac:dyDescent="0.25">
      <c r="M9713" s="274"/>
    </row>
    <row r="9714" spans="13:13" ht="15" customHeight="1" x14ac:dyDescent="0.25">
      <c r="M9714" s="274"/>
    </row>
    <row r="9715" spans="13:13" ht="15" customHeight="1" x14ac:dyDescent="0.25">
      <c r="M9715" s="274"/>
    </row>
    <row r="9716" spans="13:13" ht="15" customHeight="1" x14ac:dyDescent="0.25">
      <c r="M9716" s="274"/>
    </row>
    <row r="9717" spans="13:13" ht="15" customHeight="1" x14ac:dyDescent="0.25">
      <c r="M9717" s="274"/>
    </row>
    <row r="9718" spans="13:13" ht="15" customHeight="1" x14ac:dyDescent="0.25">
      <c r="M9718" s="274"/>
    </row>
    <row r="9719" spans="13:13" ht="15" customHeight="1" x14ac:dyDescent="0.25">
      <c r="M9719" s="274"/>
    </row>
    <row r="9720" spans="13:13" ht="15" customHeight="1" x14ac:dyDescent="0.25">
      <c r="M9720" s="274"/>
    </row>
    <row r="9721" spans="13:13" ht="15" customHeight="1" x14ac:dyDescent="0.25">
      <c r="M9721" s="274"/>
    </row>
    <row r="9722" spans="13:13" ht="15" customHeight="1" x14ac:dyDescent="0.25">
      <c r="M9722" s="274"/>
    </row>
    <row r="9723" spans="13:13" ht="15" customHeight="1" x14ac:dyDescent="0.25">
      <c r="M9723" s="274"/>
    </row>
    <row r="9724" spans="13:13" ht="15" customHeight="1" x14ac:dyDescent="0.25">
      <c r="M9724" s="274"/>
    </row>
    <row r="9725" spans="13:13" ht="15" customHeight="1" x14ac:dyDescent="0.25">
      <c r="M9725" s="274"/>
    </row>
    <row r="9726" spans="13:13" ht="15" customHeight="1" x14ac:dyDescent="0.25">
      <c r="M9726" s="274"/>
    </row>
    <row r="9727" spans="13:13" ht="15" customHeight="1" x14ac:dyDescent="0.25">
      <c r="M9727" s="274"/>
    </row>
    <row r="9728" spans="13:13" ht="15" customHeight="1" x14ac:dyDescent="0.25">
      <c r="M9728" s="274"/>
    </row>
    <row r="9729" spans="13:13" ht="15" customHeight="1" x14ac:dyDescent="0.25">
      <c r="M9729" s="274"/>
    </row>
    <row r="9730" spans="13:13" ht="15" customHeight="1" x14ac:dyDescent="0.25">
      <c r="M9730" s="274"/>
    </row>
    <row r="9731" spans="13:13" ht="15" customHeight="1" x14ac:dyDescent="0.25">
      <c r="M9731" s="274"/>
    </row>
    <row r="9732" spans="13:13" ht="15" customHeight="1" x14ac:dyDescent="0.25">
      <c r="M9732" s="274"/>
    </row>
    <row r="9733" spans="13:13" ht="15" customHeight="1" x14ac:dyDescent="0.25">
      <c r="M9733" s="274"/>
    </row>
    <row r="9734" spans="13:13" ht="15" customHeight="1" x14ac:dyDescent="0.25">
      <c r="M9734" s="274"/>
    </row>
    <row r="9735" spans="13:13" ht="15" customHeight="1" x14ac:dyDescent="0.25">
      <c r="M9735" s="274"/>
    </row>
    <row r="9736" spans="13:13" ht="15" customHeight="1" x14ac:dyDescent="0.25">
      <c r="M9736" s="274"/>
    </row>
    <row r="9737" spans="13:13" ht="15" customHeight="1" x14ac:dyDescent="0.25">
      <c r="M9737" s="274"/>
    </row>
    <row r="9738" spans="13:13" ht="15" customHeight="1" x14ac:dyDescent="0.25">
      <c r="M9738" s="274"/>
    </row>
    <row r="9739" spans="13:13" ht="15" customHeight="1" x14ac:dyDescent="0.25">
      <c r="M9739" s="274"/>
    </row>
    <row r="9740" spans="13:13" ht="15" customHeight="1" x14ac:dyDescent="0.25">
      <c r="M9740" s="274"/>
    </row>
    <row r="9741" spans="13:13" ht="15" customHeight="1" x14ac:dyDescent="0.25">
      <c r="M9741" s="274"/>
    </row>
    <row r="9742" spans="13:13" ht="15" customHeight="1" x14ac:dyDescent="0.25">
      <c r="M9742" s="274"/>
    </row>
    <row r="9743" spans="13:13" ht="15" customHeight="1" x14ac:dyDescent="0.25">
      <c r="M9743" s="274"/>
    </row>
    <row r="9744" spans="13:13" ht="15" customHeight="1" x14ac:dyDescent="0.25">
      <c r="M9744" s="274"/>
    </row>
    <row r="9745" spans="13:13" ht="15" customHeight="1" x14ac:dyDescent="0.25">
      <c r="M9745" s="274"/>
    </row>
    <row r="9746" spans="13:13" ht="15" customHeight="1" x14ac:dyDescent="0.25">
      <c r="M9746" s="274"/>
    </row>
    <row r="9747" spans="13:13" ht="15" customHeight="1" x14ac:dyDescent="0.25">
      <c r="M9747" s="274"/>
    </row>
    <row r="9748" spans="13:13" ht="15" customHeight="1" x14ac:dyDescent="0.25">
      <c r="M9748" s="274"/>
    </row>
    <row r="9749" spans="13:13" ht="15" customHeight="1" x14ac:dyDescent="0.25">
      <c r="M9749" s="274"/>
    </row>
    <row r="9750" spans="13:13" ht="15" customHeight="1" x14ac:dyDescent="0.25">
      <c r="M9750" s="274"/>
    </row>
    <row r="9751" spans="13:13" ht="15" customHeight="1" x14ac:dyDescent="0.25">
      <c r="M9751" s="274"/>
    </row>
    <row r="9752" spans="13:13" ht="15" customHeight="1" x14ac:dyDescent="0.25">
      <c r="M9752" s="274"/>
    </row>
    <row r="9753" spans="13:13" ht="15" customHeight="1" x14ac:dyDescent="0.25">
      <c r="M9753" s="274"/>
    </row>
    <row r="9754" spans="13:13" ht="15" customHeight="1" x14ac:dyDescent="0.25">
      <c r="M9754" s="274"/>
    </row>
    <row r="9755" spans="13:13" ht="15" customHeight="1" x14ac:dyDescent="0.25">
      <c r="M9755" s="274"/>
    </row>
    <row r="9756" spans="13:13" ht="15" customHeight="1" x14ac:dyDescent="0.25">
      <c r="M9756" s="274"/>
    </row>
    <row r="9757" spans="13:13" ht="15" customHeight="1" x14ac:dyDescent="0.25">
      <c r="M9757" s="274"/>
    </row>
    <row r="9758" spans="13:13" ht="15" customHeight="1" x14ac:dyDescent="0.25">
      <c r="M9758" s="274"/>
    </row>
    <row r="9759" spans="13:13" ht="15" customHeight="1" x14ac:dyDescent="0.25">
      <c r="M9759" s="274"/>
    </row>
    <row r="9760" spans="13:13" ht="15" customHeight="1" x14ac:dyDescent="0.25">
      <c r="M9760" s="274"/>
    </row>
    <row r="9761" spans="13:13" ht="15" customHeight="1" x14ac:dyDescent="0.25">
      <c r="M9761" s="274"/>
    </row>
    <row r="9762" spans="13:13" ht="15" customHeight="1" x14ac:dyDescent="0.25">
      <c r="M9762" s="274"/>
    </row>
    <row r="9763" spans="13:13" ht="15" customHeight="1" x14ac:dyDescent="0.25">
      <c r="M9763" s="274"/>
    </row>
    <row r="9764" spans="13:13" ht="15" customHeight="1" x14ac:dyDescent="0.25">
      <c r="M9764" s="274"/>
    </row>
    <row r="9765" spans="13:13" ht="15" customHeight="1" x14ac:dyDescent="0.25">
      <c r="M9765" s="274"/>
    </row>
    <row r="9766" spans="13:13" ht="15" customHeight="1" x14ac:dyDescent="0.25">
      <c r="M9766" s="274"/>
    </row>
    <row r="9767" spans="13:13" ht="15" customHeight="1" x14ac:dyDescent="0.25">
      <c r="M9767" s="274"/>
    </row>
    <row r="9768" spans="13:13" ht="15" customHeight="1" x14ac:dyDescent="0.25">
      <c r="M9768" s="274"/>
    </row>
    <row r="9769" spans="13:13" ht="15" customHeight="1" x14ac:dyDescent="0.25">
      <c r="M9769" s="274"/>
    </row>
    <row r="9770" spans="13:13" ht="15" customHeight="1" x14ac:dyDescent="0.25">
      <c r="M9770" s="274"/>
    </row>
    <row r="9771" spans="13:13" ht="15" customHeight="1" x14ac:dyDescent="0.25">
      <c r="M9771" s="274"/>
    </row>
    <row r="9772" spans="13:13" ht="15" customHeight="1" x14ac:dyDescent="0.25">
      <c r="M9772" s="274"/>
    </row>
    <row r="9773" spans="13:13" ht="15" customHeight="1" x14ac:dyDescent="0.25">
      <c r="M9773" s="274"/>
    </row>
    <row r="9774" spans="13:13" ht="15" customHeight="1" x14ac:dyDescent="0.25">
      <c r="M9774" s="274"/>
    </row>
    <row r="9775" spans="13:13" ht="15" customHeight="1" x14ac:dyDescent="0.25">
      <c r="M9775" s="274"/>
    </row>
    <row r="9776" spans="13:13" ht="15" customHeight="1" x14ac:dyDescent="0.25">
      <c r="M9776" s="274"/>
    </row>
    <row r="9777" spans="13:13" ht="15" customHeight="1" x14ac:dyDescent="0.25">
      <c r="M9777" s="274"/>
    </row>
    <row r="9778" spans="13:13" ht="15" customHeight="1" x14ac:dyDescent="0.25">
      <c r="M9778" s="274"/>
    </row>
    <row r="9779" spans="13:13" ht="15" customHeight="1" x14ac:dyDescent="0.25">
      <c r="M9779" s="274"/>
    </row>
    <row r="9780" spans="13:13" ht="15" customHeight="1" x14ac:dyDescent="0.25">
      <c r="M9780" s="274"/>
    </row>
    <row r="9781" spans="13:13" ht="15" customHeight="1" x14ac:dyDescent="0.25">
      <c r="M9781" s="274"/>
    </row>
    <row r="9782" spans="13:13" ht="15" customHeight="1" x14ac:dyDescent="0.25">
      <c r="M9782" s="274"/>
    </row>
    <row r="9783" spans="13:13" ht="15" customHeight="1" x14ac:dyDescent="0.25">
      <c r="M9783" s="274"/>
    </row>
    <row r="9784" spans="13:13" ht="15" customHeight="1" x14ac:dyDescent="0.25">
      <c r="M9784" s="274"/>
    </row>
    <row r="9785" spans="13:13" ht="15" customHeight="1" x14ac:dyDescent="0.25">
      <c r="M9785" s="274"/>
    </row>
    <row r="9786" spans="13:13" ht="15" customHeight="1" x14ac:dyDescent="0.25">
      <c r="M9786" s="274"/>
    </row>
    <row r="9787" spans="13:13" ht="15" customHeight="1" x14ac:dyDescent="0.25">
      <c r="M9787" s="274"/>
    </row>
    <row r="9788" spans="13:13" ht="15" customHeight="1" x14ac:dyDescent="0.25">
      <c r="M9788" s="274"/>
    </row>
    <row r="9789" spans="13:13" ht="15" customHeight="1" x14ac:dyDescent="0.25">
      <c r="M9789" s="274"/>
    </row>
    <row r="9790" spans="13:13" ht="15" customHeight="1" x14ac:dyDescent="0.25">
      <c r="M9790" s="274"/>
    </row>
    <row r="9791" spans="13:13" ht="15" customHeight="1" x14ac:dyDescent="0.25">
      <c r="M9791" s="274"/>
    </row>
    <row r="9792" spans="13:13" ht="15" customHeight="1" x14ac:dyDescent="0.25">
      <c r="M9792" s="274"/>
    </row>
    <row r="9793" spans="13:13" ht="15" customHeight="1" x14ac:dyDescent="0.25">
      <c r="M9793" s="274"/>
    </row>
    <row r="9794" spans="13:13" ht="15" customHeight="1" x14ac:dyDescent="0.25">
      <c r="M9794" s="274"/>
    </row>
    <row r="9795" spans="13:13" ht="15" customHeight="1" x14ac:dyDescent="0.25">
      <c r="M9795" s="274"/>
    </row>
    <row r="9796" spans="13:13" ht="15" customHeight="1" x14ac:dyDescent="0.25">
      <c r="M9796" s="274"/>
    </row>
    <row r="9797" spans="13:13" ht="15" customHeight="1" x14ac:dyDescent="0.25">
      <c r="M9797" s="274"/>
    </row>
    <row r="9798" spans="13:13" ht="15" customHeight="1" x14ac:dyDescent="0.25">
      <c r="M9798" s="274"/>
    </row>
    <row r="9799" spans="13:13" ht="15" customHeight="1" x14ac:dyDescent="0.25">
      <c r="M9799" s="274"/>
    </row>
    <row r="9800" spans="13:13" ht="15" customHeight="1" x14ac:dyDescent="0.25">
      <c r="M9800" s="274"/>
    </row>
    <row r="9801" spans="13:13" ht="15" customHeight="1" x14ac:dyDescent="0.25">
      <c r="M9801" s="274"/>
    </row>
    <row r="9802" spans="13:13" ht="15" customHeight="1" x14ac:dyDescent="0.25">
      <c r="M9802" s="274"/>
    </row>
    <row r="9803" spans="13:13" ht="15" customHeight="1" x14ac:dyDescent="0.25">
      <c r="M9803" s="274"/>
    </row>
    <row r="9804" spans="13:13" ht="15" customHeight="1" x14ac:dyDescent="0.25">
      <c r="M9804" s="274"/>
    </row>
    <row r="9805" spans="13:13" ht="15" customHeight="1" x14ac:dyDescent="0.25">
      <c r="M9805" s="274"/>
    </row>
    <row r="9806" spans="13:13" ht="15" customHeight="1" x14ac:dyDescent="0.25">
      <c r="M9806" s="274"/>
    </row>
    <row r="9807" spans="13:13" ht="15" customHeight="1" x14ac:dyDescent="0.25">
      <c r="M9807" s="274"/>
    </row>
    <row r="9808" spans="13:13" ht="15" customHeight="1" x14ac:dyDescent="0.25">
      <c r="M9808" s="274"/>
    </row>
    <row r="9809" spans="13:13" ht="15" customHeight="1" x14ac:dyDescent="0.25">
      <c r="M9809" s="274"/>
    </row>
    <row r="9810" spans="13:13" ht="15" customHeight="1" x14ac:dyDescent="0.25">
      <c r="M9810" s="274"/>
    </row>
    <row r="9811" spans="13:13" ht="15" customHeight="1" x14ac:dyDescent="0.25">
      <c r="M9811" s="274"/>
    </row>
    <row r="9812" spans="13:13" ht="15" customHeight="1" x14ac:dyDescent="0.25">
      <c r="M9812" s="274"/>
    </row>
    <row r="9813" spans="13:13" ht="15" customHeight="1" x14ac:dyDescent="0.25">
      <c r="M9813" s="274"/>
    </row>
    <row r="9814" spans="13:13" ht="15" customHeight="1" x14ac:dyDescent="0.25">
      <c r="M9814" s="274"/>
    </row>
    <row r="9815" spans="13:13" ht="15" customHeight="1" x14ac:dyDescent="0.25">
      <c r="M9815" s="274"/>
    </row>
    <row r="9816" spans="13:13" ht="15" customHeight="1" x14ac:dyDescent="0.25">
      <c r="M9816" s="274"/>
    </row>
    <row r="9817" spans="13:13" ht="15" customHeight="1" x14ac:dyDescent="0.25">
      <c r="M9817" s="274"/>
    </row>
    <row r="9818" spans="13:13" ht="15" customHeight="1" x14ac:dyDescent="0.25">
      <c r="M9818" s="274"/>
    </row>
    <row r="9819" spans="13:13" ht="15" customHeight="1" x14ac:dyDescent="0.25">
      <c r="M9819" s="274"/>
    </row>
    <row r="9820" spans="13:13" ht="15" customHeight="1" x14ac:dyDescent="0.25">
      <c r="M9820" s="274"/>
    </row>
    <row r="9821" spans="13:13" ht="15" customHeight="1" x14ac:dyDescent="0.25">
      <c r="M9821" s="274"/>
    </row>
    <row r="9822" spans="13:13" ht="15" customHeight="1" x14ac:dyDescent="0.25">
      <c r="M9822" s="274"/>
    </row>
    <row r="9823" spans="13:13" ht="15" customHeight="1" x14ac:dyDescent="0.25">
      <c r="M9823" s="274"/>
    </row>
    <row r="9824" spans="13:13" ht="15" customHeight="1" x14ac:dyDescent="0.25">
      <c r="M9824" s="274"/>
    </row>
    <row r="9825" spans="13:13" ht="15" customHeight="1" x14ac:dyDescent="0.25">
      <c r="M9825" s="274"/>
    </row>
    <row r="9826" spans="13:13" ht="15" customHeight="1" x14ac:dyDescent="0.25">
      <c r="M9826" s="274"/>
    </row>
    <row r="9827" spans="13:13" ht="15" customHeight="1" x14ac:dyDescent="0.25">
      <c r="M9827" s="274"/>
    </row>
    <row r="9828" spans="13:13" ht="15" customHeight="1" x14ac:dyDescent="0.25">
      <c r="M9828" s="274"/>
    </row>
    <row r="9829" spans="13:13" ht="15" customHeight="1" x14ac:dyDescent="0.25">
      <c r="M9829" s="274"/>
    </row>
    <row r="9830" spans="13:13" ht="15" customHeight="1" x14ac:dyDescent="0.25">
      <c r="M9830" s="274"/>
    </row>
    <row r="9831" spans="13:13" ht="15" customHeight="1" x14ac:dyDescent="0.25">
      <c r="M9831" s="274"/>
    </row>
    <row r="9832" spans="13:13" ht="15" customHeight="1" x14ac:dyDescent="0.25">
      <c r="M9832" s="274"/>
    </row>
    <row r="9833" spans="13:13" ht="15" customHeight="1" x14ac:dyDescent="0.25">
      <c r="M9833" s="274"/>
    </row>
    <row r="9834" spans="13:13" ht="15" customHeight="1" x14ac:dyDescent="0.25">
      <c r="M9834" s="274"/>
    </row>
    <row r="9835" spans="13:13" ht="15" customHeight="1" x14ac:dyDescent="0.25">
      <c r="M9835" s="274"/>
    </row>
    <row r="9836" spans="13:13" ht="15" customHeight="1" x14ac:dyDescent="0.25">
      <c r="M9836" s="274"/>
    </row>
    <row r="9837" spans="13:13" ht="15" customHeight="1" x14ac:dyDescent="0.25">
      <c r="M9837" s="274"/>
    </row>
    <row r="9838" spans="13:13" ht="15" customHeight="1" x14ac:dyDescent="0.25">
      <c r="M9838" s="274"/>
    </row>
    <row r="9839" spans="13:13" ht="15" customHeight="1" x14ac:dyDescent="0.25">
      <c r="M9839" s="274"/>
    </row>
    <row r="9840" spans="13:13" ht="15" customHeight="1" x14ac:dyDescent="0.25">
      <c r="M9840" s="274"/>
    </row>
    <row r="9841" spans="13:13" ht="15" customHeight="1" x14ac:dyDescent="0.25">
      <c r="M9841" s="274"/>
    </row>
    <row r="9842" spans="13:13" ht="15" customHeight="1" x14ac:dyDescent="0.25">
      <c r="M9842" s="274"/>
    </row>
    <row r="9843" spans="13:13" ht="15" customHeight="1" x14ac:dyDescent="0.25">
      <c r="M9843" s="274"/>
    </row>
    <row r="9844" spans="13:13" ht="15" customHeight="1" x14ac:dyDescent="0.25">
      <c r="M9844" s="274"/>
    </row>
    <row r="9845" spans="13:13" ht="15" customHeight="1" x14ac:dyDescent="0.25">
      <c r="M9845" s="274"/>
    </row>
    <row r="9846" spans="13:13" ht="15" customHeight="1" x14ac:dyDescent="0.25">
      <c r="M9846" s="274"/>
    </row>
    <row r="9847" spans="13:13" ht="15" customHeight="1" x14ac:dyDescent="0.25">
      <c r="M9847" s="274"/>
    </row>
    <row r="9848" spans="13:13" ht="15" customHeight="1" x14ac:dyDescent="0.25">
      <c r="M9848" s="274"/>
    </row>
    <row r="9849" spans="13:13" ht="15" customHeight="1" x14ac:dyDescent="0.25">
      <c r="M9849" s="274"/>
    </row>
    <row r="9850" spans="13:13" ht="15" customHeight="1" x14ac:dyDescent="0.25">
      <c r="M9850" s="274"/>
    </row>
    <row r="9851" spans="13:13" ht="15" customHeight="1" x14ac:dyDescent="0.25">
      <c r="M9851" s="274"/>
    </row>
    <row r="9852" spans="13:13" ht="15" customHeight="1" x14ac:dyDescent="0.25">
      <c r="M9852" s="274"/>
    </row>
    <row r="9853" spans="13:13" ht="15" customHeight="1" x14ac:dyDescent="0.25">
      <c r="M9853" s="274"/>
    </row>
    <row r="9854" spans="13:13" ht="15" customHeight="1" x14ac:dyDescent="0.25">
      <c r="M9854" s="274"/>
    </row>
    <row r="9855" spans="13:13" ht="15" customHeight="1" x14ac:dyDescent="0.25">
      <c r="M9855" s="274"/>
    </row>
    <row r="9856" spans="13:13" ht="15" customHeight="1" x14ac:dyDescent="0.25">
      <c r="M9856" s="274"/>
    </row>
    <row r="9857" spans="13:13" ht="15" customHeight="1" x14ac:dyDescent="0.25">
      <c r="M9857" s="274"/>
    </row>
    <row r="9858" spans="13:13" ht="15" customHeight="1" x14ac:dyDescent="0.25">
      <c r="M9858" s="274"/>
    </row>
    <row r="9859" spans="13:13" ht="15" customHeight="1" x14ac:dyDescent="0.25">
      <c r="M9859" s="274"/>
    </row>
    <row r="9860" spans="13:13" ht="15" customHeight="1" x14ac:dyDescent="0.25">
      <c r="M9860" s="274"/>
    </row>
    <row r="9861" spans="13:13" ht="15" customHeight="1" x14ac:dyDescent="0.25">
      <c r="M9861" s="274"/>
    </row>
    <row r="9862" spans="13:13" ht="15" customHeight="1" x14ac:dyDescent="0.25">
      <c r="M9862" s="274"/>
    </row>
    <row r="9863" spans="13:13" ht="15" customHeight="1" x14ac:dyDescent="0.25">
      <c r="M9863" s="274"/>
    </row>
    <row r="9864" spans="13:13" ht="15" customHeight="1" x14ac:dyDescent="0.25">
      <c r="M9864" s="274"/>
    </row>
    <row r="9865" spans="13:13" ht="15" customHeight="1" x14ac:dyDescent="0.25">
      <c r="M9865" s="274"/>
    </row>
    <row r="9866" spans="13:13" ht="15" customHeight="1" x14ac:dyDescent="0.25">
      <c r="M9866" s="274"/>
    </row>
    <row r="9867" spans="13:13" ht="15" customHeight="1" x14ac:dyDescent="0.25">
      <c r="M9867" s="274"/>
    </row>
    <row r="9868" spans="13:13" ht="15" customHeight="1" x14ac:dyDescent="0.25">
      <c r="M9868" s="274"/>
    </row>
    <row r="9869" spans="13:13" ht="15" customHeight="1" x14ac:dyDescent="0.25">
      <c r="M9869" s="274"/>
    </row>
    <row r="9870" spans="13:13" ht="15" customHeight="1" x14ac:dyDescent="0.25">
      <c r="M9870" s="274"/>
    </row>
    <row r="9871" spans="13:13" ht="15" customHeight="1" x14ac:dyDescent="0.25">
      <c r="M9871" s="274"/>
    </row>
    <row r="9872" spans="13:13" ht="15" customHeight="1" x14ac:dyDescent="0.25">
      <c r="M9872" s="274"/>
    </row>
    <row r="9873" spans="13:13" ht="15" customHeight="1" x14ac:dyDescent="0.25">
      <c r="M9873" s="274"/>
    </row>
    <row r="9874" spans="13:13" ht="15" customHeight="1" x14ac:dyDescent="0.25">
      <c r="M9874" s="274"/>
    </row>
    <row r="9875" spans="13:13" ht="15" customHeight="1" x14ac:dyDescent="0.25">
      <c r="M9875" s="274"/>
    </row>
    <row r="9876" spans="13:13" ht="15" customHeight="1" x14ac:dyDescent="0.25">
      <c r="M9876" s="274"/>
    </row>
    <row r="9877" spans="13:13" ht="15" customHeight="1" x14ac:dyDescent="0.25">
      <c r="M9877" s="274"/>
    </row>
    <row r="9878" spans="13:13" ht="15" customHeight="1" x14ac:dyDescent="0.25">
      <c r="M9878" s="274"/>
    </row>
    <row r="9879" spans="13:13" ht="15" customHeight="1" x14ac:dyDescent="0.25">
      <c r="M9879" s="274"/>
    </row>
    <row r="9880" spans="13:13" ht="15" customHeight="1" x14ac:dyDescent="0.25">
      <c r="M9880" s="274"/>
    </row>
    <row r="9881" spans="13:13" ht="15" customHeight="1" x14ac:dyDescent="0.25">
      <c r="M9881" s="274"/>
    </row>
    <row r="9882" spans="13:13" ht="15" customHeight="1" x14ac:dyDescent="0.25">
      <c r="M9882" s="274"/>
    </row>
    <row r="9883" spans="13:13" ht="15" customHeight="1" x14ac:dyDescent="0.25">
      <c r="M9883" s="274"/>
    </row>
    <row r="9884" spans="13:13" ht="15" customHeight="1" x14ac:dyDescent="0.25">
      <c r="M9884" s="274"/>
    </row>
    <row r="9885" spans="13:13" ht="15" customHeight="1" x14ac:dyDescent="0.25">
      <c r="M9885" s="274"/>
    </row>
    <row r="9886" spans="13:13" ht="15" customHeight="1" x14ac:dyDescent="0.25">
      <c r="M9886" s="274"/>
    </row>
    <row r="9887" spans="13:13" ht="15" customHeight="1" x14ac:dyDescent="0.25">
      <c r="M9887" s="274"/>
    </row>
    <row r="9888" spans="13:13" ht="15" customHeight="1" x14ac:dyDescent="0.25">
      <c r="M9888" s="274"/>
    </row>
    <row r="9889" spans="13:13" ht="15" customHeight="1" x14ac:dyDescent="0.25">
      <c r="M9889" s="274"/>
    </row>
    <row r="9890" spans="13:13" ht="15" customHeight="1" x14ac:dyDescent="0.25">
      <c r="M9890" s="274"/>
    </row>
    <row r="9891" spans="13:13" ht="15" customHeight="1" x14ac:dyDescent="0.25">
      <c r="M9891" s="274"/>
    </row>
    <row r="9892" spans="13:13" ht="15" customHeight="1" x14ac:dyDescent="0.25">
      <c r="M9892" s="274"/>
    </row>
    <row r="9893" spans="13:13" ht="15" customHeight="1" x14ac:dyDescent="0.25">
      <c r="M9893" s="274"/>
    </row>
    <row r="9894" spans="13:13" ht="15" customHeight="1" x14ac:dyDescent="0.25">
      <c r="M9894" s="274"/>
    </row>
    <row r="9895" spans="13:13" ht="15" customHeight="1" x14ac:dyDescent="0.25">
      <c r="M9895" s="274"/>
    </row>
    <row r="9896" spans="13:13" ht="15" customHeight="1" x14ac:dyDescent="0.25">
      <c r="M9896" s="274"/>
    </row>
    <row r="9897" spans="13:13" ht="15" customHeight="1" x14ac:dyDescent="0.25">
      <c r="M9897" s="274"/>
    </row>
    <row r="9898" spans="13:13" ht="15" customHeight="1" x14ac:dyDescent="0.25">
      <c r="M9898" s="274"/>
    </row>
    <row r="9899" spans="13:13" ht="15" customHeight="1" x14ac:dyDescent="0.25">
      <c r="M9899" s="274"/>
    </row>
    <row r="9900" spans="13:13" ht="15" customHeight="1" x14ac:dyDescent="0.25">
      <c r="M9900" s="274"/>
    </row>
    <row r="9901" spans="13:13" ht="15" customHeight="1" x14ac:dyDescent="0.25">
      <c r="M9901" s="274"/>
    </row>
    <row r="9902" spans="13:13" ht="15" customHeight="1" x14ac:dyDescent="0.25">
      <c r="M9902" s="274"/>
    </row>
    <row r="9903" spans="13:13" ht="15" customHeight="1" x14ac:dyDescent="0.25">
      <c r="M9903" s="274"/>
    </row>
    <row r="9904" spans="13:13" ht="15" customHeight="1" x14ac:dyDescent="0.25">
      <c r="M9904" s="274"/>
    </row>
    <row r="9905" spans="13:13" ht="15" customHeight="1" x14ac:dyDescent="0.25">
      <c r="M9905" s="274"/>
    </row>
    <row r="9906" spans="13:13" ht="15" customHeight="1" x14ac:dyDescent="0.25">
      <c r="M9906" s="274"/>
    </row>
    <row r="9907" spans="13:13" ht="15" customHeight="1" x14ac:dyDescent="0.25">
      <c r="M9907" s="274"/>
    </row>
    <row r="9908" spans="13:13" ht="15" customHeight="1" x14ac:dyDescent="0.25">
      <c r="M9908" s="274"/>
    </row>
    <row r="9909" spans="13:13" ht="15" customHeight="1" x14ac:dyDescent="0.25">
      <c r="M9909" s="274"/>
    </row>
    <row r="9910" spans="13:13" ht="15" customHeight="1" x14ac:dyDescent="0.25">
      <c r="M9910" s="274"/>
    </row>
    <row r="9911" spans="13:13" ht="15" customHeight="1" x14ac:dyDescent="0.25">
      <c r="M9911" s="274"/>
    </row>
    <row r="9912" spans="13:13" ht="15" customHeight="1" x14ac:dyDescent="0.25">
      <c r="M9912" s="274"/>
    </row>
    <row r="9913" spans="13:13" ht="15" customHeight="1" x14ac:dyDescent="0.25">
      <c r="M9913" s="274"/>
    </row>
    <row r="9914" spans="13:13" ht="15" customHeight="1" x14ac:dyDescent="0.25">
      <c r="M9914" s="274"/>
    </row>
    <row r="9915" spans="13:13" ht="15" customHeight="1" x14ac:dyDescent="0.25">
      <c r="M9915" s="274"/>
    </row>
    <row r="9916" spans="13:13" ht="15" customHeight="1" x14ac:dyDescent="0.25">
      <c r="M9916" s="274"/>
    </row>
    <row r="9917" spans="13:13" ht="15" customHeight="1" x14ac:dyDescent="0.25">
      <c r="M9917" s="274"/>
    </row>
    <row r="9918" spans="13:13" ht="15" customHeight="1" x14ac:dyDescent="0.25">
      <c r="M9918" s="274"/>
    </row>
    <row r="9919" spans="13:13" ht="15" customHeight="1" x14ac:dyDescent="0.25">
      <c r="M9919" s="274"/>
    </row>
    <row r="9920" spans="13:13" ht="15" customHeight="1" x14ac:dyDescent="0.25">
      <c r="M9920" s="274"/>
    </row>
    <row r="9921" spans="13:13" ht="15" customHeight="1" x14ac:dyDescent="0.25">
      <c r="M9921" s="274"/>
    </row>
    <row r="9922" spans="13:13" ht="15" customHeight="1" x14ac:dyDescent="0.25">
      <c r="M9922" s="274"/>
    </row>
    <row r="9923" spans="13:13" ht="15" customHeight="1" x14ac:dyDescent="0.25">
      <c r="M9923" s="274"/>
    </row>
    <row r="9924" spans="13:13" ht="15" customHeight="1" x14ac:dyDescent="0.25">
      <c r="M9924" s="274"/>
    </row>
    <row r="9925" spans="13:13" ht="15" customHeight="1" x14ac:dyDescent="0.25">
      <c r="M9925" s="274"/>
    </row>
    <row r="9926" spans="13:13" ht="15" customHeight="1" x14ac:dyDescent="0.25">
      <c r="M9926" s="274"/>
    </row>
    <row r="9927" spans="13:13" ht="15" customHeight="1" x14ac:dyDescent="0.25">
      <c r="M9927" s="274"/>
    </row>
    <row r="9928" spans="13:13" ht="15" customHeight="1" x14ac:dyDescent="0.25">
      <c r="M9928" s="274"/>
    </row>
    <row r="9929" spans="13:13" ht="15" customHeight="1" x14ac:dyDescent="0.25">
      <c r="M9929" s="274"/>
    </row>
    <row r="9930" spans="13:13" ht="15" customHeight="1" x14ac:dyDescent="0.25">
      <c r="M9930" s="274"/>
    </row>
    <row r="9931" spans="13:13" ht="15" customHeight="1" x14ac:dyDescent="0.25">
      <c r="M9931" s="274"/>
    </row>
    <row r="9932" spans="13:13" ht="15" customHeight="1" x14ac:dyDescent="0.25">
      <c r="M9932" s="274"/>
    </row>
    <row r="9933" spans="13:13" ht="15" customHeight="1" x14ac:dyDescent="0.25">
      <c r="M9933" s="274"/>
    </row>
    <row r="9934" spans="13:13" ht="15" customHeight="1" x14ac:dyDescent="0.25">
      <c r="M9934" s="274"/>
    </row>
    <row r="9935" spans="13:13" ht="15" customHeight="1" x14ac:dyDescent="0.25">
      <c r="M9935" s="274"/>
    </row>
    <row r="9936" spans="13:13" ht="15" customHeight="1" x14ac:dyDescent="0.25">
      <c r="M9936" s="274"/>
    </row>
    <row r="9937" spans="13:13" ht="15" customHeight="1" x14ac:dyDescent="0.25">
      <c r="M9937" s="274"/>
    </row>
    <row r="9938" spans="13:13" ht="15" customHeight="1" x14ac:dyDescent="0.25">
      <c r="M9938" s="274"/>
    </row>
    <row r="9939" spans="13:13" ht="15" customHeight="1" x14ac:dyDescent="0.25">
      <c r="M9939" s="274"/>
    </row>
    <row r="9940" spans="13:13" ht="15" customHeight="1" x14ac:dyDescent="0.25">
      <c r="M9940" s="274"/>
    </row>
    <row r="9941" spans="13:13" ht="15" customHeight="1" x14ac:dyDescent="0.25">
      <c r="M9941" s="274"/>
    </row>
    <row r="9942" spans="13:13" ht="15" customHeight="1" x14ac:dyDescent="0.25">
      <c r="M9942" s="274"/>
    </row>
    <row r="9943" spans="13:13" ht="15" customHeight="1" x14ac:dyDescent="0.25">
      <c r="M9943" s="274"/>
    </row>
    <row r="9944" spans="13:13" ht="15" customHeight="1" x14ac:dyDescent="0.25">
      <c r="M9944" s="274"/>
    </row>
    <row r="9945" spans="13:13" ht="15" customHeight="1" x14ac:dyDescent="0.25">
      <c r="M9945" s="274"/>
    </row>
    <row r="9946" spans="13:13" ht="15" customHeight="1" x14ac:dyDescent="0.25">
      <c r="M9946" s="274"/>
    </row>
    <row r="9947" spans="13:13" ht="15" customHeight="1" x14ac:dyDescent="0.25">
      <c r="M9947" s="274"/>
    </row>
    <row r="9948" spans="13:13" ht="15" customHeight="1" x14ac:dyDescent="0.25">
      <c r="M9948" s="274"/>
    </row>
    <row r="9949" spans="13:13" ht="15" customHeight="1" x14ac:dyDescent="0.25">
      <c r="M9949" s="274"/>
    </row>
    <row r="9950" spans="13:13" ht="15" customHeight="1" x14ac:dyDescent="0.25">
      <c r="M9950" s="274"/>
    </row>
    <row r="9951" spans="13:13" ht="15" customHeight="1" x14ac:dyDescent="0.25">
      <c r="M9951" s="274"/>
    </row>
    <row r="9952" spans="13:13" ht="15" customHeight="1" x14ac:dyDescent="0.25">
      <c r="M9952" s="274"/>
    </row>
    <row r="9953" spans="13:13" ht="15" customHeight="1" x14ac:dyDescent="0.25">
      <c r="M9953" s="274"/>
    </row>
    <row r="9954" spans="13:13" ht="15" customHeight="1" x14ac:dyDescent="0.25">
      <c r="M9954" s="274"/>
    </row>
    <row r="9955" spans="13:13" ht="15" customHeight="1" x14ac:dyDescent="0.25">
      <c r="M9955" s="274"/>
    </row>
    <row r="9956" spans="13:13" ht="15" customHeight="1" x14ac:dyDescent="0.25">
      <c r="M9956" s="274"/>
    </row>
    <row r="9957" spans="13:13" ht="15" customHeight="1" x14ac:dyDescent="0.25">
      <c r="M9957" s="274"/>
    </row>
    <row r="9958" spans="13:13" ht="15" customHeight="1" x14ac:dyDescent="0.25">
      <c r="M9958" s="274"/>
    </row>
    <row r="9959" spans="13:13" ht="15" customHeight="1" x14ac:dyDescent="0.25">
      <c r="M9959" s="274"/>
    </row>
    <row r="9960" spans="13:13" ht="15" customHeight="1" x14ac:dyDescent="0.25">
      <c r="M9960" s="274"/>
    </row>
    <row r="9961" spans="13:13" ht="15" customHeight="1" x14ac:dyDescent="0.25">
      <c r="M9961" s="274"/>
    </row>
    <row r="9962" spans="13:13" ht="15" customHeight="1" x14ac:dyDescent="0.25">
      <c r="M9962" s="274"/>
    </row>
    <row r="9963" spans="13:13" ht="15" customHeight="1" x14ac:dyDescent="0.25">
      <c r="M9963" s="274"/>
    </row>
    <row r="9964" spans="13:13" ht="15" customHeight="1" x14ac:dyDescent="0.25">
      <c r="M9964" s="274"/>
    </row>
    <row r="9965" spans="13:13" ht="15" customHeight="1" x14ac:dyDescent="0.25">
      <c r="M9965" s="274"/>
    </row>
    <row r="9966" spans="13:13" ht="15" customHeight="1" x14ac:dyDescent="0.25">
      <c r="M9966" s="274"/>
    </row>
    <row r="9967" spans="13:13" ht="15" customHeight="1" x14ac:dyDescent="0.25">
      <c r="M9967" s="274"/>
    </row>
    <row r="9968" spans="13:13" ht="15" customHeight="1" x14ac:dyDescent="0.25">
      <c r="M9968" s="274"/>
    </row>
    <row r="9969" spans="13:13" ht="15" customHeight="1" x14ac:dyDescent="0.25">
      <c r="M9969" s="274"/>
    </row>
    <row r="9970" spans="13:13" ht="15" customHeight="1" x14ac:dyDescent="0.25">
      <c r="M9970" s="274"/>
    </row>
    <row r="9971" spans="13:13" ht="15" customHeight="1" x14ac:dyDescent="0.25">
      <c r="M9971" s="274"/>
    </row>
    <row r="9972" spans="13:13" ht="15" customHeight="1" x14ac:dyDescent="0.25">
      <c r="M9972" s="274"/>
    </row>
    <row r="9973" spans="13:13" ht="15" customHeight="1" x14ac:dyDescent="0.25">
      <c r="M9973" s="274"/>
    </row>
    <row r="9974" spans="13:13" ht="15" customHeight="1" x14ac:dyDescent="0.25">
      <c r="M9974" s="274"/>
    </row>
    <row r="9975" spans="13:13" ht="15" customHeight="1" x14ac:dyDescent="0.25">
      <c r="M9975" s="274"/>
    </row>
    <row r="9976" spans="13:13" ht="15" customHeight="1" x14ac:dyDescent="0.25">
      <c r="M9976" s="274"/>
    </row>
    <row r="9977" spans="13:13" ht="15" customHeight="1" x14ac:dyDescent="0.25">
      <c r="M9977" s="274"/>
    </row>
    <row r="9978" spans="13:13" ht="15" customHeight="1" x14ac:dyDescent="0.25">
      <c r="M9978" s="274"/>
    </row>
    <row r="9979" spans="13:13" ht="15" customHeight="1" x14ac:dyDescent="0.25">
      <c r="M9979" s="274"/>
    </row>
    <row r="9980" spans="13:13" ht="15" customHeight="1" x14ac:dyDescent="0.25">
      <c r="M9980" s="274"/>
    </row>
    <row r="9981" spans="13:13" ht="15" customHeight="1" x14ac:dyDescent="0.25">
      <c r="M9981" s="274"/>
    </row>
    <row r="9982" spans="13:13" ht="15" customHeight="1" x14ac:dyDescent="0.25">
      <c r="M9982" s="274"/>
    </row>
    <row r="9983" spans="13:13" ht="15" customHeight="1" x14ac:dyDescent="0.25">
      <c r="M9983" s="274"/>
    </row>
    <row r="9984" spans="13:13" ht="15" customHeight="1" x14ac:dyDescent="0.25">
      <c r="M9984" s="274"/>
    </row>
    <row r="9985" spans="13:13" ht="15" customHeight="1" x14ac:dyDescent="0.25">
      <c r="M9985" s="274"/>
    </row>
    <row r="9986" spans="13:13" ht="15" customHeight="1" x14ac:dyDescent="0.25">
      <c r="M9986" s="274"/>
    </row>
    <row r="9987" spans="13:13" ht="15" customHeight="1" x14ac:dyDescent="0.25">
      <c r="M9987" s="274"/>
    </row>
    <row r="9988" spans="13:13" ht="15" customHeight="1" x14ac:dyDescent="0.25">
      <c r="M9988" s="274"/>
    </row>
    <row r="9989" spans="13:13" ht="15" customHeight="1" x14ac:dyDescent="0.25">
      <c r="M9989" s="274"/>
    </row>
    <row r="9990" spans="13:13" ht="15" customHeight="1" x14ac:dyDescent="0.25">
      <c r="M9990" s="274"/>
    </row>
    <row r="9991" spans="13:13" ht="15" customHeight="1" x14ac:dyDescent="0.25">
      <c r="M9991" s="274"/>
    </row>
    <row r="9992" spans="13:13" ht="15" customHeight="1" x14ac:dyDescent="0.25">
      <c r="M9992" s="274"/>
    </row>
    <row r="9993" spans="13:13" ht="15" customHeight="1" x14ac:dyDescent="0.25">
      <c r="M9993" s="274"/>
    </row>
    <row r="9994" spans="13:13" ht="15" customHeight="1" x14ac:dyDescent="0.25">
      <c r="M9994" s="274"/>
    </row>
    <row r="9995" spans="13:13" ht="15" customHeight="1" x14ac:dyDescent="0.25">
      <c r="M9995" s="274"/>
    </row>
    <row r="9996" spans="13:13" ht="15" customHeight="1" x14ac:dyDescent="0.25">
      <c r="M9996" s="274"/>
    </row>
    <row r="9997" spans="13:13" ht="15" customHeight="1" x14ac:dyDescent="0.25">
      <c r="M9997" s="274"/>
    </row>
    <row r="9998" spans="13:13" ht="15" customHeight="1" x14ac:dyDescent="0.25">
      <c r="M9998" s="274"/>
    </row>
    <row r="9999" spans="13:13" ht="15" customHeight="1" x14ac:dyDescent="0.25">
      <c r="M9999" s="274"/>
    </row>
    <row r="10000" spans="13:13" ht="15" customHeight="1" x14ac:dyDescent="0.25">
      <c r="M10000" s="274"/>
    </row>
    <row r="10001" spans="13:13" ht="15" customHeight="1" x14ac:dyDescent="0.25">
      <c r="M10001" s="274"/>
    </row>
    <row r="10002" spans="13:13" ht="15" customHeight="1" x14ac:dyDescent="0.25">
      <c r="M10002" s="274"/>
    </row>
    <row r="10003" spans="13:13" ht="15" customHeight="1" x14ac:dyDescent="0.25">
      <c r="M10003" s="274"/>
    </row>
    <row r="10004" spans="13:13" ht="15" customHeight="1" x14ac:dyDescent="0.25">
      <c r="M10004" s="274"/>
    </row>
    <row r="10005" spans="13:13" ht="15" customHeight="1" x14ac:dyDescent="0.25">
      <c r="M10005" s="274"/>
    </row>
    <row r="10006" spans="13:13" ht="15" customHeight="1" x14ac:dyDescent="0.25">
      <c r="M10006" s="274"/>
    </row>
    <row r="10007" spans="13:13" ht="15" customHeight="1" x14ac:dyDescent="0.25">
      <c r="M10007" s="274"/>
    </row>
    <row r="10008" spans="13:13" ht="15" customHeight="1" x14ac:dyDescent="0.25">
      <c r="M10008" s="274"/>
    </row>
    <row r="10009" spans="13:13" ht="15" customHeight="1" x14ac:dyDescent="0.25">
      <c r="M10009" s="274"/>
    </row>
    <row r="10010" spans="13:13" ht="15" customHeight="1" x14ac:dyDescent="0.25">
      <c r="M10010" s="274"/>
    </row>
    <row r="10011" spans="13:13" ht="15" customHeight="1" x14ac:dyDescent="0.25">
      <c r="M10011" s="274"/>
    </row>
    <row r="10012" spans="13:13" ht="15" customHeight="1" x14ac:dyDescent="0.25">
      <c r="M10012" s="274"/>
    </row>
    <row r="10013" spans="13:13" ht="15" customHeight="1" x14ac:dyDescent="0.25">
      <c r="M10013" s="274"/>
    </row>
    <row r="10014" spans="13:13" ht="15" customHeight="1" x14ac:dyDescent="0.25">
      <c r="M10014" s="274"/>
    </row>
    <row r="10015" spans="13:13" ht="15" customHeight="1" x14ac:dyDescent="0.25">
      <c r="M10015" s="274"/>
    </row>
    <row r="10016" spans="13:13" ht="15" customHeight="1" x14ac:dyDescent="0.25">
      <c r="M10016" s="274"/>
    </row>
    <row r="10017" spans="13:13" ht="15" customHeight="1" x14ac:dyDescent="0.25">
      <c r="M10017" s="274"/>
    </row>
    <row r="10018" spans="13:13" ht="15" customHeight="1" x14ac:dyDescent="0.25">
      <c r="M10018" s="274"/>
    </row>
    <row r="10019" spans="13:13" ht="15" customHeight="1" x14ac:dyDescent="0.25">
      <c r="M10019" s="274"/>
    </row>
    <row r="10020" spans="13:13" ht="15" customHeight="1" x14ac:dyDescent="0.25">
      <c r="M10020" s="274"/>
    </row>
    <row r="10021" spans="13:13" ht="15" customHeight="1" x14ac:dyDescent="0.25">
      <c r="M10021" s="274"/>
    </row>
    <row r="10022" spans="13:13" ht="15" customHeight="1" x14ac:dyDescent="0.25">
      <c r="M10022" s="274"/>
    </row>
    <row r="10023" spans="13:13" ht="15" customHeight="1" x14ac:dyDescent="0.25">
      <c r="M10023" s="274"/>
    </row>
    <row r="10024" spans="13:13" ht="15" customHeight="1" x14ac:dyDescent="0.25">
      <c r="M10024" s="274"/>
    </row>
    <row r="10025" spans="13:13" ht="15" customHeight="1" x14ac:dyDescent="0.25">
      <c r="M10025" s="274"/>
    </row>
    <row r="10026" spans="13:13" ht="15" customHeight="1" x14ac:dyDescent="0.25">
      <c r="M10026" s="274"/>
    </row>
    <row r="10027" spans="13:13" ht="15" customHeight="1" x14ac:dyDescent="0.25">
      <c r="M10027" s="274"/>
    </row>
    <row r="10028" spans="13:13" ht="15" customHeight="1" x14ac:dyDescent="0.25">
      <c r="M10028" s="274"/>
    </row>
    <row r="10029" spans="13:13" ht="15" customHeight="1" x14ac:dyDescent="0.25">
      <c r="M10029" s="274"/>
    </row>
    <row r="10030" spans="13:13" ht="15" customHeight="1" x14ac:dyDescent="0.25">
      <c r="M10030" s="274"/>
    </row>
    <row r="10031" spans="13:13" ht="15" customHeight="1" x14ac:dyDescent="0.25">
      <c r="M10031" s="274"/>
    </row>
    <row r="10032" spans="13:13" ht="15" customHeight="1" x14ac:dyDescent="0.25">
      <c r="M10032" s="274"/>
    </row>
    <row r="10033" spans="13:13" ht="15" customHeight="1" x14ac:dyDescent="0.25">
      <c r="M10033" s="274"/>
    </row>
    <row r="10034" spans="13:13" ht="15" customHeight="1" x14ac:dyDescent="0.25">
      <c r="M10034" s="274"/>
    </row>
    <row r="10035" spans="13:13" ht="15" customHeight="1" x14ac:dyDescent="0.25">
      <c r="M10035" s="274"/>
    </row>
    <row r="10036" spans="13:13" ht="15" customHeight="1" x14ac:dyDescent="0.25">
      <c r="M10036" s="274"/>
    </row>
    <row r="10037" spans="13:13" ht="15" customHeight="1" x14ac:dyDescent="0.25">
      <c r="M10037" s="274"/>
    </row>
    <row r="10038" spans="13:13" ht="15" customHeight="1" x14ac:dyDescent="0.25">
      <c r="M10038" s="274"/>
    </row>
    <row r="10039" spans="13:13" ht="15" customHeight="1" x14ac:dyDescent="0.25">
      <c r="M10039" s="274"/>
    </row>
    <row r="10040" spans="13:13" ht="15" customHeight="1" x14ac:dyDescent="0.25">
      <c r="M10040" s="274"/>
    </row>
    <row r="10041" spans="13:13" ht="15" customHeight="1" x14ac:dyDescent="0.25">
      <c r="M10041" s="274"/>
    </row>
    <row r="10042" spans="13:13" ht="15" customHeight="1" x14ac:dyDescent="0.25">
      <c r="M10042" s="274"/>
    </row>
    <row r="10043" spans="13:13" ht="15" customHeight="1" x14ac:dyDescent="0.25">
      <c r="M10043" s="274"/>
    </row>
    <row r="10044" spans="13:13" ht="15" customHeight="1" x14ac:dyDescent="0.25">
      <c r="M10044" s="274"/>
    </row>
    <row r="10045" spans="13:13" ht="15" customHeight="1" x14ac:dyDescent="0.25">
      <c r="M10045" s="274"/>
    </row>
    <row r="10046" spans="13:13" ht="15" customHeight="1" x14ac:dyDescent="0.25">
      <c r="M10046" s="274"/>
    </row>
    <row r="10047" spans="13:13" ht="15" customHeight="1" x14ac:dyDescent="0.25">
      <c r="M10047" s="274"/>
    </row>
    <row r="10048" spans="13:13" ht="15" customHeight="1" x14ac:dyDescent="0.25">
      <c r="M10048" s="274"/>
    </row>
    <row r="10049" spans="13:13" ht="15" customHeight="1" x14ac:dyDescent="0.25">
      <c r="M10049" s="274"/>
    </row>
    <row r="10050" spans="13:13" ht="15" customHeight="1" x14ac:dyDescent="0.25">
      <c r="M10050" s="274"/>
    </row>
    <row r="10051" spans="13:13" ht="15" customHeight="1" x14ac:dyDescent="0.25">
      <c r="M10051" s="274"/>
    </row>
    <row r="10052" spans="13:13" ht="15" customHeight="1" x14ac:dyDescent="0.25">
      <c r="M10052" s="274"/>
    </row>
    <row r="10053" spans="13:13" ht="15" customHeight="1" x14ac:dyDescent="0.25">
      <c r="M10053" s="274"/>
    </row>
    <row r="10054" spans="13:13" ht="15" customHeight="1" x14ac:dyDescent="0.25">
      <c r="M10054" s="274"/>
    </row>
    <row r="10055" spans="13:13" ht="15" customHeight="1" x14ac:dyDescent="0.25">
      <c r="M10055" s="274"/>
    </row>
    <row r="10056" spans="13:13" ht="15" customHeight="1" x14ac:dyDescent="0.25">
      <c r="M10056" s="274"/>
    </row>
    <row r="10057" spans="13:13" ht="15" customHeight="1" x14ac:dyDescent="0.25">
      <c r="M10057" s="274"/>
    </row>
    <row r="10058" spans="13:13" ht="15" customHeight="1" x14ac:dyDescent="0.25">
      <c r="M10058" s="274"/>
    </row>
    <row r="10059" spans="13:13" ht="15" customHeight="1" x14ac:dyDescent="0.25">
      <c r="M10059" s="274"/>
    </row>
    <row r="10060" spans="13:13" ht="15" customHeight="1" x14ac:dyDescent="0.25">
      <c r="M10060" s="274"/>
    </row>
    <row r="10061" spans="13:13" ht="15" customHeight="1" x14ac:dyDescent="0.25">
      <c r="M10061" s="274"/>
    </row>
    <row r="10062" spans="13:13" ht="15" customHeight="1" x14ac:dyDescent="0.25">
      <c r="M10062" s="274"/>
    </row>
    <row r="10063" spans="13:13" ht="15" customHeight="1" x14ac:dyDescent="0.25">
      <c r="M10063" s="274"/>
    </row>
    <row r="10064" spans="13:13" ht="15" customHeight="1" x14ac:dyDescent="0.25">
      <c r="M10064" s="274"/>
    </row>
    <row r="10065" spans="13:13" ht="15" customHeight="1" x14ac:dyDescent="0.25">
      <c r="M10065" s="274"/>
    </row>
    <row r="10066" spans="13:13" ht="15" customHeight="1" x14ac:dyDescent="0.25">
      <c r="M10066" s="274"/>
    </row>
    <row r="10067" spans="13:13" ht="15" customHeight="1" x14ac:dyDescent="0.25">
      <c r="M10067" s="274"/>
    </row>
    <row r="10068" spans="13:13" ht="15" customHeight="1" x14ac:dyDescent="0.25">
      <c r="M10068" s="274"/>
    </row>
    <row r="10069" spans="13:13" ht="15" customHeight="1" x14ac:dyDescent="0.25">
      <c r="M10069" s="274"/>
    </row>
    <row r="10070" spans="13:13" ht="15" customHeight="1" x14ac:dyDescent="0.25">
      <c r="M10070" s="274"/>
    </row>
    <row r="10071" spans="13:13" ht="15" customHeight="1" x14ac:dyDescent="0.25">
      <c r="M10071" s="274"/>
    </row>
    <row r="10072" spans="13:13" ht="15" customHeight="1" x14ac:dyDescent="0.25">
      <c r="M10072" s="274"/>
    </row>
    <row r="10073" spans="13:13" ht="15" customHeight="1" x14ac:dyDescent="0.25">
      <c r="M10073" s="274"/>
    </row>
    <row r="10074" spans="13:13" ht="15" customHeight="1" x14ac:dyDescent="0.25">
      <c r="M10074" s="274"/>
    </row>
    <row r="10075" spans="13:13" ht="15" customHeight="1" x14ac:dyDescent="0.25">
      <c r="M10075" s="274"/>
    </row>
    <row r="10076" spans="13:13" ht="15" customHeight="1" x14ac:dyDescent="0.25">
      <c r="M10076" s="274"/>
    </row>
    <row r="10077" spans="13:13" ht="15" customHeight="1" x14ac:dyDescent="0.25">
      <c r="M10077" s="274"/>
    </row>
    <row r="10078" spans="13:13" ht="15" customHeight="1" x14ac:dyDescent="0.25">
      <c r="M10078" s="274"/>
    </row>
    <row r="10079" spans="13:13" ht="15" customHeight="1" x14ac:dyDescent="0.25">
      <c r="M10079" s="274"/>
    </row>
    <row r="10080" spans="13:13" ht="15" customHeight="1" x14ac:dyDescent="0.25">
      <c r="M10080" s="274"/>
    </row>
    <row r="10081" spans="13:13" ht="15" customHeight="1" x14ac:dyDescent="0.25">
      <c r="M10081" s="274"/>
    </row>
    <row r="10082" spans="13:13" ht="15" customHeight="1" x14ac:dyDescent="0.25">
      <c r="M10082" s="274"/>
    </row>
    <row r="10083" spans="13:13" ht="15" customHeight="1" x14ac:dyDescent="0.25">
      <c r="M10083" s="274"/>
    </row>
    <row r="10084" spans="13:13" ht="15" customHeight="1" x14ac:dyDescent="0.25">
      <c r="M10084" s="274"/>
    </row>
    <row r="10085" spans="13:13" ht="15" customHeight="1" x14ac:dyDescent="0.25">
      <c r="M10085" s="274"/>
    </row>
    <row r="10086" spans="13:13" ht="15" customHeight="1" x14ac:dyDescent="0.25">
      <c r="M10086" s="274"/>
    </row>
    <row r="10087" spans="13:13" ht="15" customHeight="1" x14ac:dyDescent="0.25">
      <c r="M10087" s="274"/>
    </row>
    <row r="10088" spans="13:13" ht="15" customHeight="1" x14ac:dyDescent="0.25">
      <c r="M10088" s="274"/>
    </row>
    <row r="10089" spans="13:13" ht="15" customHeight="1" x14ac:dyDescent="0.25">
      <c r="M10089" s="274"/>
    </row>
    <row r="10090" spans="13:13" ht="15" customHeight="1" x14ac:dyDescent="0.25">
      <c r="M10090" s="274"/>
    </row>
    <row r="10091" spans="13:13" ht="15" customHeight="1" x14ac:dyDescent="0.25">
      <c r="M10091" s="274"/>
    </row>
    <row r="10092" spans="13:13" ht="15" customHeight="1" x14ac:dyDescent="0.25">
      <c r="M10092" s="274"/>
    </row>
    <row r="10093" spans="13:13" ht="15" customHeight="1" x14ac:dyDescent="0.25">
      <c r="M10093" s="274"/>
    </row>
    <row r="10094" spans="13:13" ht="15" customHeight="1" x14ac:dyDescent="0.25">
      <c r="M10094" s="274"/>
    </row>
    <row r="10095" spans="13:13" ht="15" customHeight="1" x14ac:dyDescent="0.25">
      <c r="M10095" s="274"/>
    </row>
    <row r="10096" spans="13:13" ht="15" customHeight="1" x14ac:dyDescent="0.25">
      <c r="M10096" s="274"/>
    </row>
    <row r="10097" spans="13:13" ht="15" customHeight="1" x14ac:dyDescent="0.25">
      <c r="M10097" s="274"/>
    </row>
    <row r="10098" spans="13:13" ht="15" customHeight="1" x14ac:dyDescent="0.25">
      <c r="M10098" s="274"/>
    </row>
    <row r="10099" spans="13:13" ht="15" customHeight="1" x14ac:dyDescent="0.25">
      <c r="M10099" s="274"/>
    </row>
    <row r="10100" spans="13:13" ht="15" customHeight="1" x14ac:dyDescent="0.25">
      <c r="M10100" s="274"/>
    </row>
    <row r="10101" spans="13:13" ht="15" customHeight="1" x14ac:dyDescent="0.25">
      <c r="M10101" s="274"/>
    </row>
    <row r="10102" spans="13:13" ht="15" customHeight="1" x14ac:dyDescent="0.25">
      <c r="M10102" s="274"/>
    </row>
    <row r="10103" spans="13:13" ht="15" customHeight="1" x14ac:dyDescent="0.25">
      <c r="M10103" s="274"/>
    </row>
    <row r="10104" spans="13:13" ht="15" customHeight="1" x14ac:dyDescent="0.25">
      <c r="M10104" s="274"/>
    </row>
    <row r="10105" spans="13:13" ht="15" customHeight="1" x14ac:dyDescent="0.25">
      <c r="M10105" s="274"/>
    </row>
    <row r="10106" spans="13:13" ht="15" customHeight="1" x14ac:dyDescent="0.25">
      <c r="M10106" s="274"/>
    </row>
    <row r="10107" spans="13:13" ht="15" customHeight="1" x14ac:dyDescent="0.25">
      <c r="M10107" s="274"/>
    </row>
    <row r="10108" spans="13:13" ht="15" customHeight="1" x14ac:dyDescent="0.25">
      <c r="M10108" s="274"/>
    </row>
    <row r="10109" spans="13:13" ht="15" customHeight="1" x14ac:dyDescent="0.25">
      <c r="M10109" s="274"/>
    </row>
    <row r="10110" spans="13:13" ht="15" customHeight="1" x14ac:dyDescent="0.25">
      <c r="M10110" s="274"/>
    </row>
    <row r="10111" spans="13:13" ht="15" customHeight="1" x14ac:dyDescent="0.25">
      <c r="M10111" s="274"/>
    </row>
    <row r="10112" spans="13:13" ht="15" customHeight="1" x14ac:dyDescent="0.25">
      <c r="M10112" s="274"/>
    </row>
    <row r="10113" spans="13:13" ht="15" customHeight="1" x14ac:dyDescent="0.25">
      <c r="M10113" s="274"/>
    </row>
    <row r="10114" spans="13:13" ht="15" customHeight="1" x14ac:dyDescent="0.25">
      <c r="M10114" s="274"/>
    </row>
    <row r="10115" spans="13:13" ht="15" customHeight="1" x14ac:dyDescent="0.25">
      <c r="M10115" s="274"/>
    </row>
    <row r="10116" spans="13:13" ht="15" customHeight="1" x14ac:dyDescent="0.25">
      <c r="M10116" s="274"/>
    </row>
    <row r="10117" spans="13:13" ht="15" customHeight="1" x14ac:dyDescent="0.25">
      <c r="M10117" s="274"/>
    </row>
    <row r="10118" spans="13:13" ht="15" customHeight="1" x14ac:dyDescent="0.25">
      <c r="M10118" s="274"/>
    </row>
    <row r="10119" spans="13:13" ht="15" customHeight="1" x14ac:dyDescent="0.25">
      <c r="M10119" s="274"/>
    </row>
    <row r="10120" spans="13:13" ht="15" customHeight="1" x14ac:dyDescent="0.25">
      <c r="M10120" s="274"/>
    </row>
    <row r="10121" spans="13:13" ht="15" customHeight="1" x14ac:dyDescent="0.25">
      <c r="M10121" s="274"/>
    </row>
    <row r="10122" spans="13:13" ht="15" customHeight="1" x14ac:dyDescent="0.25">
      <c r="M10122" s="274"/>
    </row>
    <row r="10123" spans="13:13" ht="15" customHeight="1" x14ac:dyDescent="0.25">
      <c r="M10123" s="274"/>
    </row>
    <row r="10124" spans="13:13" ht="15" customHeight="1" x14ac:dyDescent="0.25">
      <c r="M10124" s="274"/>
    </row>
    <row r="10125" spans="13:13" ht="15" customHeight="1" x14ac:dyDescent="0.25">
      <c r="M10125" s="274"/>
    </row>
    <row r="10126" spans="13:13" ht="15" customHeight="1" x14ac:dyDescent="0.25">
      <c r="M10126" s="274"/>
    </row>
    <row r="10127" spans="13:13" ht="15" customHeight="1" x14ac:dyDescent="0.25">
      <c r="M10127" s="274"/>
    </row>
    <row r="10128" spans="13:13" ht="15" customHeight="1" x14ac:dyDescent="0.25">
      <c r="M10128" s="274"/>
    </row>
    <row r="10129" spans="13:13" ht="15" customHeight="1" x14ac:dyDescent="0.25">
      <c r="M10129" s="274"/>
    </row>
    <row r="10130" spans="13:13" ht="15" customHeight="1" x14ac:dyDescent="0.25">
      <c r="M10130" s="274"/>
    </row>
    <row r="10131" spans="13:13" ht="15" customHeight="1" x14ac:dyDescent="0.25">
      <c r="M10131" s="274"/>
    </row>
    <row r="10132" spans="13:13" ht="15" customHeight="1" x14ac:dyDescent="0.25">
      <c r="M10132" s="274"/>
    </row>
    <row r="10133" spans="13:13" ht="15" customHeight="1" x14ac:dyDescent="0.25">
      <c r="M10133" s="274"/>
    </row>
    <row r="10134" spans="13:13" ht="15" customHeight="1" x14ac:dyDescent="0.25">
      <c r="M10134" s="274"/>
    </row>
    <row r="10135" spans="13:13" ht="15" customHeight="1" x14ac:dyDescent="0.25">
      <c r="M10135" s="274"/>
    </row>
    <row r="10136" spans="13:13" ht="15" customHeight="1" x14ac:dyDescent="0.25">
      <c r="M10136" s="274"/>
    </row>
    <row r="10137" spans="13:13" ht="15" customHeight="1" x14ac:dyDescent="0.25">
      <c r="M10137" s="274"/>
    </row>
    <row r="10138" spans="13:13" ht="15" customHeight="1" x14ac:dyDescent="0.25">
      <c r="M10138" s="274"/>
    </row>
    <row r="10139" spans="13:13" ht="15" customHeight="1" x14ac:dyDescent="0.25">
      <c r="M10139" s="274"/>
    </row>
    <row r="10140" spans="13:13" ht="15" customHeight="1" x14ac:dyDescent="0.25">
      <c r="M10140" s="274"/>
    </row>
    <row r="10141" spans="13:13" ht="15" customHeight="1" x14ac:dyDescent="0.25">
      <c r="M10141" s="274"/>
    </row>
    <row r="10142" spans="13:13" ht="15" customHeight="1" x14ac:dyDescent="0.25">
      <c r="M10142" s="274"/>
    </row>
    <row r="10143" spans="13:13" ht="15" customHeight="1" x14ac:dyDescent="0.25">
      <c r="M10143" s="274"/>
    </row>
    <row r="10144" spans="13:13" ht="15" customHeight="1" x14ac:dyDescent="0.25">
      <c r="M10144" s="274"/>
    </row>
    <row r="10145" spans="13:13" ht="15" customHeight="1" x14ac:dyDescent="0.25">
      <c r="M10145" s="274"/>
    </row>
    <row r="10146" spans="13:13" ht="15" customHeight="1" x14ac:dyDescent="0.25">
      <c r="M10146" s="274"/>
    </row>
    <row r="10147" spans="13:13" ht="15" customHeight="1" x14ac:dyDescent="0.25">
      <c r="M10147" s="274"/>
    </row>
    <row r="10148" spans="13:13" ht="15" customHeight="1" x14ac:dyDescent="0.25">
      <c r="M10148" s="274"/>
    </row>
    <row r="10149" spans="13:13" ht="15" customHeight="1" x14ac:dyDescent="0.25">
      <c r="M10149" s="274"/>
    </row>
    <row r="10150" spans="13:13" ht="15" customHeight="1" x14ac:dyDescent="0.25">
      <c r="M10150" s="274"/>
    </row>
    <row r="10151" spans="13:13" ht="15" customHeight="1" x14ac:dyDescent="0.25">
      <c r="M10151" s="274"/>
    </row>
    <row r="10152" spans="13:13" ht="15" customHeight="1" x14ac:dyDescent="0.25">
      <c r="M10152" s="274"/>
    </row>
    <row r="10153" spans="13:13" ht="15" customHeight="1" x14ac:dyDescent="0.25">
      <c r="M10153" s="274"/>
    </row>
    <row r="10154" spans="13:13" ht="15" customHeight="1" x14ac:dyDescent="0.25">
      <c r="M10154" s="274"/>
    </row>
    <row r="10155" spans="13:13" ht="15" customHeight="1" x14ac:dyDescent="0.25">
      <c r="M10155" s="274"/>
    </row>
    <row r="10156" spans="13:13" ht="15" customHeight="1" x14ac:dyDescent="0.25">
      <c r="M10156" s="274"/>
    </row>
    <row r="10157" spans="13:13" ht="15" customHeight="1" x14ac:dyDescent="0.25">
      <c r="M10157" s="274"/>
    </row>
    <row r="10158" spans="13:13" ht="15" customHeight="1" x14ac:dyDescent="0.25">
      <c r="M10158" s="274"/>
    </row>
    <row r="10159" spans="13:13" ht="15" customHeight="1" x14ac:dyDescent="0.25">
      <c r="M10159" s="274"/>
    </row>
    <row r="10160" spans="13:13" ht="15" customHeight="1" x14ac:dyDescent="0.25">
      <c r="M10160" s="274"/>
    </row>
    <row r="10161" spans="13:13" ht="15" customHeight="1" x14ac:dyDescent="0.25">
      <c r="M10161" s="274"/>
    </row>
    <row r="10162" spans="13:13" ht="15" customHeight="1" x14ac:dyDescent="0.25">
      <c r="M10162" s="274"/>
    </row>
    <row r="10163" spans="13:13" ht="15" customHeight="1" x14ac:dyDescent="0.25">
      <c r="M10163" s="274"/>
    </row>
    <row r="10164" spans="13:13" ht="15" customHeight="1" x14ac:dyDescent="0.25">
      <c r="M10164" s="274"/>
    </row>
    <row r="10165" spans="13:13" ht="15" customHeight="1" x14ac:dyDescent="0.25">
      <c r="M10165" s="274"/>
    </row>
    <row r="10166" spans="13:13" ht="15" customHeight="1" x14ac:dyDescent="0.25">
      <c r="M10166" s="274"/>
    </row>
    <row r="10167" spans="13:13" ht="15" customHeight="1" x14ac:dyDescent="0.25">
      <c r="M10167" s="274"/>
    </row>
    <row r="10168" spans="13:13" ht="15" customHeight="1" x14ac:dyDescent="0.25">
      <c r="M10168" s="274"/>
    </row>
    <row r="10169" spans="13:13" ht="15" customHeight="1" x14ac:dyDescent="0.25">
      <c r="M10169" s="274"/>
    </row>
    <row r="10170" spans="13:13" ht="15" customHeight="1" x14ac:dyDescent="0.25">
      <c r="M10170" s="274"/>
    </row>
    <row r="10171" spans="13:13" ht="15" customHeight="1" x14ac:dyDescent="0.25">
      <c r="M10171" s="274"/>
    </row>
    <row r="10172" spans="13:13" ht="15" customHeight="1" x14ac:dyDescent="0.25">
      <c r="M10172" s="274"/>
    </row>
    <row r="10173" spans="13:13" ht="15" customHeight="1" x14ac:dyDescent="0.25">
      <c r="M10173" s="274"/>
    </row>
    <row r="10174" spans="13:13" ht="15" customHeight="1" x14ac:dyDescent="0.25">
      <c r="M10174" s="274"/>
    </row>
    <row r="10175" spans="13:13" ht="15" customHeight="1" x14ac:dyDescent="0.25">
      <c r="M10175" s="274"/>
    </row>
    <row r="10176" spans="13:13" ht="15" customHeight="1" x14ac:dyDescent="0.25">
      <c r="M10176" s="274"/>
    </row>
    <row r="10177" spans="13:13" ht="15" customHeight="1" x14ac:dyDescent="0.25">
      <c r="M10177" s="274"/>
    </row>
    <row r="10178" spans="13:13" ht="15" customHeight="1" x14ac:dyDescent="0.25">
      <c r="M10178" s="274"/>
    </row>
    <row r="10179" spans="13:13" ht="15" customHeight="1" x14ac:dyDescent="0.25">
      <c r="M10179" s="274"/>
    </row>
    <row r="10180" spans="13:13" ht="15" customHeight="1" x14ac:dyDescent="0.25">
      <c r="M10180" s="274"/>
    </row>
    <row r="10181" spans="13:13" ht="15" customHeight="1" x14ac:dyDescent="0.25">
      <c r="M10181" s="274"/>
    </row>
    <row r="10182" spans="13:13" ht="15" customHeight="1" x14ac:dyDescent="0.25">
      <c r="M10182" s="274"/>
    </row>
    <row r="10183" spans="13:13" ht="15" customHeight="1" x14ac:dyDescent="0.25">
      <c r="M10183" s="274"/>
    </row>
    <row r="10184" spans="13:13" ht="15" customHeight="1" x14ac:dyDescent="0.25">
      <c r="M10184" s="274"/>
    </row>
    <row r="10185" spans="13:13" ht="15" customHeight="1" x14ac:dyDescent="0.25">
      <c r="M10185" s="274"/>
    </row>
    <row r="10186" spans="13:13" ht="15" customHeight="1" x14ac:dyDescent="0.25">
      <c r="M10186" s="274"/>
    </row>
    <row r="10187" spans="13:13" ht="15" customHeight="1" x14ac:dyDescent="0.25">
      <c r="M10187" s="274"/>
    </row>
    <row r="10188" spans="13:13" ht="15" customHeight="1" x14ac:dyDescent="0.25">
      <c r="M10188" s="274"/>
    </row>
    <row r="10189" spans="13:13" ht="15" customHeight="1" x14ac:dyDescent="0.25">
      <c r="M10189" s="274"/>
    </row>
    <row r="10190" spans="13:13" ht="15" customHeight="1" x14ac:dyDescent="0.25">
      <c r="M10190" s="274"/>
    </row>
    <row r="10191" spans="13:13" ht="15" customHeight="1" x14ac:dyDescent="0.25">
      <c r="M10191" s="274"/>
    </row>
    <row r="10192" spans="13:13" ht="15" customHeight="1" x14ac:dyDescent="0.25">
      <c r="M10192" s="274"/>
    </row>
    <row r="10193" spans="13:13" ht="15" customHeight="1" x14ac:dyDescent="0.25">
      <c r="M10193" s="274"/>
    </row>
    <row r="10194" spans="13:13" ht="15" customHeight="1" x14ac:dyDescent="0.25">
      <c r="M10194" s="274"/>
    </row>
    <row r="10195" spans="13:13" ht="15" customHeight="1" x14ac:dyDescent="0.25">
      <c r="M10195" s="274"/>
    </row>
    <row r="10196" spans="13:13" ht="15" customHeight="1" x14ac:dyDescent="0.25">
      <c r="M10196" s="274"/>
    </row>
    <row r="10197" spans="13:13" ht="15" customHeight="1" x14ac:dyDescent="0.25">
      <c r="M10197" s="274"/>
    </row>
    <row r="10198" spans="13:13" ht="15" customHeight="1" x14ac:dyDescent="0.25">
      <c r="M10198" s="274"/>
    </row>
    <row r="10199" spans="13:13" ht="15" customHeight="1" x14ac:dyDescent="0.25">
      <c r="M10199" s="274"/>
    </row>
    <row r="10200" spans="13:13" ht="15" customHeight="1" x14ac:dyDescent="0.25">
      <c r="M10200" s="274"/>
    </row>
    <row r="10201" spans="13:13" ht="15" customHeight="1" x14ac:dyDescent="0.25">
      <c r="M10201" s="274"/>
    </row>
    <row r="10202" spans="13:13" ht="15" customHeight="1" x14ac:dyDescent="0.25">
      <c r="M10202" s="274"/>
    </row>
    <row r="10203" spans="13:13" ht="15" customHeight="1" x14ac:dyDescent="0.25">
      <c r="M10203" s="274"/>
    </row>
    <row r="10204" spans="13:13" ht="15" customHeight="1" x14ac:dyDescent="0.25">
      <c r="M10204" s="274"/>
    </row>
    <row r="10205" spans="13:13" ht="15" customHeight="1" x14ac:dyDescent="0.25">
      <c r="M10205" s="274"/>
    </row>
    <row r="10206" spans="13:13" ht="15" customHeight="1" x14ac:dyDescent="0.25">
      <c r="M10206" s="274"/>
    </row>
    <row r="10207" spans="13:13" ht="15" customHeight="1" x14ac:dyDescent="0.25">
      <c r="M10207" s="274"/>
    </row>
    <row r="10208" spans="13:13" ht="15" customHeight="1" x14ac:dyDescent="0.25">
      <c r="M10208" s="274"/>
    </row>
    <row r="10209" spans="13:13" ht="15" customHeight="1" x14ac:dyDescent="0.25">
      <c r="M10209" s="274"/>
    </row>
    <row r="10210" spans="13:13" ht="15" customHeight="1" x14ac:dyDescent="0.25">
      <c r="M10210" s="274"/>
    </row>
    <row r="10211" spans="13:13" ht="15" customHeight="1" x14ac:dyDescent="0.25">
      <c r="M10211" s="274"/>
    </row>
    <row r="10212" spans="13:13" ht="15" customHeight="1" x14ac:dyDescent="0.25">
      <c r="M10212" s="274"/>
    </row>
    <row r="10213" spans="13:13" ht="15" customHeight="1" x14ac:dyDescent="0.25">
      <c r="M10213" s="274"/>
    </row>
    <row r="10214" spans="13:13" ht="15" customHeight="1" x14ac:dyDescent="0.25">
      <c r="M10214" s="274"/>
    </row>
    <row r="10215" spans="13:13" ht="15" customHeight="1" x14ac:dyDescent="0.25">
      <c r="M10215" s="274"/>
    </row>
    <row r="10216" spans="13:13" ht="15" customHeight="1" x14ac:dyDescent="0.25">
      <c r="M10216" s="274"/>
    </row>
    <row r="10217" spans="13:13" ht="15" customHeight="1" x14ac:dyDescent="0.25">
      <c r="M10217" s="274"/>
    </row>
    <row r="10218" spans="13:13" ht="15" customHeight="1" x14ac:dyDescent="0.25">
      <c r="M10218" s="274"/>
    </row>
    <row r="10219" spans="13:13" ht="15" customHeight="1" x14ac:dyDescent="0.25">
      <c r="M10219" s="274"/>
    </row>
    <row r="10220" spans="13:13" ht="15" customHeight="1" x14ac:dyDescent="0.25">
      <c r="M10220" s="274"/>
    </row>
    <row r="10221" spans="13:13" ht="15" customHeight="1" x14ac:dyDescent="0.25">
      <c r="M10221" s="274"/>
    </row>
    <row r="10222" spans="13:13" ht="15" customHeight="1" x14ac:dyDescent="0.25">
      <c r="M10222" s="274"/>
    </row>
    <row r="10223" spans="13:13" ht="15" customHeight="1" x14ac:dyDescent="0.25">
      <c r="M10223" s="274"/>
    </row>
    <row r="10224" spans="13:13" ht="15" customHeight="1" x14ac:dyDescent="0.25">
      <c r="M10224" s="274"/>
    </row>
    <row r="10225" spans="13:13" ht="15" customHeight="1" x14ac:dyDescent="0.25">
      <c r="M10225" s="274"/>
    </row>
    <row r="10226" spans="13:13" ht="15" customHeight="1" x14ac:dyDescent="0.25">
      <c r="M10226" s="274"/>
    </row>
    <row r="10227" spans="13:13" ht="15" customHeight="1" x14ac:dyDescent="0.25">
      <c r="M10227" s="274"/>
    </row>
    <row r="10228" spans="13:13" ht="15" customHeight="1" x14ac:dyDescent="0.25">
      <c r="M10228" s="274"/>
    </row>
    <row r="10229" spans="13:13" ht="15" customHeight="1" x14ac:dyDescent="0.25">
      <c r="M10229" s="274"/>
    </row>
    <row r="10230" spans="13:13" ht="15" customHeight="1" x14ac:dyDescent="0.25">
      <c r="M10230" s="274"/>
    </row>
    <row r="10231" spans="13:13" ht="15" customHeight="1" x14ac:dyDescent="0.25">
      <c r="M10231" s="274"/>
    </row>
    <row r="10232" spans="13:13" ht="15" customHeight="1" x14ac:dyDescent="0.25">
      <c r="M10232" s="274"/>
    </row>
    <row r="10233" spans="13:13" ht="15" customHeight="1" x14ac:dyDescent="0.25">
      <c r="M10233" s="274"/>
    </row>
    <row r="10234" spans="13:13" ht="15" customHeight="1" x14ac:dyDescent="0.25">
      <c r="M10234" s="274"/>
    </row>
    <row r="10235" spans="13:13" ht="15" customHeight="1" x14ac:dyDescent="0.25">
      <c r="M10235" s="274"/>
    </row>
    <row r="10236" spans="13:13" ht="15" customHeight="1" x14ac:dyDescent="0.25">
      <c r="M10236" s="274"/>
    </row>
    <row r="10237" spans="13:13" ht="15" customHeight="1" x14ac:dyDescent="0.25">
      <c r="M10237" s="274"/>
    </row>
    <row r="10238" spans="13:13" ht="15" customHeight="1" x14ac:dyDescent="0.25">
      <c r="M10238" s="274"/>
    </row>
    <row r="10239" spans="13:13" ht="15" customHeight="1" x14ac:dyDescent="0.25">
      <c r="M10239" s="274"/>
    </row>
    <row r="10240" spans="13:13" ht="15" customHeight="1" x14ac:dyDescent="0.25">
      <c r="M10240" s="274"/>
    </row>
    <row r="10241" spans="13:13" ht="15" customHeight="1" x14ac:dyDescent="0.25">
      <c r="M10241" s="274"/>
    </row>
    <row r="10242" spans="13:13" ht="15" customHeight="1" x14ac:dyDescent="0.25">
      <c r="M10242" s="274"/>
    </row>
    <row r="10243" spans="13:13" ht="15" customHeight="1" x14ac:dyDescent="0.25">
      <c r="M10243" s="274"/>
    </row>
    <row r="10244" spans="13:13" ht="15" customHeight="1" x14ac:dyDescent="0.25">
      <c r="M10244" s="274"/>
    </row>
    <row r="10245" spans="13:13" ht="15" customHeight="1" x14ac:dyDescent="0.25">
      <c r="M10245" s="274"/>
    </row>
    <row r="10246" spans="13:13" ht="15" customHeight="1" x14ac:dyDescent="0.25">
      <c r="M10246" s="274"/>
    </row>
    <row r="10247" spans="13:13" ht="15" customHeight="1" x14ac:dyDescent="0.25">
      <c r="M10247" s="274"/>
    </row>
    <row r="10248" spans="13:13" ht="15" customHeight="1" x14ac:dyDescent="0.25">
      <c r="M10248" s="274"/>
    </row>
    <row r="10249" spans="13:13" ht="15" customHeight="1" x14ac:dyDescent="0.25">
      <c r="M10249" s="274"/>
    </row>
    <row r="10250" spans="13:13" ht="15" customHeight="1" x14ac:dyDescent="0.25">
      <c r="M10250" s="274"/>
    </row>
    <row r="10251" spans="13:13" ht="15" customHeight="1" x14ac:dyDescent="0.25">
      <c r="M10251" s="274"/>
    </row>
    <row r="10252" spans="13:13" ht="15" customHeight="1" x14ac:dyDescent="0.25">
      <c r="M10252" s="274"/>
    </row>
    <row r="10253" spans="13:13" ht="15" customHeight="1" x14ac:dyDescent="0.25">
      <c r="M10253" s="274"/>
    </row>
    <row r="10254" spans="13:13" ht="15" customHeight="1" x14ac:dyDescent="0.25">
      <c r="M10254" s="274"/>
    </row>
    <row r="10255" spans="13:13" ht="15" customHeight="1" x14ac:dyDescent="0.25">
      <c r="M10255" s="274"/>
    </row>
    <row r="10256" spans="13:13" ht="15" customHeight="1" x14ac:dyDescent="0.25">
      <c r="M10256" s="274"/>
    </row>
    <row r="10257" spans="13:13" ht="15" customHeight="1" x14ac:dyDescent="0.25">
      <c r="M10257" s="274"/>
    </row>
    <row r="10258" spans="13:13" ht="15" customHeight="1" x14ac:dyDescent="0.25">
      <c r="M10258" s="274"/>
    </row>
    <row r="10259" spans="13:13" ht="15" customHeight="1" x14ac:dyDescent="0.25">
      <c r="M10259" s="274"/>
    </row>
    <row r="10260" spans="13:13" ht="15" customHeight="1" x14ac:dyDescent="0.25">
      <c r="M10260" s="274"/>
    </row>
    <row r="10261" spans="13:13" ht="15" customHeight="1" x14ac:dyDescent="0.25">
      <c r="M10261" s="274"/>
    </row>
    <row r="10262" spans="13:13" ht="15" customHeight="1" x14ac:dyDescent="0.25">
      <c r="M10262" s="274"/>
    </row>
    <row r="10263" spans="13:13" ht="15" customHeight="1" x14ac:dyDescent="0.25">
      <c r="M10263" s="274"/>
    </row>
    <row r="10264" spans="13:13" ht="15" customHeight="1" x14ac:dyDescent="0.25">
      <c r="M10264" s="274"/>
    </row>
    <row r="10265" spans="13:13" ht="15" customHeight="1" x14ac:dyDescent="0.25">
      <c r="M10265" s="274"/>
    </row>
    <row r="10266" spans="13:13" ht="15" customHeight="1" x14ac:dyDescent="0.25">
      <c r="M10266" s="274"/>
    </row>
    <row r="10267" spans="13:13" ht="15" customHeight="1" x14ac:dyDescent="0.25">
      <c r="M10267" s="274"/>
    </row>
    <row r="10268" spans="13:13" ht="15" customHeight="1" x14ac:dyDescent="0.25">
      <c r="M10268" s="274"/>
    </row>
    <row r="10269" spans="13:13" ht="15" customHeight="1" x14ac:dyDescent="0.25">
      <c r="M10269" s="274"/>
    </row>
    <row r="10270" spans="13:13" ht="15" customHeight="1" x14ac:dyDescent="0.25">
      <c r="M10270" s="274"/>
    </row>
    <row r="10271" spans="13:13" ht="15" customHeight="1" x14ac:dyDescent="0.25">
      <c r="M10271" s="274"/>
    </row>
    <row r="10272" spans="13:13" ht="15" customHeight="1" x14ac:dyDescent="0.25">
      <c r="M10272" s="274"/>
    </row>
    <row r="10273" spans="13:13" ht="15" customHeight="1" x14ac:dyDescent="0.25">
      <c r="M10273" s="274"/>
    </row>
    <row r="10274" spans="13:13" ht="15" customHeight="1" x14ac:dyDescent="0.25">
      <c r="M10274" s="274"/>
    </row>
    <row r="10275" spans="13:13" ht="15" customHeight="1" x14ac:dyDescent="0.25">
      <c r="M10275" s="274"/>
    </row>
    <row r="10276" spans="13:13" ht="15" customHeight="1" x14ac:dyDescent="0.25">
      <c r="M10276" s="274"/>
    </row>
    <row r="10277" spans="13:13" ht="15" customHeight="1" x14ac:dyDescent="0.25">
      <c r="M10277" s="274"/>
    </row>
    <row r="10278" spans="13:13" ht="15" customHeight="1" x14ac:dyDescent="0.25">
      <c r="M10278" s="274"/>
    </row>
    <row r="10279" spans="13:13" ht="15" customHeight="1" x14ac:dyDescent="0.25">
      <c r="M10279" s="274"/>
    </row>
    <row r="10280" spans="13:13" ht="15" customHeight="1" x14ac:dyDescent="0.25">
      <c r="M10280" s="274"/>
    </row>
    <row r="10281" spans="13:13" ht="15" customHeight="1" x14ac:dyDescent="0.25">
      <c r="M10281" s="274"/>
    </row>
    <row r="10282" spans="13:13" ht="15" customHeight="1" x14ac:dyDescent="0.25">
      <c r="M10282" s="274"/>
    </row>
    <row r="10283" spans="13:13" ht="15" customHeight="1" x14ac:dyDescent="0.25">
      <c r="M10283" s="274"/>
    </row>
    <row r="10284" spans="13:13" ht="15" customHeight="1" x14ac:dyDescent="0.25">
      <c r="M10284" s="274"/>
    </row>
    <row r="10285" spans="13:13" ht="15" customHeight="1" x14ac:dyDescent="0.25">
      <c r="M10285" s="274"/>
    </row>
    <row r="10286" spans="13:13" ht="15" customHeight="1" x14ac:dyDescent="0.25">
      <c r="M10286" s="274"/>
    </row>
    <row r="10287" spans="13:13" ht="15" customHeight="1" x14ac:dyDescent="0.25">
      <c r="M10287" s="274"/>
    </row>
    <row r="10288" spans="13:13" ht="15" customHeight="1" x14ac:dyDescent="0.25">
      <c r="M10288" s="274"/>
    </row>
    <row r="10289" spans="13:13" ht="15" customHeight="1" x14ac:dyDescent="0.25">
      <c r="M10289" s="274"/>
    </row>
    <row r="10290" spans="13:13" ht="15" customHeight="1" x14ac:dyDescent="0.25">
      <c r="M10290" s="274"/>
    </row>
    <row r="10291" spans="13:13" ht="15" customHeight="1" x14ac:dyDescent="0.25">
      <c r="M10291" s="274"/>
    </row>
    <row r="10292" spans="13:13" ht="15" customHeight="1" x14ac:dyDescent="0.25">
      <c r="M10292" s="274"/>
    </row>
    <row r="10293" spans="13:13" ht="15" customHeight="1" x14ac:dyDescent="0.25">
      <c r="M10293" s="274"/>
    </row>
    <row r="10294" spans="13:13" ht="15" customHeight="1" x14ac:dyDescent="0.25">
      <c r="M10294" s="274"/>
    </row>
    <row r="10295" spans="13:13" ht="15" customHeight="1" x14ac:dyDescent="0.25">
      <c r="M10295" s="274"/>
    </row>
    <row r="10296" spans="13:13" ht="15" customHeight="1" x14ac:dyDescent="0.25">
      <c r="M10296" s="274"/>
    </row>
    <row r="10297" spans="13:13" ht="15" customHeight="1" x14ac:dyDescent="0.25">
      <c r="M10297" s="274"/>
    </row>
    <row r="10298" spans="13:13" ht="15" customHeight="1" x14ac:dyDescent="0.25">
      <c r="M10298" s="274"/>
    </row>
    <row r="10299" spans="13:13" ht="15" customHeight="1" x14ac:dyDescent="0.25">
      <c r="M10299" s="274"/>
    </row>
    <row r="10300" spans="13:13" ht="15" customHeight="1" x14ac:dyDescent="0.25">
      <c r="M10300" s="274"/>
    </row>
    <row r="10301" spans="13:13" ht="15" customHeight="1" x14ac:dyDescent="0.25">
      <c r="M10301" s="274"/>
    </row>
    <row r="10302" spans="13:13" ht="15" customHeight="1" x14ac:dyDescent="0.25">
      <c r="M10302" s="274"/>
    </row>
    <row r="10303" spans="13:13" ht="15" customHeight="1" x14ac:dyDescent="0.25">
      <c r="M10303" s="274"/>
    </row>
    <row r="10304" spans="13:13" ht="15" customHeight="1" x14ac:dyDescent="0.25">
      <c r="M10304" s="274"/>
    </row>
    <row r="10305" spans="13:13" ht="15" customHeight="1" x14ac:dyDescent="0.25">
      <c r="M10305" s="274"/>
    </row>
    <row r="10306" spans="13:13" ht="15" customHeight="1" x14ac:dyDescent="0.25">
      <c r="M10306" s="274"/>
    </row>
    <row r="10307" spans="13:13" ht="15" customHeight="1" x14ac:dyDescent="0.25">
      <c r="M10307" s="274"/>
    </row>
    <row r="10308" spans="13:13" ht="15" customHeight="1" x14ac:dyDescent="0.25">
      <c r="M10308" s="274"/>
    </row>
    <row r="10309" spans="13:13" ht="15" customHeight="1" x14ac:dyDescent="0.25">
      <c r="M10309" s="274"/>
    </row>
    <row r="10310" spans="13:13" ht="15" customHeight="1" x14ac:dyDescent="0.25">
      <c r="M10310" s="274"/>
    </row>
    <row r="10311" spans="13:13" ht="15" customHeight="1" x14ac:dyDescent="0.25">
      <c r="M10311" s="274"/>
    </row>
    <row r="10312" spans="13:13" ht="15" customHeight="1" x14ac:dyDescent="0.25">
      <c r="M10312" s="274"/>
    </row>
    <row r="10313" spans="13:13" ht="15" customHeight="1" x14ac:dyDescent="0.25">
      <c r="M10313" s="274"/>
    </row>
    <row r="10314" spans="13:13" ht="15" customHeight="1" x14ac:dyDescent="0.25">
      <c r="M10314" s="274"/>
    </row>
    <row r="10315" spans="13:13" ht="15" customHeight="1" x14ac:dyDescent="0.25">
      <c r="M10315" s="274"/>
    </row>
    <row r="10316" spans="13:13" ht="15" customHeight="1" x14ac:dyDescent="0.25">
      <c r="M10316" s="274"/>
    </row>
    <row r="10317" spans="13:13" ht="15" customHeight="1" x14ac:dyDescent="0.25">
      <c r="M10317" s="274"/>
    </row>
    <row r="10318" spans="13:13" ht="15" customHeight="1" x14ac:dyDescent="0.25">
      <c r="M10318" s="274"/>
    </row>
    <row r="10319" spans="13:13" ht="15" customHeight="1" x14ac:dyDescent="0.25">
      <c r="M10319" s="274"/>
    </row>
    <row r="10320" spans="13:13" ht="15" customHeight="1" x14ac:dyDescent="0.25">
      <c r="M10320" s="274"/>
    </row>
    <row r="10321" spans="13:13" ht="15" customHeight="1" x14ac:dyDescent="0.25">
      <c r="M10321" s="274"/>
    </row>
    <row r="10322" spans="13:13" ht="15" customHeight="1" x14ac:dyDescent="0.25">
      <c r="M10322" s="274"/>
    </row>
    <row r="10323" spans="13:13" ht="15" customHeight="1" x14ac:dyDescent="0.25">
      <c r="M10323" s="274"/>
    </row>
    <row r="10324" spans="13:13" ht="15" customHeight="1" x14ac:dyDescent="0.25">
      <c r="M10324" s="274"/>
    </row>
    <row r="10325" spans="13:13" ht="15" customHeight="1" x14ac:dyDescent="0.25">
      <c r="M10325" s="274"/>
    </row>
    <row r="10326" spans="13:13" ht="15" customHeight="1" x14ac:dyDescent="0.25">
      <c r="M10326" s="274"/>
    </row>
    <row r="10327" spans="13:13" ht="15" customHeight="1" x14ac:dyDescent="0.25">
      <c r="M10327" s="274"/>
    </row>
    <row r="10328" spans="13:13" ht="15" customHeight="1" x14ac:dyDescent="0.25">
      <c r="M10328" s="274"/>
    </row>
    <row r="10329" spans="13:13" ht="15" customHeight="1" x14ac:dyDescent="0.25">
      <c r="M10329" s="274"/>
    </row>
    <row r="10330" spans="13:13" ht="15" customHeight="1" x14ac:dyDescent="0.25">
      <c r="M10330" s="274"/>
    </row>
    <row r="10331" spans="13:13" ht="15" customHeight="1" x14ac:dyDescent="0.25">
      <c r="M10331" s="274"/>
    </row>
    <row r="10332" spans="13:13" ht="15" customHeight="1" x14ac:dyDescent="0.25">
      <c r="M10332" s="274"/>
    </row>
    <row r="10333" spans="13:13" ht="15" customHeight="1" x14ac:dyDescent="0.25">
      <c r="M10333" s="274"/>
    </row>
    <row r="10334" spans="13:13" ht="15" customHeight="1" x14ac:dyDescent="0.25">
      <c r="M10334" s="274"/>
    </row>
    <row r="10335" spans="13:13" ht="15" customHeight="1" x14ac:dyDescent="0.25">
      <c r="M10335" s="274"/>
    </row>
    <row r="10336" spans="13:13" ht="15" customHeight="1" x14ac:dyDescent="0.25">
      <c r="M10336" s="274"/>
    </row>
    <row r="10337" spans="13:13" ht="15" customHeight="1" x14ac:dyDescent="0.25">
      <c r="M10337" s="274"/>
    </row>
    <row r="10338" spans="13:13" ht="15" customHeight="1" x14ac:dyDescent="0.25">
      <c r="M10338" s="274"/>
    </row>
    <row r="10339" spans="13:13" ht="15" customHeight="1" x14ac:dyDescent="0.25">
      <c r="M10339" s="274"/>
    </row>
    <row r="10340" spans="13:13" ht="15" customHeight="1" x14ac:dyDescent="0.25">
      <c r="M10340" s="274"/>
    </row>
    <row r="10341" spans="13:13" ht="15" customHeight="1" x14ac:dyDescent="0.25">
      <c r="M10341" s="274"/>
    </row>
    <row r="10342" spans="13:13" ht="15" customHeight="1" x14ac:dyDescent="0.25">
      <c r="M10342" s="274"/>
    </row>
    <row r="10343" spans="13:13" ht="15" customHeight="1" x14ac:dyDescent="0.25">
      <c r="M10343" s="274"/>
    </row>
    <row r="10344" spans="13:13" ht="15" customHeight="1" x14ac:dyDescent="0.25">
      <c r="M10344" s="274"/>
    </row>
    <row r="10345" spans="13:13" ht="15" customHeight="1" x14ac:dyDescent="0.25">
      <c r="M10345" s="274"/>
    </row>
    <row r="10346" spans="13:13" ht="15" customHeight="1" x14ac:dyDescent="0.25">
      <c r="M10346" s="274"/>
    </row>
    <row r="10347" spans="13:13" ht="15" customHeight="1" x14ac:dyDescent="0.25">
      <c r="M10347" s="274"/>
    </row>
    <row r="10348" spans="13:13" ht="15" customHeight="1" x14ac:dyDescent="0.25">
      <c r="M10348" s="274"/>
    </row>
    <row r="10349" spans="13:13" ht="15" customHeight="1" x14ac:dyDescent="0.25">
      <c r="M10349" s="274"/>
    </row>
    <row r="10350" spans="13:13" ht="15" customHeight="1" x14ac:dyDescent="0.25">
      <c r="M10350" s="274"/>
    </row>
    <row r="10351" spans="13:13" ht="15" customHeight="1" x14ac:dyDescent="0.25">
      <c r="M10351" s="274"/>
    </row>
    <row r="10352" spans="13:13" ht="15" customHeight="1" x14ac:dyDescent="0.25">
      <c r="M10352" s="274"/>
    </row>
    <row r="10353" spans="13:13" ht="15" customHeight="1" x14ac:dyDescent="0.25">
      <c r="M10353" s="274"/>
    </row>
    <row r="10354" spans="13:13" ht="15" customHeight="1" x14ac:dyDescent="0.25">
      <c r="M10354" s="274"/>
    </row>
    <row r="10355" spans="13:13" ht="15" customHeight="1" x14ac:dyDescent="0.25">
      <c r="M10355" s="274"/>
    </row>
    <row r="10356" spans="13:13" ht="15" customHeight="1" x14ac:dyDescent="0.25">
      <c r="M10356" s="274"/>
    </row>
    <row r="10357" spans="13:13" ht="15" customHeight="1" x14ac:dyDescent="0.25">
      <c r="M10357" s="274"/>
    </row>
    <row r="10358" spans="13:13" ht="15" customHeight="1" x14ac:dyDescent="0.25">
      <c r="M10358" s="274"/>
    </row>
    <row r="10359" spans="13:13" ht="15" customHeight="1" x14ac:dyDescent="0.25">
      <c r="M10359" s="274"/>
    </row>
    <row r="10360" spans="13:13" ht="15" customHeight="1" x14ac:dyDescent="0.25">
      <c r="M10360" s="274"/>
    </row>
    <row r="10361" spans="13:13" ht="15" customHeight="1" x14ac:dyDescent="0.25">
      <c r="M10361" s="274"/>
    </row>
    <row r="10362" spans="13:13" ht="15" customHeight="1" x14ac:dyDescent="0.25">
      <c r="M10362" s="274"/>
    </row>
    <row r="10363" spans="13:13" ht="15" customHeight="1" x14ac:dyDescent="0.25">
      <c r="M10363" s="274"/>
    </row>
    <row r="10364" spans="13:13" ht="15" customHeight="1" x14ac:dyDescent="0.25">
      <c r="M10364" s="274"/>
    </row>
    <row r="10365" spans="13:13" ht="15" customHeight="1" x14ac:dyDescent="0.25">
      <c r="M10365" s="274"/>
    </row>
    <row r="10366" spans="13:13" ht="15" customHeight="1" x14ac:dyDescent="0.25">
      <c r="M10366" s="274"/>
    </row>
    <row r="10367" spans="13:13" ht="15" customHeight="1" x14ac:dyDescent="0.25">
      <c r="M10367" s="274"/>
    </row>
    <row r="10368" spans="13:13" ht="15" customHeight="1" x14ac:dyDescent="0.25">
      <c r="M10368" s="274"/>
    </row>
    <row r="10369" spans="13:13" ht="15" customHeight="1" x14ac:dyDescent="0.25">
      <c r="M10369" s="274"/>
    </row>
    <row r="10370" spans="13:13" ht="15" customHeight="1" x14ac:dyDescent="0.25">
      <c r="M10370" s="274"/>
    </row>
    <row r="10371" spans="13:13" ht="15" customHeight="1" x14ac:dyDescent="0.25">
      <c r="M10371" s="274"/>
    </row>
    <row r="10372" spans="13:13" ht="15" customHeight="1" x14ac:dyDescent="0.25">
      <c r="M10372" s="274"/>
    </row>
    <row r="10373" spans="13:13" ht="15" customHeight="1" x14ac:dyDescent="0.25">
      <c r="M10373" s="274"/>
    </row>
    <row r="10374" spans="13:13" ht="15" customHeight="1" x14ac:dyDescent="0.25">
      <c r="M10374" s="274"/>
    </row>
    <row r="10375" spans="13:13" ht="15" customHeight="1" x14ac:dyDescent="0.25">
      <c r="M10375" s="274"/>
    </row>
    <row r="10376" spans="13:13" ht="15" customHeight="1" x14ac:dyDescent="0.25">
      <c r="M10376" s="274"/>
    </row>
    <row r="10377" spans="13:13" ht="15" customHeight="1" x14ac:dyDescent="0.25">
      <c r="M10377" s="274"/>
    </row>
    <row r="10378" spans="13:13" ht="15" customHeight="1" x14ac:dyDescent="0.25">
      <c r="M10378" s="274"/>
    </row>
    <row r="10379" spans="13:13" ht="15" customHeight="1" x14ac:dyDescent="0.25">
      <c r="M10379" s="274"/>
    </row>
    <row r="10380" spans="13:13" ht="15" customHeight="1" x14ac:dyDescent="0.25">
      <c r="M10380" s="274"/>
    </row>
    <row r="10381" spans="13:13" ht="15" customHeight="1" x14ac:dyDescent="0.25">
      <c r="M10381" s="274"/>
    </row>
    <row r="10382" spans="13:13" ht="15" customHeight="1" x14ac:dyDescent="0.25">
      <c r="M10382" s="274"/>
    </row>
    <row r="10383" spans="13:13" ht="15" customHeight="1" x14ac:dyDescent="0.25">
      <c r="M10383" s="274"/>
    </row>
    <row r="10384" spans="13:13" ht="15" customHeight="1" x14ac:dyDescent="0.25">
      <c r="M10384" s="274"/>
    </row>
    <row r="10385" spans="13:13" ht="15" customHeight="1" x14ac:dyDescent="0.25">
      <c r="M10385" s="274"/>
    </row>
    <row r="10386" spans="13:13" ht="15" customHeight="1" x14ac:dyDescent="0.25">
      <c r="M10386" s="274"/>
    </row>
    <row r="10387" spans="13:13" ht="15" customHeight="1" x14ac:dyDescent="0.25">
      <c r="M10387" s="274"/>
    </row>
    <row r="10388" spans="13:13" ht="15" customHeight="1" x14ac:dyDescent="0.25">
      <c r="M10388" s="274"/>
    </row>
    <row r="10389" spans="13:13" ht="15" customHeight="1" x14ac:dyDescent="0.25">
      <c r="M10389" s="274"/>
    </row>
    <row r="10390" spans="13:13" ht="15" customHeight="1" x14ac:dyDescent="0.25">
      <c r="M10390" s="274"/>
    </row>
    <row r="10391" spans="13:13" ht="15" customHeight="1" x14ac:dyDescent="0.25">
      <c r="M10391" s="274"/>
    </row>
    <row r="10392" spans="13:13" ht="15" customHeight="1" x14ac:dyDescent="0.25">
      <c r="M10392" s="274"/>
    </row>
    <row r="10393" spans="13:13" ht="15" customHeight="1" x14ac:dyDescent="0.25">
      <c r="M10393" s="274"/>
    </row>
    <row r="10394" spans="13:13" ht="15" customHeight="1" x14ac:dyDescent="0.25">
      <c r="M10394" s="274"/>
    </row>
    <row r="10395" spans="13:13" ht="15" customHeight="1" x14ac:dyDescent="0.25">
      <c r="M10395" s="274"/>
    </row>
    <row r="10396" spans="13:13" ht="15" customHeight="1" x14ac:dyDescent="0.25">
      <c r="M10396" s="274"/>
    </row>
    <row r="10397" spans="13:13" ht="15" customHeight="1" x14ac:dyDescent="0.25">
      <c r="M10397" s="274"/>
    </row>
    <row r="10398" spans="13:13" ht="15" customHeight="1" x14ac:dyDescent="0.25">
      <c r="M10398" s="274"/>
    </row>
    <row r="10399" spans="13:13" ht="15" customHeight="1" x14ac:dyDescent="0.25">
      <c r="M10399" s="274"/>
    </row>
    <row r="10400" spans="13:13" ht="15" customHeight="1" x14ac:dyDescent="0.25">
      <c r="M10400" s="274"/>
    </row>
    <row r="10401" spans="13:13" ht="15" customHeight="1" x14ac:dyDescent="0.25">
      <c r="M10401" s="274"/>
    </row>
    <row r="10402" spans="13:13" ht="15" customHeight="1" x14ac:dyDescent="0.25">
      <c r="M10402" s="274"/>
    </row>
    <row r="10403" spans="13:13" ht="15" customHeight="1" x14ac:dyDescent="0.25">
      <c r="M10403" s="274"/>
    </row>
    <row r="10404" spans="13:13" ht="15" customHeight="1" x14ac:dyDescent="0.25">
      <c r="M10404" s="274"/>
    </row>
    <row r="10405" spans="13:13" ht="15" customHeight="1" x14ac:dyDescent="0.25">
      <c r="M10405" s="274"/>
    </row>
    <row r="10406" spans="13:13" ht="15" customHeight="1" x14ac:dyDescent="0.25">
      <c r="M10406" s="274"/>
    </row>
    <row r="10407" spans="13:13" ht="15" customHeight="1" x14ac:dyDescent="0.25">
      <c r="M10407" s="274"/>
    </row>
    <row r="10408" spans="13:13" ht="15" customHeight="1" x14ac:dyDescent="0.25">
      <c r="M10408" s="274"/>
    </row>
    <row r="10409" spans="13:13" ht="15" customHeight="1" x14ac:dyDescent="0.25">
      <c r="M10409" s="274"/>
    </row>
    <row r="10410" spans="13:13" ht="15" customHeight="1" x14ac:dyDescent="0.25">
      <c r="M10410" s="274"/>
    </row>
    <row r="10411" spans="13:13" ht="15" customHeight="1" x14ac:dyDescent="0.25">
      <c r="M10411" s="274"/>
    </row>
    <row r="10412" spans="13:13" ht="15" customHeight="1" x14ac:dyDescent="0.25">
      <c r="M10412" s="274"/>
    </row>
    <row r="10413" spans="13:13" ht="15" customHeight="1" x14ac:dyDescent="0.25">
      <c r="M10413" s="274"/>
    </row>
    <row r="10414" spans="13:13" ht="15" customHeight="1" x14ac:dyDescent="0.25">
      <c r="M10414" s="274"/>
    </row>
    <row r="10415" spans="13:13" ht="15" customHeight="1" x14ac:dyDescent="0.25">
      <c r="M10415" s="274"/>
    </row>
    <row r="10416" spans="13:13" ht="15" customHeight="1" x14ac:dyDescent="0.25">
      <c r="M10416" s="274"/>
    </row>
    <row r="10417" spans="13:13" ht="15" customHeight="1" x14ac:dyDescent="0.25">
      <c r="M10417" s="274"/>
    </row>
    <row r="10418" spans="13:13" ht="15" customHeight="1" x14ac:dyDescent="0.25">
      <c r="M10418" s="274"/>
    </row>
    <row r="10419" spans="13:13" ht="15" customHeight="1" x14ac:dyDescent="0.25">
      <c r="M10419" s="274"/>
    </row>
    <row r="10420" spans="13:13" ht="15" customHeight="1" x14ac:dyDescent="0.25">
      <c r="M10420" s="274"/>
    </row>
    <row r="10421" spans="13:13" ht="15" customHeight="1" x14ac:dyDescent="0.25">
      <c r="M10421" s="274"/>
    </row>
    <row r="10422" spans="13:13" ht="15" customHeight="1" x14ac:dyDescent="0.25">
      <c r="M10422" s="274"/>
    </row>
    <row r="10423" spans="13:13" ht="15" customHeight="1" x14ac:dyDescent="0.25">
      <c r="M10423" s="274"/>
    </row>
    <row r="10424" spans="13:13" ht="15" customHeight="1" x14ac:dyDescent="0.25">
      <c r="M10424" s="274"/>
    </row>
    <row r="10425" spans="13:13" ht="15" customHeight="1" x14ac:dyDescent="0.25">
      <c r="M10425" s="274"/>
    </row>
    <row r="10426" spans="13:13" ht="15" customHeight="1" x14ac:dyDescent="0.25">
      <c r="M10426" s="274"/>
    </row>
    <row r="10427" spans="13:13" ht="15" customHeight="1" x14ac:dyDescent="0.25">
      <c r="M10427" s="274"/>
    </row>
    <row r="10428" spans="13:13" ht="15" customHeight="1" x14ac:dyDescent="0.25">
      <c r="M10428" s="274"/>
    </row>
    <row r="10429" spans="13:13" ht="15" customHeight="1" x14ac:dyDescent="0.25">
      <c r="M10429" s="274"/>
    </row>
    <row r="10430" spans="13:13" ht="15" customHeight="1" x14ac:dyDescent="0.25">
      <c r="M10430" s="274"/>
    </row>
    <row r="10431" spans="13:13" ht="15" customHeight="1" x14ac:dyDescent="0.25">
      <c r="M10431" s="274"/>
    </row>
    <row r="10432" spans="13:13" ht="15" customHeight="1" x14ac:dyDescent="0.25">
      <c r="M10432" s="274"/>
    </row>
    <row r="10433" spans="13:13" ht="15" customHeight="1" x14ac:dyDescent="0.25">
      <c r="M10433" s="274"/>
    </row>
    <row r="10434" spans="13:13" ht="15" customHeight="1" x14ac:dyDescent="0.25">
      <c r="M10434" s="274"/>
    </row>
    <row r="10435" spans="13:13" ht="15" customHeight="1" x14ac:dyDescent="0.25">
      <c r="M10435" s="274"/>
    </row>
    <row r="10436" spans="13:13" ht="15" customHeight="1" x14ac:dyDescent="0.25">
      <c r="M10436" s="274"/>
    </row>
    <row r="10437" spans="13:13" ht="15" customHeight="1" x14ac:dyDescent="0.25">
      <c r="M10437" s="274"/>
    </row>
    <row r="10438" spans="13:13" ht="15" customHeight="1" x14ac:dyDescent="0.25">
      <c r="M10438" s="274"/>
    </row>
    <row r="10439" spans="13:13" ht="15" customHeight="1" x14ac:dyDescent="0.25">
      <c r="M10439" s="274"/>
    </row>
    <row r="10440" spans="13:13" ht="15" customHeight="1" x14ac:dyDescent="0.25">
      <c r="M10440" s="274"/>
    </row>
    <row r="10441" spans="13:13" ht="15" customHeight="1" x14ac:dyDescent="0.25">
      <c r="M10441" s="274"/>
    </row>
    <row r="10442" spans="13:13" ht="15" customHeight="1" x14ac:dyDescent="0.25">
      <c r="M10442" s="274"/>
    </row>
    <row r="10443" spans="13:13" ht="15" customHeight="1" x14ac:dyDescent="0.25">
      <c r="M10443" s="274"/>
    </row>
    <row r="10444" spans="13:13" ht="15" customHeight="1" x14ac:dyDescent="0.25">
      <c r="M10444" s="274"/>
    </row>
    <row r="10445" spans="13:13" ht="15" customHeight="1" x14ac:dyDescent="0.25">
      <c r="M10445" s="274"/>
    </row>
    <row r="10446" spans="13:13" ht="15" customHeight="1" x14ac:dyDescent="0.25">
      <c r="M10446" s="274"/>
    </row>
    <row r="10447" spans="13:13" ht="15" customHeight="1" x14ac:dyDescent="0.25">
      <c r="M10447" s="274"/>
    </row>
    <row r="10448" spans="13:13" ht="15" customHeight="1" x14ac:dyDescent="0.25">
      <c r="M10448" s="274"/>
    </row>
    <row r="10449" spans="13:13" ht="15" customHeight="1" x14ac:dyDescent="0.25">
      <c r="M10449" s="274"/>
    </row>
    <row r="10450" spans="13:13" ht="15" customHeight="1" x14ac:dyDescent="0.25">
      <c r="M10450" s="274"/>
    </row>
    <row r="10451" spans="13:13" ht="15" customHeight="1" x14ac:dyDescent="0.25">
      <c r="M10451" s="274"/>
    </row>
    <row r="10452" spans="13:13" ht="15" customHeight="1" x14ac:dyDescent="0.25">
      <c r="M10452" s="274"/>
    </row>
    <row r="10453" spans="13:13" ht="15" customHeight="1" x14ac:dyDescent="0.25">
      <c r="M10453" s="274"/>
    </row>
    <row r="10454" spans="13:13" ht="15" customHeight="1" x14ac:dyDescent="0.25">
      <c r="M10454" s="274"/>
    </row>
    <row r="10455" spans="13:13" ht="15" customHeight="1" x14ac:dyDescent="0.25">
      <c r="M10455" s="274"/>
    </row>
    <row r="10456" spans="13:13" ht="15" customHeight="1" x14ac:dyDescent="0.25">
      <c r="M10456" s="274"/>
    </row>
    <row r="10457" spans="13:13" ht="15" customHeight="1" x14ac:dyDescent="0.25">
      <c r="M10457" s="274"/>
    </row>
    <row r="10458" spans="13:13" ht="15" customHeight="1" x14ac:dyDescent="0.25">
      <c r="M10458" s="274"/>
    </row>
    <row r="10459" spans="13:13" ht="15" customHeight="1" x14ac:dyDescent="0.25">
      <c r="M10459" s="274"/>
    </row>
    <row r="10460" spans="13:13" ht="15" customHeight="1" x14ac:dyDescent="0.25">
      <c r="M10460" s="274"/>
    </row>
    <row r="10461" spans="13:13" ht="15" customHeight="1" x14ac:dyDescent="0.25">
      <c r="M10461" s="274"/>
    </row>
    <row r="10462" spans="13:13" ht="15" customHeight="1" x14ac:dyDescent="0.25">
      <c r="M10462" s="274"/>
    </row>
    <row r="10463" spans="13:13" ht="15" customHeight="1" x14ac:dyDescent="0.25">
      <c r="M10463" s="274"/>
    </row>
    <row r="10464" spans="13:13" ht="15" customHeight="1" x14ac:dyDescent="0.25">
      <c r="M10464" s="274"/>
    </row>
    <row r="10465" spans="13:13" ht="15" customHeight="1" x14ac:dyDescent="0.25">
      <c r="M10465" s="274"/>
    </row>
    <row r="10466" spans="13:13" ht="15" customHeight="1" x14ac:dyDescent="0.25">
      <c r="M10466" s="274"/>
    </row>
    <row r="10467" spans="13:13" ht="15" customHeight="1" x14ac:dyDescent="0.25">
      <c r="M10467" s="274"/>
    </row>
    <row r="10468" spans="13:13" ht="15" customHeight="1" x14ac:dyDescent="0.25">
      <c r="M10468" s="274"/>
    </row>
    <row r="10469" spans="13:13" ht="15" customHeight="1" x14ac:dyDescent="0.25">
      <c r="M10469" s="274"/>
    </row>
    <row r="10470" spans="13:13" ht="15" customHeight="1" x14ac:dyDescent="0.25">
      <c r="M10470" s="274"/>
    </row>
    <row r="10471" spans="13:13" ht="15" customHeight="1" x14ac:dyDescent="0.25">
      <c r="M10471" s="274"/>
    </row>
    <row r="10472" spans="13:13" ht="15" customHeight="1" x14ac:dyDescent="0.25">
      <c r="M10472" s="274"/>
    </row>
    <row r="10473" spans="13:13" ht="15" customHeight="1" x14ac:dyDescent="0.25">
      <c r="M10473" s="274"/>
    </row>
    <row r="10474" spans="13:13" ht="15" customHeight="1" x14ac:dyDescent="0.25">
      <c r="M10474" s="274"/>
    </row>
    <row r="10475" spans="13:13" ht="15" customHeight="1" x14ac:dyDescent="0.25">
      <c r="M10475" s="274"/>
    </row>
    <row r="10476" spans="13:13" ht="15" customHeight="1" x14ac:dyDescent="0.25">
      <c r="M10476" s="274"/>
    </row>
    <row r="10477" spans="13:13" ht="15" customHeight="1" x14ac:dyDescent="0.25">
      <c r="M10477" s="274"/>
    </row>
    <row r="10478" spans="13:13" ht="15" customHeight="1" x14ac:dyDescent="0.25">
      <c r="M10478" s="274"/>
    </row>
    <row r="10479" spans="13:13" ht="15" customHeight="1" x14ac:dyDescent="0.25">
      <c r="M10479" s="274"/>
    </row>
    <row r="10480" spans="13:13" ht="15" customHeight="1" x14ac:dyDescent="0.25">
      <c r="M10480" s="274"/>
    </row>
    <row r="10481" spans="13:13" ht="15" customHeight="1" x14ac:dyDescent="0.25">
      <c r="M10481" s="274"/>
    </row>
    <row r="10482" spans="13:13" ht="15" customHeight="1" x14ac:dyDescent="0.25">
      <c r="M10482" s="274"/>
    </row>
    <row r="10483" spans="13:13" ht="15" customHeight="1" x14ac:dyDescent="0.25">
      <c r="M10483" s="274"/>
    </row>
    <row r="10484" spans="13:13" ht="15" customHeight="1" x14ac:dyDescent="0.25">
      <c r="M10484" s="274"/>
    </row>
    <row r="10485" spans="13:13" ht="15" customHeight="1" x14ac:dyDescent="0.25">
      <c r="M10485" s="274"/>
    </row>
    <row r="10486" spans="13:13" ht="15" customHeight="1" x14ac:dyDescent="0.25">
      <c r="M10486" s="274"/>
    </row>
    <row r="10487" spans="13:13" ht="15" customHeight="1" x14ac:dyDescent="0.25">
      <c r="M10487" s="274"/>
    </row>
    <row r="10488" spans="13:13" ht="15" customHeight="1" x14ac:dyDescent="0.25">
      <c r="M10488" s="274"/>
    </row>
    <row r="10489" spans="13:13" ht="15" customHeight="1" x14ac:dyDescent="0.25">
      <c r="M10489" s="274"/>
    </row>
    <row r="10490" spans="13:13" ht="15" customHeight="1" x14ac:dyDescent="0.25">
      <c r="M10490" s="274"/>
    </row>
    <row r="10491" spans="13:13" ht="15" customHeight="1" x14ac:dyDescent="0.25">
      <c r="M10491" s="274"/>
    </row>
    <row r="10492" spans="13:13" ht="15" customHeight="1" x14ac:dyDescent="0.25">
      <c r="M10492" s="274"/>
    </row>
    <row r="10493" spans="13:13" ht="15" customHeight="1" x14ac:dyDescent="0.25">
      <c r="M10493" s="274"/>
    </row>
    <row r="10494" spans="13:13" ht="15" customHeight="1" x14ac:dyDescent="0.25">
      <c r="M10494" s="274"/>
    </row>
    <row r="10495" spans="13:13" ht="15" customHeight="1" x14ac:dyDescent="0.25">
      <c r="M10495" s="274"/>
    </row>
    <row r="10496" spans="13:13" ht="15" customHeight="1" x14ac:dyDescent="0.25">
      <c r="M10496" s="274"/>
    </row>
    <row r="10497" spans="13:13" ht="15" customHeight="1" x14ac:dyDescent="0.25">
      <c r="M10497" s="274"/>
    </row>
    <row r="10498" spans="13:13" ht="15" customHeight="1" x14ac:dyDescent="0.25">
      <c r="M10498" s="274"/>
    </row>
    <row r="10499" spans="13:13" ht="15" customHeight="1" x14ac:dyDescent="0.25">
      <c r="M10499" s="274"/>
    </row>
    <row r="10500" spans="13:13" ht="15" customHeight="1" x14ac:dyDescent="0.25">
      <c r="M10500" s="274"/>
    </row>
    <row r="10501" spans="13:13" ht="15" customHeight="1" x14ac:dyDescent="0.25">
      <c r="M10501" s="274"/>
    </row>
    <row r="10502" spans="13:13" ht="15" customHeight="1" x14ac:dyDescent="0.25">
      <c r="M10502" s="274"/>
    </row>
    <row r="10503" spans="13:13" ht="15" customHeight="1" x14ac:dyDescent="0.25">
      <c r="M10503" s="274"/>
    </row>
    <row r="10504" spans="13:13" ht="15" customHeight="1" x14ac:dyDescent="0.25">
      <c r="M10504" s="274"/>
    </row>
    <row r="10505" spans="13:13" ht="15" customHeight="1" x14ac:dyDescent="0.25">
      <c r="M10505" s="274"/>
    </row>
    <row r="10506" spans="13:13" ht="15" customHeight="1" x14ac:dyDescent="0.25">
      <c r="M10506" s="274"/>
    </row>
    <row r="10507" spans="13:13" ht="15" customHeight="1" x14ac:dyDescent="0.25">
      <c r="M10507" s="274"/>
    </row>
    <row r="10508" spans="13:13" ht="15" customHeight="1" x14ac:dyDescent="0.25">
      <c r="M10508" s="274"/>
    </row>
    <row r="10509" spans="13:13" ht="15" customHeight="1" x14ac:dyDescent="0.25">
      <c r="M10509" s="274"/>
    </row>
    <row r="10510" spans="13:13" ht="15" customHeight="1" x14ac:dyDescent="0.25">
      <c r="M10510" s="274"/>
    </row>
    <row r="10511" spans="13:13" ht="15" customHeight="1" x14ac:dyDescent="0.25">
      <c r="M10511" s="274"/>
    </row>
    <row r="10512" spans="13:13" ht="15" customHeight="1" x14ac:dyDescent="0.25">
      <c r="M10512" s="274"/>
    </row>
    <row r="10513" spans="13:13" ht="15" customHeight="1" x14ac:dyDescent="0.25">
      <c r="M10513" s="274"/>
    </row>
    <row r="10514" spans="13:13" ht="15" customHeight="1" x14ac:dyDescent="0.25">
      <c r="M10514" s="274"/>
    </row>
    <row r="10515" spans="13:13" ht="15" customHeight="1" x14ac:dyDescent="0.25">
      <c r="M10515" s="274"/>
    </row>
    <row r="10516" spans="13:13" ht="15" customHeight="1" x14ac:dyDescent="0.25">
      <c r="M10516" s="274"/>
    </row>
    <row r="10517" spans="13:13" ht="15" customHeight="1" x14ac:dyDescent="0.25">
      <c r="M10517" s="274"/>
    </row>
    <row r="10518" spans="13:13" ht="15" customHeight="1" x14ac:dyDescent="0.25">
      <c r="M10518" s="274"/>
    </row>
    <row r="10519" spans="13:13" ht="15" customHeight="1" x14ac:dyDescent="0.25">
      <c r="M10519" s="274"/>
    </row>
    <row r="10520" spans="13:13" ht="15" customHeight="1" x14ac:dyDescent="0.25">
      <c r="M10520" s="274"/>
    </row>
    <row r="10521" spans="13:13" ht="15" customHeight="1" x14ac:dyDescent="0.25">
      <c r="M10521" s="274"/>
    </row>
    <row r="10522" spans="13:13" ht="15" customHeight="1" x14ac:dyDescent="0.25">
      <c r="M10522" s="274"/>
    </row>
    <row r="10523" spans="13:13" ht="15" customHeight="1" x14ac:dyDescent="0.25">
      <c r="M10523" s="274"/>
    </row>
    <row r="10524" spans="13:13" ht="15" customHeight="1" x14ac:dyDescent="0.25">
      <c r="M10524" s="274"/>
    </row>
    <row r="10525" spans="13:13" ht="15" customHeight="1" x14ac:dyDescent="0.25">
      <c r="M10525" s="274"/>
    </row>
    <row r="10526" spans="13:13" ht="15" customHeight="1" x14ac:dyDescent="0.25">
      <c r="M10526" s="274"/>
    </row>
    <row r="10527" spans="13:13" ht="15" customHeight="1" x14ac:dyDescent="0.25">
      <c r="M10527" s="274"/>
    </row>
    <row r="10528" spans="13:13" ht="15" customHeight="1" x14ac:dyDescent="0.25">
      <c r="M10528" s="274"/>
    </row>
    <row r="10529" spans="13:13" ht="15" customHeight="1" x14ac:dyDescent="0.25">
      <c r="M10529" s="274"/>
    </row>
    <row r="10530" spans="13:13" ht="15" customHeight="1" x14ac:dyDescent="0.25">
      <c r="M10530" s="274"/>
    </row>
    <row r="10531" spans="13:13" ht="15" customHeight="1" x14ac:dyDescent="0.25">
      <c r="M10531" s="274"/>
    </row>
    <row r="10532" spans="13:13" ht="15" customHeight="1" x14ac:dyDescent="0.25">
      <c r="M10532" s="274"/>
    </row>
    <row r="10533" spans="13:13" ht="15" customHeight="1" x14ac:dyDescent="0.25">
      <c r="M10533" s="274"/>
    </row>
    <row r="10534" spans="13:13" ht="15" customHeight="1" x14ac:dyDescent="0.25">
      <c r="M10534" s="274"/>
    </row>
    <row r="10535" spans="13:13" ht="15" customHeight="1" x14ac:dyDescent="0.25">
      <c r="M10535" s="274"/>
    </row>
    <row r="10536" spans="13:13" ht="15" customHeight="1" x14ac:dyDescent="0.25">
      <c r="M10536" s="274"/>
    </row>
    <row r="10537" spans="13:13" ht="15" customHeight="1" x14ac:dyDescent="0.25">
      <c r="M10537" s="274"/>
    </row>
    <row r="10538" spans="13:13" ht="15" customHeight="1" x14ac:dyDescent="0.25">
      <c r="M10538" s="274"/>
    </row>
    <row r="10539" spans="13:13" ht="15" customHeight="1" x14ac:dyDescent="0.25">
      <c r="M10539" s="274"/>
    </row>
    <row r="10540" spans="13:13" ht="15" customHeight="1" x14ac:dyDescent="0.25">
      <c r="M10540" s="274"/>
    </row>
    <row r="10541" spans="13:13" ht="15" customHeight="1" x14ac:dyDescent="0.25">
      <c r="M10541" s="274"/>
    </row>
    <row r="10542" spans="13:13" ht="15" customHeight="1" x14ac:dyDescent="0.25">
      <c r="M10542" s="274"/>
    </row>
    <row r="10543" spans="13:13" ht="15" customHeight="1" x14ac:dyDescent="0.25">
      <c r="M10543" s="274"/>
    </row>
    <row r="10544" spans="13:13" ht="15" customHeight="1" x14ac:dyDescent="0.25">
      <c r="M10544" s="274"/>
    </row>
    <row r="10545" spans="13:13" ht="15" customHeight="1" x14ac:dyDescent="0.25">
      <c r="M10545" s="274"/>
    </row>
    <row r="10546" spans="13:13" ht="15" customHeight="1" x14ac:dyDescent="0.25">
      <c r="M10546" s="274"/>
    </row>
    <row r="10547" spans="13:13" ht="15" customHeight="1" x14ac:dyDescent="0.25">
      <c r="M10547" s="274"/>
    </row>
    <row r="10548" spans="13:13" ht="15" customHeight="1" x14ac:dyDescent="0.25">
      <c r="M10548" s="274"/>
    </row>
    <row r="10549" spans="13:13" ht="15" customHeight="1" x14ac:dyDescent="0.25">
      <c r="M10549" s="274"/>
    </row>
    <row r="10550" spans="13:13" ht="15" customHeight="1" x14ac:dyDescent="0.25">
      <c r="M10550" s="274"/>
    </row>
    <row r="10551" spans="13:13" ht="15" customHeight="1" x14ac:dyDescent="0.25">
      <c r="M10551" s="274"/>
    </row>
    <row r="10552" spans="13:13" ht="15" customHeight="1" x14ac:dyDescent="0.25">
      <c r="M10552" s="274"/>
    </row>
    <row r="10553" spans="13:13" ht="15" customHeight="1" x14ac:dyDescent="0.25">
      <c r="M10553" s="274"/>
    </row>
    <row r="10554" spans="13:13" ht="15" customHeight="1" x14ac:dyDescent="0.25">
      <c r="M10554" s="274"/>
    </row>
    <row r="10555" spans="13:13" ht="15" customHeight="1" x14ac:dyDescent="0.25">
      <c r="M10555" s="274"/>
    </row>
    <row r="10556" spans="13:13" ht="15" customHeight="1" x14ac:dyDescent="0.25">
      <c r="M10556" s="274"/>
    </row>
    <row r="10557" spans="13:13" ht="15" customHeight="1" x14ac:dyDescent="0.25">
      <c r="M10557" s="274"/>
    </row>
    <row r="10558" spans="13:13" ht="15" customHeight="1" x14ac:dyDescent="0.25">
      <c r="M10558" s="274"/>
    </row>
    <row r="10559" spans="13:13" ht="15" customHeight="1" x14ac:dyDescent="0.25">
      <c r="M10559" s="274"/>
    </row>
    <row r="10560" spans="13:13" ht="15" customHeight="1" x14ac:dyDescent="0.25">
      <c r="M10560" s="274"/>
    </row>
    <row r="10561" spans="13:13" ht="15" customHeight="1" x14ac:dyDescent="0.25">
      <c r="M10561" s="274"/>
    </row>
    <row r="10562" spans="13:13" ht="15" customHeight="1" x14ac:dyDescent="0.25">
      <c r="M10562" s="274"/>
    </row>
    <row r="10563" spans="13:13" ht="15" customHeight="1" x14ac:dyDescent="0.25">
      <c r="M10563" s="274"/>
    </row>
    <row r="10564" spans="13:13" ht="15" customHeight="1" x14ac:dyDescent="0.25">
      <c r="M10564" s="274"/>
    </row>
    <row r="10565" spans="13:13" ht="15" customHeight="1" x14ac:dyDescent="0.25">
      <c r="M10565" s="274"/>
    </row>
    <row r="10566" spans="13:13" ht="15" customHeight="1" x14ac:dyDescent="0.25">
      <c r="M10566" s="274"/>
    </row>
    <row r="10567" spans="13:13" ht="15" customHeight="1" x14ac:dyDescent="0.25">
      <c r="M10567" s="274"/>
    </row>
    <row r="10568" spans="13:13" ht="15" customHeight="1" x14ac:dyDescent="0.25">
      <c r="M10568" s="274"/>
    </row>
    <row r="10569" spans="13:13" ht="15" customHeight="1" x14ac:dyDescent="0.25">
      <c r="M10569" s="274"/>
    </row>
    <row r="10570" spans="13:13" ht="15" customHeight="1" x14ac:dyDescent="0.25">
      <c r="M10570" s="274"/>
    </row>
    <row r="10571" spans="13:13" ht="15" customHeight="1" x14ac:dyDescent="0.25">
      <c r="M10571" s="274"/>
    </row>
    <row r="10572" spans="13:13" ht="15" customHeight="1" x14ac:dyDescent="0.25">
      <c r="M10572" s="274"/>
    </row>
    <row r="10573" spans="13:13" ht="15" customHeight="1" x14ac:dyDescent="0.25">
      <c r="M10573" s="274"/>
    </row>
    <row r="10574" spans="13:13" ht="15" customHeight="1" x14ac:dyDescent="0.25">
      <c r="M10574" s="274"/>
    </row>
    <row r="10575" spans="13:13" ht="15" customHeight="1" x14ac:dyDescent="0.25">
      <c r="M10575" s="274"/>
    </row>
    <row r="10576" spans="13:13" ht="15" customHeight="1" x14ac:dyDescent="0.25">
      <c r="M10576" s="274"/>
    </row>
    <row r="10577" spans="13:13" ht="15" customHeight="1" x14ac:dyDescent="0.25">
      <c r="M10577" s="274"/>
    </row>
    <row r="10578" spans="13:13" ht="15" customHeight="1" x14ac:dyDescent="0.25">
      <c r="M10578" s="274"/>
    </row>
    <row r="10579" spans="13:13" ht="15" customHeight="1" x14ac:dyDescent="0.25">
      <c r="M10579" s="274"/>
    </row>
    <row r="10580" spans="13:13" ht="15" customHeight="1" x14ac:dyDescent="0.25">
      <c r="M10580" s="274"/>
    </row>
    <row r="10581" spans="13:13" ht="15" customHeight="1" x14ac:dyDescent="0.25">
      <c r="M10581" s="274"/>
    </row>
    <row r="10582" spans="13:13" ht="15" customHeight="1" x14ac:dyDescent="0.25">
      <c r="M10582" s="274"/>
    </row>
    <row r="10583" spans="13:13" ht="15" customHeight="1" x14ac:dyDescent="0.25">
      <c r="M10583" s="274"/>
    </row>
    <row r="10584" spans="13:13" ht="15" customHeight="1" x14ac:dyDescent="0.25">
      <c r="M10584" s="274"/>
    </row>
    <row r="10585" spans="13:13" ht="15" customHeight="1" x14ac:dyDescent="0.25">
      <c r="M10585" s="274"/>
    </row>
    <row r="10586" spans="13:13" ht="15" customHeight="1" x14ac:dyDescent="0.25">
      <c r="M10586" s="274"/>
    </row>
    <row r="10587" spans="13:13" ht="15" customHeight="1" x14ac:dyDescent="0.25">
      <c r="M10587" s="274"/>
    </row>
    <row r="10588" spans="13:13" ht="15" customHeight="1" x14ac:dyDescent="0.25">
      <c r="M10588" s="274"/>
    </row>
    <row r="10589" spans="13:13" ht="15" customHeight="1" x14ac:dyDescent="0.25">
      <c r="M10589" s="274"/>
    </row>
    <row r="10590" spans="13:13" ht="15" customHeight="1" x14ac:dyDescent="0.25">
      <c r="M10590" s="274"/>
    </row>
    <row r="10591" spans="13:13" ht="15" customHeight="1" x14ac:dyDescent="0.25">
      <c r="M10591" s="274"/>
    </row>
    <row r="10592" spans="13:13" ht="15" customHeight="1" x14ac:dyDescent="0.25">
      <c r="M10592" s="274"/>
    </row>
    <row r="10593" spans="13:13" ht="15" customHeight="1" x14ac:dyDescent="0.25">
      <c r="M10593" s="274"/>
    </row>
    <row r="10594" spans="13:13" ht="15" customHeight="1" x14ac:dyDescent="0.25">
      <c r="M10594" s="274"/>
    </row>
    <row r="10595" spans="13:13" ht="15" customHeight="1" x14ac:dyDescent="0.25">
      <c r="M10595" s="274"/>
    </row>
    <row r="10596" spans="13:13" ht="15" customHeight="1" x14ac:dyDescent="0.25">
      <c r="M10596" s="274"/>
    </row>
    <row r="10597" spans="13:13" ht="15" customHeight="1" x14ac:dyDescent="0.25">
      <c r="M10597" s="274"/>
    </row>
    <row r="10598" spans="13:13" ht="15" customHeight="1" x14ac:dyDescent="0.25">
      <c r="M10598" s="274"/>
    </row>
    <row r="10599" spans="13:13" ht="15" customHeight="1" x14ac:dyDescent="0.25">
      <c r="M10599" s="274"/>
    </row>
    <row r="10600" spans="13:13" ht="15" customHeight="1" x14ac:dyDescent="0.25">
      <c r="M10600" s="274"/>
    </row>
    <row r="10601" spans="13:13" ht="15" customHeight="1" x14ac:dyDescent="0.25">
      <c r="M10601" s="274"/>
    </row>
    <row r="10602" spans="13:13" ht="15" customHeight="1" x14ac:dyDescent="0.25">
      <c r="M10602" s="274"/>
    </row>
    <row r="10603" spans="13:13" ht="15" customHeight="1" x14ac:dyDescent="0.25">
      <c r="M10603" s="274"/>
    </row>
    <row r="10604" spans="13:13" ht="15" customHeight="1" x14ac:dyDescent="0.25">
      <c r="M10604" s="274"/>
    </row>
    <row r="10605" spans="13:13" ht="15" customHeight="1" x14ac:dyDescent="0.25">
      <c r="M10605" s="274"/>
    </row>
    <row r="10606" spans="13:13" ht="15" customHeight="1" x14ac:dyDescent="0.25">
      <c r="M10606" s="274"/>
    </row>
    <row r="10607" spans="13:13" ht="15" customHeight="1" x14ac:dyDescent="0.25">
      <c r="M10607" s="274"/>
    </row>
    <row r="10608" spans="13:13" ht="15" customHeight="1" x14ac:dyDescent="0.25">
      <c r="M10608" s="274"/>
    </row>
    <row r="10609" spans="13:13" ht="15" customHeight="1" x14ac:dyDescent="0.25">
      <c r="M10609" s="274"/>
    </row>
    <row r="10610" spans="13:13" ht="15" customHeight="1" x14ac:dyDescent="0.25">
      <c r="M10610" s="274"/>
    </row>
    <row r="10611" spans="13:13" ht="15" customHeight="1" x14ac:dyDescent="0.25">
      <c r="M10611" s="274"/>
    </row>
    <row r="10612" spans="13:13" ht="15" customHeight="1" x14ac:dyDescent="0.25">
      <c r="M10612" s="274"/>
    </row>
    <row r="10613" spans="13:13" ht="15" customHeight="1" x14ac:dyDescent="0.25">
      <c r="M10613" s="274"/>
    </row>
    <row r="10614" spans="13:13" ht="15" customHeight="1" x14ac:dyDescent="0.25">
      <c r="M10614" s="274"/>
    </row>
    <row r="10615" spans="13:13" ht="15" customHeight="1" x14ac:dyDescent="0.25">
      <c r="M10615" s="274"/>
    </row>
    <row r="10616" spans="13:13" ht="15" customHeight="1" x14ac:dyDescent="0.25">
      <c r="M10616" s="274"/>
    </row>
    <row r="10617" spans="13:13" ht="15" customHeight="1" x14ac:dyDescent="0.25">
      <c r="M10617" s="274"/>
    </row>
    <row r="10618" spans="13:13" ht="15" customHeight="1" x14ac:dyDescent="0.25">
      <c r="M10618" s="274"/>
    </row>
    <row r="10619" spans="13:13" ht="15" customHeight="1" x14ac:dyDescent="0.25">
      <c r="M10619" s="274"/>
    </row>
    <row r="10620" spans="13:13" ht="15" customHeight="1" x14ac:dyDescent="0.25">
      <c r="M10620" s="274"/>
    </row>
    <row r="10621" spans="13:13" ht="15" customHeight="1" x14ac:dyDescent="0.25">
      <c r="M10621" s="274"/>
    </row>
    <row r="10622" spans="13:13" ht="15" customHeight="1" x14ac:dyDescent="0.25">
      <c r="M10622" s="274"/>
    </row>
    <row r="10623" spans="13:13" ht="15" customHeight="1" x14ac:dyDescent="0.25">
      <c r="M10623" s="274"/>
    </row>
    <row r="10624" spans="13:13" ht="15" customHeight="1" x14ac:dyDescent="0.25">
      <c r="M10624" s="274"/>
    </row>
    <row r="10625" spans="13:13" ht="15" customHeight="1" x14ac:dyDescent="0.25">
      <c r="M10625" s="274"/>
    </row>
    <row r="10626" spans="13:13" ht="15" customHeight="1" x14ac:dyDescent="0.25">
      <c r="M10626" s="274"/>
    </row>
    <row r="10627" spans="13:13" ht="15" customHeight="1" x14ac:dyDescent="0.25">
      <c r="M10627" s="274"/>
    </row>
    <row r="10628" spans="13:13" ht="15" customHeight="1" x14ac:dyDescent="0.25">
      <c r="M10628" s="274"/>
    </row>
    <row r="10629" spans="13:13" ht="15" customHeight="1" x14ac:dyDescent="0.25">
      <c r="M10629" s="274"/>
    </row>
    <row r="10630" spans="13:13" ht="15" customHeight="1" x14ac:dyDescent="0.25">
      <c r="M10630" s="274"/>
    </row>
    <row r="10631" spans="13:13" ht="15" customHeight="1" x14ac:dyDescent="0.25">
      <c r="M10631" s="274"/>
    </row>
    <row r="10632" spans="13:13" ht="15" customHeight="1" x14ac:dyDescent="0.25">
      <c r="M10632" s="274"/>
    </row>
    <row r="10633" spans="13:13" ht="15" customHeight="1" x14ac:dyDescent="0.25">
      <c r="M10633" s="274"/>
    </row>
    <row r="10634" spans="13:13" ht="15" customHeight="1" x14ac:dyDescent="0.25">
      <c r="M10634" s="274"/>
    </row>
    <row r="10635" spans="13:13" ht="15" customHeight="1" x14ac:dyDescent="0.25">
      <c r="M10635" s="274"/>
    </row>
    <row r="10636" spans="13:13" ht="15" customHeight="1" x14ac:dyDescent="0.25">
      <c r="M10636" s="274"/>
    </row>
    <row r="10637" spans="13:13" ht="15" customHeight="1" x14ac:dyDescent="0.25">
      <c r="M10637" s="274"/>
    </row>
    <row r="10638" spans="13:13" ht="15" customHeight="1" x14ac:dyDescent="0.25">
      <c r="M10638" s="274"/>
    </row>
    <row r="10639" spans="13:13" ht="15" customHeight="1" x14ac:dyDescent="0.25">
      <c r="M10639" s="274"/>
    </row>
    <row r="10640" spans="13:13" ht="15" customHeight="1" x14ac:dyDescent="0.25">
      <c r="M10640" s="274"/>
    </row>
    <row r="10641" spans="13:13" ht="15" customHeight="1" x14ac:dyDescent="0.25">
      <c r="M10641" s="274"/>
    </row>
    <row r="10642" spans="13:13" ht="15" customHeight="1" x14ac:dyDescent="0.25">
      <c r="M10642" s="274"/>
    </row>
    <row r="10643" spans="13:13" ht="15" customHeight="1" x14ac:dyDescent="0.25">
      <c r="M10643" s="274"/>
    </row>
    <row r="10644" spans="13:13" ht="15" customHeight="1" x14ac:dyDescent="0.25">
      <c r="M10644" s="274"/>
    </row>
    <row r="10645" spans="13:13" ht="15" customHeight="1" x14ac:dyDescent="0.25">
      <c r="M10645" s="274"/>
    </row>
    <row r="10646" spans="13:13" ht="15" customHeight="1" x14ac:dyDescent="0.25">
      <c r="M10646" s="274"/>
    </row>
    <row r="10647" spans="13:13" ht="15" customHeight="1" x14ac:dyDescent="0.25">
      <c r="M10647" s="274"/>
    </row>
    <row r="10648" spans="13:13" ht="15" customHeight="1" x14ac:dyDescent="0.25">
      <c r="M10648" s="274"/>
    </row>
    <row r="10649" spans="13:13" ht="15" customHeight="1" x14ac:dyDescent="0.25">
      <c r="M10649" s="274"/>
    </row>
    <row r="10650" spans="13:13" ht="15" customHeight="1" x14ac:dyDescent="0.25">
      <c r="M10650" s="274"/>
    </row>
    <row r="10651" spans="13:13" ht="15" customHeight="1" x14ac:dyDescent="0.25">
      <c r="M10651" s="274"/>
    </row>
    <row r="10652" spans="13:13" ht="15" customHeight="1" x14ac:dyDescent="0.25">
      <c r="M10652" s="274"/>
    </row>
    <row r="10653" spans="13:13" ht="15" customHeight="1" x14ac:dyDescent="0.25">
      <c r="M10653" s="274"/>
    </row>
    <row r="10654" spans="13:13" ht="15" customHeight="1" x14ac:dyDescent="0.25">
      <c r="M10654" s="274"/>
    </row>
    <row r="10655" spans="13:13" ht="15" customHeight="1" x14ac:dyDescent="0.25">
      <c r="M10655" s="274"/>
    </row>
    <row r="10656" spans="13:13" ht="15" customHeight="1" x14ac:dyDescent="0.25">
      <c r="M10656" s="274"/>
    </row>
    <row r="10657" spans="13:13" ht="15" customHeight="1" x14ac:dyDescent="0.25">
      <c r="M10657" s="274"/>
    </row>
    <row r="10658" spans="13:13" ht="15" customHeight="1" x14ac:dyDescent="0.25">
      <c r="M10658" s="274"/>
    </row>
    <row r="10659" spans="13:13" ht="15" customHeight="1" x14ac:dyDescent="0.25">
      <c r="M10659" s="274"/>
    </row>
    <row r="10660" spans="13:13" ht="15" customHeight="1" x14ac:dyDescent="0.25">
      <c r="M10660" s="274"/>
    </row>
    <row r="10661" spans="13:13" ht="15" customHeight="1" x14ac:dyDescent="0.25">
      <c r="M10661" s="274"/>
    </row>
    <row r="10662" spans="13:13" ht="15" customHeight="1" x14ac:dyDescent="0.25">
      <c r="M10662" s="274"/>
    </row>
    <row r="10663" spans="13:13" ht="15" customHeight="1" x14ac:dyDescent="0.25">
      <c r="M10663" s="274"/>
    </row>
    <row r="10664" spans="13:13" ht="15" customHeight="1" x14ac:dyDescent="0.25">
      <c r="M10664" s="274"/>
    </row>
    <row r="10665" spans="13:13" ht="15" customHeight="1" x14ac:dyDescent="0.25">
      <c r="M10665" s="274"/>
    </row>
    <row r="10666" spans="13:13" ht="15" customHeight="1" x14ac:dyDescent="0.25">
      <c r="M10666" s="274"/>
    </row>
    <row r="10667" spans="13:13" ht="15" customHeight="1" x14ac:dyDescent="0.25">
      <c r="M10667" s="274"/>
    </row>
    <row r="10668" spans="13:13" ht="15" customHeight="1" x14ac:dyDescent="0.25">
      <c r="M10668" s="274"/>
    </row>
    <row r="10669" spans="13:13" ht="15" customHeight="1" x14ac:dyDescent="0.25">
      <c r="M10669" s="274"/>
    </row>
    <row r="10670" spans="13:13" ht="15" customHeight="1" x14ac:dyDescent="0.25">
      <c r="M10670" s="274"/>
    </row>
    <row r="10671" spans="13:13" ht="15" customHeight="1" x14ac:dyDescent="0.25">
      <c r="M10671" s="274"/>
    </row>
    <row r="10672" spans="13:13" ht="15" customHeight="1" x14ac:dyDescent="0.25">
      <c r="M10672" s="274"/>
    </row>
    <row r="10673" spans="13:13" ht="15" customHeight="1" x14ac:dyDescent="0.25">
      <c r="M10673" s="274"/>
    </row>
    <row r="10674" spans="13:13" ht="15" customHeight="1" x14ac:dyDescent="0.25">
      <c r="M10674" s="274"/>
    </row>
    <row r="10675" spans="13:13" ht="15" customHeight="1" x14ac:dyDescent="0.25">
      <c r="M10675" s="274"/>
    </row>
    <row r="10676" spans="13:13" ht="15" customHeight="1" x14ac:dyDescent="0.25">
      <c r="M10676" s="274"/>
    </row>
    <row r="10677" spans="13:13" ht="15" customHeight="1" x14ac:dyDescent="0.25">
      <c r="M10677" s="274"/>
    </row>
    <row r="10678" spans="13:13" ht="15" customHeight="1" x14ac:dyDescent="0.25">
      <c r="M10678" s="274"/>
    </row>
    <row r="10679" spans="13:13" ht="15" customHeight="1" x14ac:dyDescent="0.25">
      <c r="M10679" s="274"/>
    </row>
    <row r="10680" spans="13:13" ht="15" customHeight="1" x14ac:dyDescent="0.25">
      <c r="M10680" s="274"/>
    </row>
    <row r="10681" spans="13:13" ht="15" customHeight="1" x14ac:dyDescent="0.25">
      <c r="M10681" s="274"/>
    </row>
    <row r="10682" spans="13:13" ht="15" customHeight="1" x14ac:dyDescent="0.25">
      <c r="M10682" s="274"/>
    </row>
    <row r="10683" spans="13:13" ht="15" customHeight="1" x14ac:dyDescent="0.25">
      <c r="M10683" s="274"/>
    </row>
    <row r="10684" spans="13:13" ht="15" customHeight="1" x14ac:dyDescent="0.25">
      <c r="M10684" s="274"/>
    </row>
    <row r="10685" spans="13:13" ht="15" customHeight="1" x14ac:dyDescent="0.25">
      <c r="M10685" s="274"/>
    </row>
    <row r="10686" spans="13:13" ht="15" customHeight="1" x14ac:dyDescent="0.25">
      <c r="M10686" s="274"/>
    </row>
    <row r="10687" spans="13:13" ht="15" customHeight="1" x14ac:dyDescent="0.25">
      <c r="M10687" s="274"/>
    </row>
    <row r="10688" spans="13:13" ht="15" customHeight="1" x14ac:dyDescent="0.25">
      <c r="M10688" s="274"/>
    </row>
    <row r="10689" spans="13:13" ht="15" customHeight="1" x14ac:dyDescent="0.25">
      <c r="M10689" s="274"/>
    </row>
    <row r="10690" spans="13:13" ht="15" customHeight="1" x14ac:dyDescent="0.25">
      <c r="M10690" s="274"/>
    </row>
    <row r="10691" spans="13:13" ht="15" customHeight="1" x14ac:dyDescent="0.25">
      <c r="M10691" s="274"/>
    </row>
    <row r="10692" spans="13:13" ht="15" customHeight="1" x14ac:dyDescent="0.25">
      <c r="M10692" s="274"/>
    </row>
    <row r="10693" spans="13:13" ht="15" customHeight="1" x14ac:dyDescent="0.25">
      <c r="M10693" s="274"/>
    </row>
    <row r="10694" spans="13:13" ht="15" customHeight="1" x14ac:dyDescent="0.25">
      <c r="M10694" s="274"/>
    </row>
    <row r="10695" spans="13:13" ht="15" customHeight="1" x14ac:dyDescent="0.25">
      <c r="M10695" s="274"/>
    </row>
    <row r="10696" spans="13:13" ht="15" customHeight="1" x14ac:dyDescent="0.25">
      <c r="M10696" s="274"/>
    </row>
    <row r="10697" spans="13:13" ht="15" customHeight="1" x14ac:dyDescent="0.25">
      <c r="M10697" s="274"/>
    </row>
    <row r="10698" spans="13:13" ht="15" customHeight="1" x14ac:dyDescent="0.25">
      <c r="M10698" s="274"/>
    </row>
    <row r="10699" spans="13:13" ht="15" customHeight="1" x14ac:dyDescent="0.25">
      <c r="M10699" s="274"/>
    </row>
    <row r="10700" spans="13:13" ht="15" customHeight="1" x14ac:dyDescent="0.25">
      <c r="M10700" s="274"/>
    </row>
    <row r="10701" spans="13:13" ht="15" customHeight="1" x14ac:dyDescent="0.25">
      <c r="M10701" s="274"/>
    </row>
    <row r="10702" spans="13:13" ht="15" customHeight="1" x14ac:dyDescent="0.25">
      <c r="M10702" s="274"/>
    </row>
    <row r="10703" spans="13:13" ht="15" customHeight="1" x14ac:dyDescent="0.25">
      <c r="M10703" s="274"/>
    </row>
    <row r="10704" spans="13:13" ht="15" customHeight="1" x14ac:dyDescent="0.25">
      <c r="M10704" s="274"/>
    </row>
    <row r="10705" spans="13:13" ht="15" customHeight="1" x14ac:dyDescent="0.25">
      <c r="M10705" s="274"/>
    </row>
    <row r="10706" spans="13:13" ht="15" customHeight="1" x14ac:dyDescent="0.25">
      <c r="M10706" s="274"/>
    </row>
    <row r="10707" spans="13:13" ht="15" customHeight="1" x14ac:dyDescent="0.25">
      <c r="M10707" s="274"/>
    </row>
    <row r="10708" spans="13:13" ht="15" customHeight="1" x14ac:dyDescent="0.25">
      <c r="M10708" s="274"/>
    </row>
    <row r="10709" spans="13:13" ht="15" customHeight="1" x14ac:dyDescent="0.25">
      <c r="M10709" s="274"/>
    </row>
    <row r="10710" spans="13:13" ht="15" customHeight="1" x14ac:dyDescent="0.25">
      <c r="M10710" s="274"/>
    </row>
    <row r="10711" spans="13:13" ht="15" customHeight="1" x14ac:dyDescent="0.25">
      <c r="M10711" s="274"/>
    </row>
    <row r="10712" spans="13:13" ht="15" customHeight="1" x14ac:dyDescent="0.25">
      <c r="M10712" s="274"/>
    </row>
    <row r="10713" spans="13:13" ht="15" customHeight="1" x14ac:dyDescent="0.25">
      <c r="M10713" s="274"/>
    </row>
    <row r="10714" spans="13:13" ht="15" customHeight="1" x14ac:dyDescent="0.25">
      <c r="M10714" s="274"/>
    </row>
    <row r="10715" spans="13:13" ht="15" customHeight="1" x14ac:dyDescent="0.25">
      <c r="M10715" s="274"/>
    </row>
    <row r="10716" spans="13:13" ht="15" customHeight="1" x14ac:dyDescent="0.25">
      <c r="M10716" s="274"/>
    </row>
    <row r="10717" spans="13:13" ht="15" customHeight="1" x14ac:dyDescent="0.25">
      <c r="M10717" s="274"/>
    </row>
    <row r="10718" spans="13:13" ht="15" customHeight="1" x14ac:dyDescent="0.25">
      <c r="M10718" s="274"/>
    </row>
    <row r="10719" spans="13:13" ht="15" customHeight="1" x14ac:dyDescent="0.25">
      <c r="M10719" s="274"/>
    </row>
    <row r="10720" spans="13:13" ht="15" customHeight="1" x14ac:dyDescent="0.25">
      <c r="M10720" s="274"/>
    </row>
    <row r="10721" spans="13:13" ht="15" customHeight="1" x14ac:dyDescent="0.25">
      <c r="M10721" s="274"/>
    </row>
    <row r="10722" spans="13:13" ht="15" customHeight="1" x14ac:dyDescent="0.25">
      <c r="M10722" s="274"/>
    </row>
    <row r="10723" spans="13:13" ht="15" customHeight="1" x14ac:dyDescent="0.25">
      <c r="M10723" s="274"/>
    </row>
    <row r="10724" spans="13:13" ht="15" customHeight="1" x14ac:dyDescent="0.25">
      <c r="M10724" s="274"/>
    </row>
    <row r="10725" spans="13:13" ht="15" customHeight="1" x14ac:dyDescent="0.25">
      <c r="M10725" s="274"/>
    </row>
    <row r="10726" spans="13:13" ht="15" customHeight="1" x14ac:dyDescent="0.25">
      <c r="M10726" s="274"/>
    </row>
    <row r="10727" spans="13:13" ht="15" customHeight="1" x14ac:dyDescent="0.25">
      <c r="M10727" s="274"/>
    </row>
    <row r="10728" spans="13:13" ht="15" customHeight="1" x14ac:dyDescent="0.25">
      <c r="M10728" s="274"/>
    </row>
    <row r="10729" spans="13:13" ht="15" customHeight="1" x14ac:dyDescent="0.25">
      <c r="M10729" s="274"/>
    </row>
    <row r="10730" spans="13:13" ht="15" customHeight="1" x14ac:dyDescent="0.25">
      <c r="M10730" s="274"/>
    </row>
    <row r="10731" spans="13:13" ht="15" customHeight="1" x14ac:dyDescent="0.25">
      <c r="M10731" s="274"/>
    </row>
    <row r="10732" spans="13:13" ht="15" customHeight="1" x14ac:dyDescent="0.25">
      <c r="M10732" s="274"/>
    </row>
    <row r="10733" spans="13:13" ht="15" customHeight="1" x14ac:dyDescent="0.25">
      <c r="M10733" s="274"/>
    </row>
    <row r="10734" spans="13:13" ht="15" customHeight="1" x14ac:dyDescent="0.25">
      <c r="M10734" s="274"/>
    </row>
    <row r="10735" spans="13:13" ht="15" customHeight="1" x14ac:dyDescent="0.25">
      <c r="M10735" s="274"/>
    </row>
    <row r="10736" spans="13:13" ht="15" customHeight="1" x14ac:dyDescent="0.25">
      <c r="M10736" s="274"/>
    </row>
    <row r="10737" spans="13:13" ht="15" customHeight="1" x14ac:dyDescent="0.25">
      <c r="M10737" s="274"/>
    </row>
    <row r="10738" spans="13:13" ht="15" customHeight="1" x14ac:dyDescent="0.25">
      <c r="M10738" s="274"/>
    </row>
    <row r="10739" spans="13:13" ht="15" customHeight="1" x14ac:dyDescent="0.25">
      <c r="M10739" s="274"/>
    </row>
    <row r="10740" spans="13:13" ht="15" customHeight="1" x14ac:dyDescent="0.25">
      <c r="M10740" s="274"/>
    </row>
    <row r="10741" spans="13:13" ht="15" customHeight="1" x14ac:dyDescent="0.25">
      <c r="M10741" s="274"/>
    </row>
    <row r="10742" spans="13:13" ht="15" customHeight="1" x14ac:dyDescent="0.25">
      <c r="M10742" s="274"/>
    </row>
    <row r="10743" spans="13:13" ht="15" customHeight="1" x14ac:dyDescent="0.25">
      <c r="M10743" s="274"/>
    </row>
    <row r="10744" spans="13:13" ht="15" customHeight="1" x14ac:dyDescent="0.25">
      <c r="M10744" s="274"/>
    </row>
    <row r="10745" spans="13:13" ht="15" customHeight="1" x14ac:dyDescent="0.25">
      <c r="M10745" s="274"/>
    </row>
    <row r="10746" spans="13:13" ht="15" customHeight="1" x14ac:dyDescent="0.25">
      <c r="M10746" s="274"/>
    </row>
    <row r="10747" spans="13:13" ht="15" customHeight="1" x14ac:dyDescent="0.25">
      <c r="M10747" s="274"/>
    </row>
    <row r="10748" spans="13:13" ht="15" customHeight="1" x14ac:dyDescent="0.25">
      <c r="M10748" s="274"/>
    </row>
    <row r="10749" spans="13:13" ht="15" customHeight="1" x14ac:dyDescent="0.25">
      <c r="M10749" s="274"/>
    </row>
    <row r="10750" spans="13:13" ht="15" customHeight="1" x14ac:dyDescent="0.25">
      <c r="M10750" s="274"/>
    </row>
    <row r="10751" spans="13:13" ht="15" customHeight="1" x14ac:dyDescent="0.25">
      <c r="M10751" s="274"/>
    </row>
    <row r="10752" spans="13:13" ht="15" customHeight="1" x14ac:dyDescent="0.25">
      <c r="M10752" s="274"/>
    </row>
    <row r="10753" spans="13:13" ht="15" customHeight="1" x14ac:dyDescent="0.25">
      <c r="M10753" s="274"/>
    </row>
    <row r="10754" spans="13:13" ht="15" customHeight="1" x14ac:dyDescent="0.25">
      <c r="M10754" s="274"/>
    </row>
    <row r="10755" spans="13:13" ht="15" customHeight="1" x14ac:dyDescent="0.25">
      <c r="M10755" s="274"/>
    </row>
    <row r="10756" spans="13:13" ht="15" customHeight="1" x14ac:dyDescent="0.25">
      <c r="M10756" s="274"/>
    </row>
    <row r="10757" spans="13:13" ht="15" customHeight="1" x14ac:dyDescent="0.25">
      <c r="M10757" s="274"/>
    </row>
    <row r="10758" spans="13:13" ht="15" customHeight="1" x14ac:dyDescent="0.25">
      <c r="M10758" s="274"/>
    </row>
    <row r="10759" spans="13:13" ht="15" customHeight="1" x14ac:dyDescent="0.25">
      <c r="M10759" s="274"/>
    </row>
    <row r="10760" spans="13:13" ht="15" customHeight="1" x14ac:dyDescent="0.25">
      <c r="M10760" s="274"/>
    </row>
    <row r="10761" spans="13:13" ht="15" customHeight="1" x14ac:dyDescent="0.25">
      <c r="M10761" s="274"/>
    </row>
    <row r="10762" spans="13:13" ht="15" customHeight="1" x14ac:dyDescent="0.25">
      <c r="M10762" s="274"/>
    </row>
    <row r="10763" spans="13:13" ht="15" customHeight="1" x14ac:dyDescent="0.25">
      <c r="M10763" s="274"/>
    </row>
    <row r="10764" spans="13:13" ht="15" customHeight="1" x14ac:dyDescent="0.25">
      <c r="M10764" s="274"/>
    </row>
    <row r="10765" spans="13:13" ht="15" customHeight="1" x14ac:dyDescent="0.25">
      <c r="M10765" s="274"/>
    </row>
    <row r="10766" spans="13:13" ht="15" customHeight="1" x14ac:dyDescent="0.25">
      <c r="M10766" s="274"/>
    </row>
    <row r="10767" spans="13:13" ht="15" customHeight="1" x14ac:dyDescent="0.25">
      <c r="M10767" s="274"/>
    </row>
    <row r="10768" spans="13:13" ht="15" customHeight="1" x14ac:dyDescent="0.25">
      <c r="M10768" s="274"/>
    </row>
    <row r="10769" spans="13:13" ht="15" customHeight="1" x14ac:dyDescent="0.25">
      <c r="M10769" s="274"/>
    </row>
    <row r="10770" spans="13:13" ht="15" customHeight="1" x14ac:dyDescent="0.25">
      <c r="M10770" s="274"/>
    </row>
    <row r="10771" spans="13:13" ht="15" customHeight="1" x14ac:dyDescent="0.25">
      <c r="M10771" s="274"/>
    </row>
    <row r="10772" spans="13:13" ht="15" customHeight="1" x14ac:dyDescent="0.25">
      <c r="M10772" s="274"/>
    </row>
    <row r="10773" spans="13:13" ht="15" customHeight="1" x14ac:dyDescent="0.25">
      <c r="M10773" s="274"/>
    </row>
    <row r="10774" spans="13:13" ht="15" customHeight="1" x14ac:dyDescent="0.25">
      <c r="M10774" s="274"/>
    </row>
    <row r="10775" spans="13:13" ht="15" customHeight="1" x14ac:dyDescent="0.25">
      <c r="M10775" s="274"/>
    </row>
    <row r="10776" spans="13:13" ht="15" customHeight="1" x14ac:dyDescent="0.25">
      <c r="M10776" s="274"/>
    </row>
    <row r="10777" spans="13:13" ht="15" customHeight="1" x14ac:dyDescent="0.25">
      <c r="M10777" s="274"/>
    </row>
    <row r="10778" spans="13:13" ht="15" customHeight="1" x14ac:dyDescent="0.25">
      <c r="M10778" s="274"/>
    </row>
    <row r="10779" spans="13:13" ht="15" customHeight="1" x14ac:dyDescent="0.25">
      <c r="M10779" s="274"/>
    </row>
    <row r="10780" spans="13:13" ht="15" customHeight="1" x14ac:dyDescent="0.25">
      <c r="M10780" s="274"/>
    </row>
    <row r="10781" spans="13:13" ht="15" customHeight="1" x14ac:dyDescent="0.25">
      <c r="M10781" s="274"/>
    </row>
    <row r="10782" spans="13:13" ht="15" customHeight="1" x14ac:dyDescent="0.25">
      <c r="M10782" s="274"/>
    </row>
    <row r="10783" spans="13:13" ht="15" customHeight="1" x14ac:dyDescent="0.25">
      <c r="M10783" s="274"/>
    </row>
    <row r="10784" spans="13:13" ht="15" customHeight="1" x14ac:dyDescent="0.25">
      <c r="M10784" s="274"/>
    </row>
    <row r="10785" spans="13:13" ht="15" customHeight="1" x14ac:dyDescent="0.25">
      <c r="M10785" s="274"/>
    </row>
    <row r="10786" spans="13:13" ht="15" customHeight="1" x14ac:dyDescent="0.25">
      <c r="M10786" s="274"/>
    </row>
    <row r="10787" spans="13:13" ht="15" customHeight="1" x14ac:dyDescent="0.25">
      <c r="M10787" s="274"/>
    </row>
    <row r="10788" spans="13:13" ht="15" customHeight="1" x14ac:dyDescent="0.25">
      <c r="M10788" s="274"/>
    </row>
    <row r="10789" spans="13:13" ht="15" customHeight="1" x14ac:dyDescent="0.25">
      <c r="M10789" s="274"/>
    </row>
    <row r="10790" spans="13:13" ht="15" customHeight="1" x14ac:dyDescent="0.25">
      <c r="M10790" s="274"/>
    </row>
    <row r="10791" spans="13:13" ht="15" customHeight="1" x14ac:dyDescent="0.25">
      <c r="M10791" s="274"/>
    </row>
    <row r="10792" spans="13:13" ht="15" customHeight="1" x14ac:dyDescent="0.25">
      <c r="M10792" s="274"/>
    </row>
    <row r="10793" spans="13:13" ht="15" customHeight="1" x14ac:dyDescent="0.25">
      <c r="M10793" s="274"/>
    </row>
    <row r="10794" spans="13:13" ht="15" customHeight="1" x14ac:dyDescent="0.25">
      <c r="M10794" s="274"/>
    </row>
    <row r="10795" spans="13:13" ht="15" customHeight="1" x14ac:dyDescent="0.25">
      <c r="M10795" s="274"/>
    </row>
    <row r="10796" spans="13:13" ht="15" customHeight="1" x14ac:dyDescent="0.25">
      <c r="M10796" s="274"/>
    </row>
    <row r="10797" spans="13:13" ht="15" customHeight="1" x14ac:dyDescent="0.25">
      <c r="M10797" s="274"/>
    </row>
    <row r="10798" spans="13:13" ht="15" customHeight="1" x14ac:dyDescent="0.25">
      <c r="M10798" s="274"/>
    </row>
    <row r="10799" spans="13:13" ht="15" customHeight="1" x14ac:dyDescent="0.25">
      <c r="M10799" s="274"/>
    </row>
    <row r="10800" spans="13:13" ht="15" customHeight="1" x14ac:dyDescent="0.25">
      <c r="M10800" s="274"/>
    </row>
    <row r="10801" spans="13:13" ht="15" customHeight="1" x14ac:dyDescent="0.25">
      <c r="M10801" s="274"/>
    </row>
    <row r="10802" spans="13:13" ht="15" customHeight="1" x14ac:dyDescent="0.25">
      <c r="M10802" s="274"/>
    </row>
    <row r="10803" spans="13:13" ht="15" customHeight="1" x14ac:dyDescent="0.25">
      <c r="M10803" s="274"/>
    </row>
    <row r="10804" spans="13:13" ht="15" customHeight="1" x14ac:dyDescent="0.25">
      <c r="M10804" s="274"/>
    </row>
    <row r="10805" spans="13:13" ht="15" customHeight="1" x14ac:dyDescent="0.25">
      <c r="M10805" s="274"/>
    </row>
    <row r="10806" spans="13:13" ht="15" customHeight="1" x14ac:dyDescent="0.25">
      <c r="M10806" s="274"/>
    </row>
    <row r="10807" spans="13:13" ht="15" customHeight="1" x14ac:dyDescent="0.25">
      <c r="M10807" s="274"/>
    </row>
    <row r="10808" spans="13:13" ht="15" customHeight="1" x14ac:dyDescent="0.25">
      <c r="M10808" s="274"/>
    </row>
    <row r="10809" spans="13:13" ht="15" customHeight="1" x14ac:dyDescent="0.25">
      <c r="M10809" s="274"/>
    </row>
    <row r="10810" spans="13:13" ht="15" customHeight="1" x14ac:dyDescent="0.25">
      <c r="M10810" s="274"/>
    </row>
    <row r="10811" spans="13:13" ht="15" customHeight="1" x14ac:dyDescent="0.25">
      <c r="M10811" s="274"/>
    </row>
    <row r="10812" spans="13:13" ht="15" customHeight="1" x14ac:dyDescent="0.25">
      <c r="M10812" s="274"/>
    </row>
    <row r="10813" spans="13:13" ht="15" customHeight="1" x14ac:dyDescent="0.25">
      <c r="M10813" s="274"/>
    </row>
    <row r="10814" spans="13:13" ht="15" customHeight="1" x14ac:dyDescent="0.25">
      <c r="M10814" s="274"/>
    </row>
    <row r="10815" spans="13:13" ht="15" customHeight="1" x14ac:dyDescent="0.25">
      <c r="M10815" s="274"/>
    </row>
    <row r="10816" spans="13:13" ht="15" customHeight="1" x14ac:dyDescent="0.25">
      <c r="M10816" s="274"/>
    </row>
    <row r="10817" spans="13:13" ht="15" customHeight="1" x14ac:dyDescent="0.25">
      <c r="M10817" s="274"/>
    </row>
    <row r="10818" spans="13:13" ht="15" customHeight="1" x14ac:dyDescent="0.25">
      <c r="M10818" s="274"/>
    </row>
    <row r="10819" spans="13:13" ht="15" customHeight="1" x14ac:dyDescent="0.25">
      <c r="M10819" s="274"/>
    </row>
    <row r="10820" spans="13:13" ht="15" customHeight="1" x14ac:dyDescent="0.25">
      <c r="M10820" s="274"/>
    </row>
    <row r="10821" spans="13:13" ht="15" customHeight="1" x14ac:dyDescent="0.25">
      <c r="M10821" s="274"/>
    </row>
    <row r="10822" spans="13:13" ht="15" customHeight="1" x14ac:dyDescent="0.25">
      <c r="M10822" s="274"/>
    </row>
    <row r="10823" spans="13:13" ht="15" customHeight="1" x14ac:dyDescent="0.25">
      <c r="M10823" s="274"/>
    </row>
    <row r="10824" spans="13:13" ht="15" customHeight="1" x14ac:dyDescent="0.25">
      <c r="M10824" s="274"/>
    </row>
    <row r="10825" spans="13:13" ht="15" customHeight="1" x14ac:dyDescent="0.25">
      <c r="M10825" s="274"/>
    </row>
    <row r="10826" spans="13:13" ht="15" customHeight="1" x14ac:dyDescent="0.25">
      <c r="M10826" s="274"/>
    </row>
    <row r="10827" spans="13:13" ht="15" customHeight="1" x14ac:dyDescent="0.25">
      <c r="M10827" s="274"/>
    </row>
    <row r="10828" spans="13:13" ht="15" customHeight="1" x14ac:dyDescent="0.25">
      <c r="M10828" s="274"/>
    </row>
    <row r="10829" spans="13:13" ht="15" customHeight="1" x14ac:dyDescent="0.25">
      <c r="M10829" s="274"/>
    </row>
    <row r="10830" spans="13:13" ht="15" customHeight="1" x14ac:dyDescent="0.25">
      <c r="M10830" s="274"/>
    </row>
    <row r="10831" spans="13:13" ht="15" customHeight="1" x14ac:dyDescent="0.25">
      <c r="M10831" s="274"/>
    </row>
    <row r="10832" spans="13:13" ht="15" customHeight="1" x14ac:dyDescent="0.25">
      <c r="M10832" s="274"/>
    </row>
    <row r="10833" spans="13:13" ht="15" customHeight="1" x14ac:dyDescent="0.25">
      <c r="M10833" s="274"/>
    </row>
    <row r="10834" spans="13:13" ht="15" customHeight="1" x14ac:dyDescent="0.25">
      <c r="M10834" s="274"/>
    </row>
    <row r="10835" spans="13:13" ht="15" customHeight="1" x14ac:dyDescent="0.25">
      <c r="M10835" s="274"/>
    </row>
    <row r="10836" spans="13:13" ht="15" customHeight="1" x14ac:dyDescent="0.25">
      <c r="M10836" s="274"/>
    </row>
    <row r="10837" spans="13:13" ht="15" customHeight="1" x14ac:dyDescent="0.25">
      <c r="M10837" s="274"/>
    </row>
    <row r="10838" spans="13:13" ht="15" customHeight="1" x14ac:dyDescent="0.25">
      <c r="M10838" s="274"/>
    </row>
    <row r="10839" spans="13:13" ht="15" customHeight="1" x14ac:dyDescent="0.25">
      <c r="M10839" s="274"/>
    </row>
    <row r="10840" spans="13:13" ht="15" customHeight="1" x14ac:dyDescent="0.25">
      <c r="M10840" s="274"/>
    </row>
    <row r="10841" spans="13:13" ht="15" customHeight="1" x14ac:dyDescent="0.25">
      <c r="M10841" s="274"/>
    </row>
    <row r="10842" spans="13:13" ht="15" customHeight="1" x14ac:dyDescent="0.25">
      <c r="M10842" s="274"/>
    </row>
    <row r="10843" spans="13:13" ht="15" customHeight="1" x14ac:dyDescent="0.25">
      <c r="M10843" s="274"/>
    </row>
    <row r="10844" spans="13:13" ht="15" customHeight="1" x14ac:dyDescent="0.25">
      <c r="M10844" s="274"/>
    </row>
    <row r="10845" spans="13:13" ht="15" customHeight="1" x14ac:dyDescent="0.25">
      <c r="M10845" s="274"/>
    </row>
    <row r="10846" spans="13:13" ht="15" customHeight="1" x14ac:dyDescent="0.25">
      <c r="M10846" s="274"/>
    </row>
    <row r="10847" spans="13:13" ht="15" customHeight="1" x14ac:dyDescent="0.25">
      <c r="M10847" s="274"/>
    </row>
    <row r="10848" spans="13:13" ht="15" customHeight="1" x14ac:dyDescent="0.25">
      <c r="M10848" s="274"/>
    </row>
    <row r="10849" spans="13:13" ht="15" customHeight="1" x14ac:dyDescent="0.25">
      <c r="M10849" s="274"/>
    </row>
    <row r="10850" spans="13:13" ht="15" customHeight="1" x14ac:dyDescent="0.25">
      <c r="M10850" s="274"/>
    </row>
    <row r="10851" spans="13:13" ht="15" customHeight="1" x14ac:dyDescent="0.25">
      <c r="M10851" s="274"/>
    </row>
    <row r="10852" spans="13:13" ht="15" customHeight="1" x14ac:dyDescent="0.25">
      <c r="M10852" s="274"/>
    </row>
    <row r="10853" spans="13:13" ht="15" customHeight="1" x14ac:dyDescent="0.25">
      <c r="M10853" s="274"/>
    </row>
    <row r="10854" spans="13:13" ht="15" customHeight="1" x14ac:dyDescent="0.25">
      <c r="M10854" s="274"/>
    </row>
    <row r="10855" spans="13:13" ht="15" customHeight="1" x14ac:dyDescent="0.25">
      <c r="M10855" s="274"/>
    </row>
    <row r="10856" spans="13:13" ht="15" customHeight="1" x14ac:dyDescent="0.25">
      <c r="M10856" s="274"/>
    </row>
    <row r="10857" spans="13:13" ht="15" customHeight="1" x14ac:dyDescent="0.25">
      <c r="M10857" s="274"/>
    </row>
    <row r="10858" spans="13:13" ht="15" customHeight="1" x14ac:dyDescent="0.25">
      <c r="M10858" s="274"/>
    </row>
    <row r="10859" spans="13:13" ht="15" customHeight="1" x14ac:dyDescent="0.25">
      <c r="M10859" s="274"/>
    </row>
    <row r="10860" spans="13:13" ht="15" customHeight="1" x14ac:dyDescent="0.25">
      <c r="M10860" s="274"/>
    </row>
    <row r="10861" spans="13:13" ht="15" customHeight="1" x14ac:dyDescent="0.25">
      <c r="M10861" s="274"/>
    </row>
    <row r="10862" spans="13:13" ht="15" customHeight="1" x14ac:dyDescent="0.25">
      <c r="M10862" s="274"/>
    </row>
    <row r="10863" spans="13:13" ht="15" customHeight="1" x14ac:dyDescent="0.25">
      <c r="M10863" s="274"/>
    </row>
    <row r="10864" spans="13:13" ht="15" customHeight="1" x14ac:dyDescent="0.25">
      <c r="M10864" s="274"/>
    </row>
    <row r="10865" spans="13:13" ht="15" customHeight="1" x14ac:dyDescent="0.25">
      <c r="M10865" s="274"/>
    </row>
    <row r="10866" spans="13:13" ht="15" customHeight="1" x14ac:dyDescent="0.25">
      <c r="M10866" s="274"/>
    </row>
    <row r="10867" spans="13:13" ht="15" customHeight="1" x14ac:dyDescent="0.25">
      <c r="M10867" s="274"/>
    </row>
    <row r="10868" spans="13:13" ht="15" customHeight="1" x14ac:dyDescent="0.25">
      <c r="M10868" s="274"/>
    </row>
    <row r="10869" spans="13:13" ht="15" customHeight="1" x14ac:dyDescent="0.25">
      <c r="M10869" s="274"/>
    </row>
    <row r="10870" spans="13:13" ht="15" customHeight="1" x14ac:dyDescent="0.25">
      <c r="M10870" s="274"/>
    </row>
    <row r="10871" spans="13:13" ht="15" customHeight="1" x14ac:dyDescent="0.25">
      <c r="M10871" s="274"/>
    </row>
    <row r="10872" spans="13:13" ht="15" customHeight="1" x14ac:dyDescent="0.25">
      <c r="M10872" s="274"/>
    </row>
    <row r="10873" spans="13:13" ht="15" customHeight="1" x14ac:dyDescent="0.25">
      <c r="M10873" s="274"/>
    </row>
    <row r="10874" spans="13:13" ht="15" customHeight="1" x14ac:dyDescent="0.25">
      <c r="M10874" s="274"/>
    </row>
    <row r="10875" spans="13:13" ht="15" customHeight="1" x14ac:dyDescent="0.25">
      <c r="M10875" s="274"/>
    </row>
    <row r="10876" spans="13:13" ht="15" customHeight="1" x14ac:dyDescent="0.25">
      <c r="M10876" s="274"/>
    </row>
    <row r="10877" spans="13:13" ht="15" customHeight="1" x14ac:dyDescent="0.25">
      <c r="M10877" s="274"/>
    </row>
    <row r="10878" spans="13:13" ht="15" customHeight="1" x14ac:dyDescent="0.25">
      <c r="M10878" s="274"/>
    </row>
    <row r="10879" spans="13:13" ht="15" customHeight="1" x14ac:dyDescent="0.25">
      <c r="M10879" s="274"/>
    </row>
    <row r="10880" spans="13:13" ht="15" customHeight="1" x14ac:dyDescent="0.25">
      <c r="M10880" s="274"/>
    </row>
    <row r="10881" spans="13:13" ht="15" customHeight="1" x14ac:dyDescent="0.25">
      <c r="M10881" s="274"/>
    </row>
    <row r="10882" spans="13:13" ht="15" customHeight="1" x14ac:dyDescent="0.25">
      <c r="M10882" s="274"/>
    </row>
    <row r="10883" spans="13:13" ht="15" customHeight="1" x14ac:dyDescent="0.25">
      <c r="M10883" s="274"/>
    </row>
    <row r="10884" spans="13:13" ht="15" customHeight="1" x14ac:dyDescent="0.25">
      <c r="M10884" s="274"/>
    </row>
    <row r="10885" spans="13:13" ht="15" customHeight="1" x14ac:dyDescent="0.25">
      <c r="M10885" s="274"/>
    </row>
    <row r="10886" spans="13:13" ht="15" customHeight="1" x14ac:dyDescent="0.25">
      <c r="M10886" s="274"/>
    </row>
    <row r="10887" spans="13:13" ht="15" customHeight="1" x14ac:dyDescent="0.25">
      <c r="M10887" s="274"/>
    </row>
    <row r="10888" spans="13:13" ht="15" customHeight="1" x14ac:dyDescent="0.25">
      <c r="M10888" s="274"/>
    </row>
    <row r="10889" spans="13:13" ht="15" customHeight="1" x14ac:dyDescent="0.25">
      <c r="M10889" s="274"/>
    </row>
    <row r="10890" spans="13:13" ht="15" customHeight="1" x14ac:dyDescent="0.25">
      <c r="M10890" s="274"/>
    </row>
    <row r="10891" spans="13:13" ht="15" customHeight="1" x14ac:dyDescent="0.25">
      <c r="M10891" s="274"/>
    </row>
    <row r="10892" spans="13:13" ht="15" customHeight="1" x14ac:dyDescent="0.25">
      <c r="M10892" s="274"/>
    </row>
    <row r="10893" spans="13:13" ht="15" customHeight="1" x14ac:dyDescent="0.25">
      <c r="M10893" s="274"/>
    </row>
    <row r="10894" spans="13:13" ht="15" customHeight="1" x14ac:dyDescent="0.25">
      <c r="M10894" s="274"/>
    </row>
    <row r="10895" spans="13:13" ht="15" customHeight="1" x14ac:dyDescent="0.25">
      <c r="M10895" s="274"/>
    </row>
    <row r="10896" spans="13:13" ht="15" customHeight="1" x14ac:dyDescent="0.25">
      <c r="M10896" s="274"/>
    </row>
    <row r="10897" spans="13:13" ht="15" customHeight="1" x14ac:dyDescent="0.25">
      <c r="M10897" s="274"/>
    </row>
    <row r="10898" spans="13:13" ht="15" customHeight="1" x14ac:dyDescent="0.25">
      <c r="M10898" s="274"/>
    </row>
    <row r="10899" spans="13:13" ht="15" customHeight="1" x14ac:dyDescent="0.25">
      <c r="M10899" s="274"/>
    </row>
    <row r="10900" spans="13:13" ht="15" customHeight="1" x14ac:dyDescent="0.25">
      <c r="M10900" s="274"/>
    </row>
    <row r="10901" spans="13:13" ht="15" customHeight="1" x14ac:dyDescent="0.25">
      <c r="M10901" s="274"/>
    </row>
    <row r="10902" spans="13:13" ht="15" customHeight="1" x14ac:dyDescent="0.25">
      <c r="M10902" s="274"/>
    </row>
    <row r="10903" spans="13:13" ht="15" customHeight="1" x14ac:dyDescent="0.25">
      <c r="M10903" s="274"/>
    </row>
    <row r="10904" spans="13:13" ht="15" customHeight="1" x14ac:dyDescent="0.25">
      <c r="M10904" s="274"/>
    </row>
    <row r="10905" spans="13:13" ht="15" customHeight="1" x14ac:dyDescent="0.25">
      <c r="M10905" s="274"/>
    </row>
    <row r="10906" spans="13:13" ht="15" customHeight="1" x14ac:dyDescent="0.25">
      <c r="M10906" s="274"/>
    </row>
    <row r="10907" spans="13:13" ht="15" customHeight="1" x14ac:dyDescent="0.25">
      <c r="M10907" s="274"/>
    </row>
    <row r="10908" spans="13:13" ht="15" customHeight="1" x14ac:dyDescent="0.25">
      <c r="M10908" s="274"/>
    </row>
    <row r="10909" spans="13:13" ht="15" customHeight="1" x14ac:dyDescent="0.25">
      <c r="M10909" s="274"/>
    </row>
    <row r="10910" spans="13:13" ht="15" customHeight="1" x14ac:dyDescent="0.25">
      <c r="M10910" s="274"/>
    </row>
    <row r="10911" spans="13:13" ht="15" customHeight="1" x14ac:dyDescent="0.25">
      <c r="M10911" s="274"/>
    </row>
    <row r="10912" spans="13:13" ht="15" customHeight="1" x14ac:dyDescent="0.25">
      <c r="M10912" s="274"/>
    </row>
    <row r="10913" spans="13:13" ht="15" customHeight="1" x14ac:dyDescent="0.25">
      <c r="M10913" s="274"/>
    </row>
    <row r="10914" spans="13:13" ht="15" customHeight="1" x14ac:dyDescent="0.25">
      <c r="M10914" s="274"/>
    </row>
    <row r="10915" spans="13:13" ht="15" customHeight="1" x14ac:dyDescent="0.25">
      <c r="M10915" s="274"/>
    </row>
    <row r="10916" spans="13:13" ht="15" customHeight="1" x14ac:dyDescent="0.25">
      <c r="M10916" s="274"/>
    </row>
    <row r="10917" spans="13:13" ht="15" customHeight="1" x14ac:dyDescent="0.25">
      <c r="M10917" s="274"/>
    </row>
    <row r="10918" spans="13:13" ht="15" customHeight="1" x14ac:dyDescent="0.25">
      <c r="M10918" s="274"/>
    </row>
    <row r="10919" spans="13:13" ht="15" customHeight="1" x14ac:dyDescent="0.25">
      <c r="M10919" s="274"/>
    </row>
    <row r="10920" spans="13:13" ht="15" customHeight="1" x14ac:dyDescent="0.25">
      <c r="M10920" s="274"/>
    </row>
    <row r="10921" spans="13:13" ht="15" customHeight="1" x14ac:dyDescent="0.25">
      <c r="M10921" s="274"/>
    </row>
    <row r="10922" spans="13:13" ht="15" customHeight="1" x14ac:dyDescent="0.25">
      <c r="M10922" s="274"/>
    </row>
    <row r="10923" spans="13:13" ht="15" customHeight="1" x14ac:dyDescent="0.25">
      <c r="M10923" s="274"/>
    </row>
    <row r="10924" spans="13:13" ht="15" customHeight="1" x14ac:dyDescent="0.25">
      <c r="M10924" s="274"/>
    </row>
    <row r="10925" spans="13:13" ht="15" customHeight="1" x14ac:dyDescent="0.25">
      <c r="M10925" s="274"/>
    </row>
    <row r="10926" spans="13:13" ht="15" customHeight="1" x14ac:dyDescent="0.25">
      <c r="M10926" s="274"/>
    </row>
    <row r="10927" spans="13:13" ht="15" customHeight="1" x14ac:dyDescent="0.25">
      <c r="M10927" s="274"/>
    </row>
    <row r="10928" spans="13:13" ht="15" customHeight="1" x14ac:dyDescent="0.25">
      <c r="M10928" s="274"/>
    </row>
    <row r="10929" spans="13:13" ht="15" customHeight="1" x14ac:dyDescent="0.25">
      <c r="M10929" s="274"/>
    </row>
    <row r="10930" spans="13:13" ht="15" customHeight="1" x14ac:dyDescent="0.25">
      <c r="M10930" s="274"/>
    </row>
    <row r="10931" spans="13:13" ht="15" customHeight="1" x14ac:dyDescent="0.25">
      <c r="M10931" s="274"/>
    </row>
    <row r="10932" spans="13:13" ht="15" customHeight="1" x14ac:dyDescent="0.25">
      <c r="M10932" s="274"/>
    </row>
    <row r="10933" spans="13:13" ht="15" customHeight="1" x14ac:dyDescent="0.25">
      <c r="M10933" s="274"/>
    </row>
    <row r="10934" spans="13:13" ht="15" customHeight="1" x14ac:dyDescent="0.25">
      <c r="M10934" s="274"/>
    </row>
    <row r="10935" spans="13:13" ht="15" customHeight="1" x14ac:dyDescent="0.25">
      <c r="M10935" s="274"/>
    </row>
    <row r="10936" spans="13:13" ht="15" customHeight="1" x14ac:dyDescent="0.25">
      <c r="M10936" s="274"/>
    </row>
    <row r="10937" spans="13:13" ht="15" customHeight="1" x14ac:dyDescent="0.25">
      <c r="M10937" s="274"/>
    </row>
    <row r="10938" spans="13:13" ht="15" customHeight="1" x14ac:dyDescent="0.25">
      <c r="M10938" s="274"/>
    </row>
    <row r="10939" spans="13:13" ht="15" customHeight="1" x14ac:dyDescent="0.25">
      <c r="M10939" s="274"/>
    </row>
    <row r="10940" spans="13:13" ht="15" customHeight="1" x14ac:dyDescent="0.25">
      <c r="M10940" s="274"/>
    </row>
    <row r="10941" spans="13:13" ht="15" customHeight="1" x14ac:dyDescent="0.25">
      <c r="M10941" s="274"/>
    </row>
    <row r="10942" spans="13:13" ht="15" customHeight="1" x14ac:dyDescent="0.25">
      <c r="M10942" s="274"/>
    </row>
    <row r="10943" spans="13:13" ht="15" customHeight="1" x14ac:dyDescent="0.25">
      <c r="M10943" s="274"/>
    </row>
    <row r="10944" spans="13:13" ht="15" customHeight="1" x14ac:dyDescent="0.25">
      <c r="M10944" s="274"/>
    </row>
    <row r="10945" spans="13:13" ht="15" customHeight="1" x14ac:dyDescent="0.25">
      <c r="M10945" s="274"/>
    </row>
    <row r="10946" spans="13:13" ht="15" customHeight="1" x14ac:dyDescent="0.25">
      <c r="M10946" s="274"/>
    </row>
    <row r="10947" spans="13:13" ht="15" customHeight="1" x14ac:dyDescent="0.25">
      <c r="M10947" s="274"/>
    </row>
    <row r="10948" spans="13:13" ht="15" customHeight="1" x14ac:dyDescent="0.25">
      <c r="M10948" s="274"/>
    </row>
    <row r="10949" spans="13:13" ht="15" customHeight="1" x14ac:dyDescent="0.25">
      <c r="M10949" s="274"/>
    </row>
    <row r="10950" spans="13:13" ht="15" customHeight="1" x14ac:dyDescent="0.25">
      <c r="M10950" s="274"/>
    </row>
    <row r="10951" spans="13:13" ht="15" customHeight="1" x14ac:dyDescent="0.25">
      <c r="M10951" s="274"/>
    </row>
    <row r="10952" spans="13:13" ht="15" customHeight="1" x14ac:dyDescent="0.25">
      <c r="M10952" s="274"/>
    </row>
    <row r="10953" spans="13:13" ht="15" customHeight="1" x14ac:dyDescent="0.25">
      <c r="M10953" s="274"/>
    </row>
    <row r="10954" spans="13:13" ht="15" customHeight="1" x14ac:dyDescent="0.25">
      <c r="M10954" s="274"/>
    </row>
    <row r="10955" spans="13:13" ht="15" customHeight="1" x14ac:dyDescent="0.25">
      <c r="M10955" s="274"/>
    </row>
    <row r="10956" spans="13:13" ht="15" customHeight="1" x14ac:dyDescent="0.25">
      <c r="M10956" s="274"/>
    </row>
    <row r="10957" spans="13:13" ht="15" customHeight="1" x14ac:dyDescent="0.25">
      <c r="M10957" s="274"/>
    </row>
    <row r="10958" spans="13:13" ht="15" customHeight="1" x14ac:dyDescent="0.25">
      <c r="M10958" s="274"/>
    </row>
    <row r="10959" spans="13:13" ht="15" customHeight="1" x14ac:dyDescent="0.25">
      <c r="M10959" s="274"/>
    </row>
    <row r="10960" spans="13:13" ht="15" customHeight="1" x14ac:dyDescent="0.25">
      <c r="M10960" s="274"/>
    </row>
    <row r="10961" spans="13:13" ht="15" customHeight="1" x14ac:dyDescent="0.25">
      <c r="M10961" s="274"/>
    </row>
    <row r="10962" spans="13:13" ht="15" customHeight="1" x14ac:dyDescent="0.25">
      <c r="M10962" s="274"/>
    </row>
    <row r="10963" spans="13:13" ht="15" customHeight="1" x14ac:dyDescent="0.25">
      <c r="M10963" s="274"/>
    </row>
    <row r="10964" spans="13:13" ht="15" customHeight="1" x14ac:dyDescent="0.25">
      <c r="M10964" s="274"/>
    </row>
    <row r="10965" spans="13:13" ht="15" customHeight="1" x14ac:dyDescent="0.25">
      <c r="M10965" s="274"/>
    </row>
    <row r="10966" spans="13:13" ht="15" customHeight="1" x14ac:dyDescent="0.25">
      <c r="M10966" s="274"/>
    </row>
    <row r="10967" spans="13:13" ht="15" customHeight="1" x14ac:dyDescent="0.25">
      <c r="M10967" s="274"/>
    </row>
    <row r="10968" spans="13:13" ht="15" customHeight="1" x14ac:dyDescent="0.25">
      <c r="M10968" s="274"/>
    </row>
    <row r="10969" spans="13:13" ht="15" customHeight="1" x14ac:dyDescent="0.25">
      <c r="M10969" s="274"/>
    </row>
    <row r="10970" spans="13:13" ht="15" customHeight="1" x14ac:dyDescent="0.25">
      <c r="M10970" s="274"/>
    </row>
    <row r="10971" spans="13:13" ht="15" customHeight="1" x14ac:dyDescent="0.25">
      <c r="M10971" s="274"/>
    </row>
    <row r="10972" spans="13:13" ht="15" customHeight="1" x14ac:dyDescent="0.25">
      <c r="M10972" s="274"/>
    </row>
    <row r="10973" spans="13:13" ht="15" customHeight="1" x14ac:dyDescent="0.25">
      <c r="M10973" s="274"/>
    </row>
    <row r="10974" spans="13:13" ht="15" customHeight="1" x14ac:dyDescent="0.25">
      <c r="M10974" s="274"/>
    </row>
    <row r="10975" spans="13:13" ht="15" customHeight="1" x14ac:dyDescent="0.25">
      <c r="M10975" s="274"/>
    </row>
    <row r="10976" spans="13:13" ht="15" customHeight="1" x14ac:dyDescent="0.25">
      <c r="M10976" s="274"/>
    </row>
    <row r="10977" spans="13:13" ht="15" customHeight="1" x14ac:dyDescent="0.25">
      <c r="M10977" s="274"/>
    </row>
    <row r="10978" spans="13:13" ht="15" customHeight="1" x14ac:dyDescent="0.25">
      <c r="M10978" s="274"/>
    </row>
    <row r="10979" spans="13:13" ht="15" customHeight="1" x14ac:dyDescent="0.25">
      <c r="M10979" s="274"/>
    </row>
    <row r="10980" spans="13:13" ht="15" customHeight="1" x14ac:dyDescent="0.25">
      <c r="M10980" s="274"/>
    </row>
    <row r="10981" spans="13:13" ht="15" customHeight="1" x14ac:dyDescent="0.25">
      <c r="M10981" s="274"/>
    </row>
    <row r="10982" spans="13:13" ht="15" customHeight="1" x14ac:dyDescent="0.25">
      <c r="M10982" s="274"/>
    </row>
    <row r="10983" spans="13:13" ht="15" customHeight="1" x14ac:dyDescent="0.25">
      <c r="M10983" s="274"/>
    </row>
    <row r="10984" spans="13:13" ht="15" customHeight="1" x14ac:dyDescent="0.25">
      <c r="M10984" s="274"/>
    </row>
    <row r="10985" spans="13:13" ht="15" customHeight="1" x14ac:dyDescent="0.25">
      <c r="M10985" s="274"/>
    </row>
    <row r="10986" spans="13:13" ht="15" customHeight="1" x14ac:dyDescent="0.25">
      <c r="M10986" s="274"/>
    </row>
    <row r="10987" spans="13:13" ht="15" customHeight="1" x14ac:dyDescent="0.25">
      <c r="M10987" s="274"/>
    </row>
    <row r="10988" spans="13:13" ht="15" customHeight="1" x14ac:dyDescent="0.25">
      <c r="M10988" s="274"/>
    </row>
    <row r="10989" spans="13:13" ht="15" customHeight="1" x14ac:dyDescent="0.25">
      <c r="M10989" s="274"/>
    </row>
    <row r="10990" spans="13:13" ht="15" customHeight="1" x14ac:dyDescent="0.25">
      <c r="M10990" s="274"/>
    </row>
    <row r="10991" spans="13:13" ht="15" customHeight="1" x14ac:dyDescent="0.25">
      <c r="M10991" s="274"/>
    </row>
    <row r="10992" spans="13:13" ht="15" customHeight="1" x14ac:dyDescent="0.25">
      <c r="M10992" s="274"/>
    </row>
    <row r="10993" spans="13:13" ht="15" customHeight="1" x14ac:dyDescent="0.25">
      <c r="M10993" s="274"/>
    </row>
    <row r="10994" spans="13:13" ht="15" customHeight="1" x14ac:dyDescent="0.25">
      <c r="M10994" s="274"/>
    </row>
    <row r="10995" spans="13:13" ht="15" customHeight="1" x14ac:dyDescent="0.25">
      <c r="M10995" s="274"/>
    </row>
    <row r="10996" spans="13:13" ht="15" customHeight="1" x14ac:dyDescent="0.25">
      <c r="M10996" s="274"/>
    </row>
    <row r="10997" spans="13:13" ht="15" customHeight="1" x14ac:dyDescent="0.25">
      <c r="M10997" s="274"/>
    </row>
    <row r="10998" spans="13:13" ht="15" customHeight="1" x14ac:dyDescent="0.25">
      <c r="M10998" s="274"/>
    </row>
    <row r="10999" spans="13:13" ht="15" customHeight="1" x14ac:dyDescent="0.25">
      <c r="M10999" s="274"/>
    </row>
    <row r="11000" spans="13:13" ht="15" customHeight="1" x14ac:dyDescent="0.25">
      <c r="M11000" s="274"/>
    </row>
    <row r="11001" spans="13:13" ht="15" customHeight="1" x14ac:dyDescent="0.25">
      <c r="M11001" s="274"/>
    </row>
    <row r="11002" spans="13:13" ht="15" customHeight="1" x14ac:dyDescent="0.25">
      <c r="M11002" s="274"/>
    </row>
    <row r="11003" spans="13:13" ht="15" customHeight="1" x14ac:dyDescent="0.25">
      <c r="M11003" s="274"/>
    </row>
    <row r="11004" spans="13:13" ht="15" customHeight="1" x14ac:dyDescent="0.25">
      <c r="M11004" s="274"/>
    </row>
    <row r="11005" spans="13:13" ht="15" customHeight="1" x14ac:dyDescent="0.25">
      <c r="M11005" s="274"/>
    </row>
    <row r="11006" spans="13:13" ht="15" customHeight="1" x14ac:dyDescent="0.25">
      <c r="M11006" s="274"/>
    </row>
    <row r="11007" spans="13:13" ht="15" customHeight="1" x14ac:dyDescent="0.25">
      <c r="M11007" s="274"/>
    </row>
    <row r="11008" spans="13:13" ht="15" customHeight="1" x14ac:dyDescent="0.25">
      <c r="M11008" s="274"/>
    </row>
    <row r="11009" spans="13:13" ht="15" customHeight="1" x14ac:dyDescent="0.25">
      <c r="M11009" s="274"/>
    </row>
    <row r="11010" spans="13:13" ht="15" customHeight="1" x14ac:dyDescent="0.25">
      <c r="M11010" s="274"/>
    </row>
    <row r="11011" spans="13:13" ht="15" customHeight="1" x14ac:dyDescent="0.25">
      <c r="M11011" s="274"/>
    </row>
    <row r="11012" spans="13:13" ht="15" customHeight="1" x14ac:dyDescent="0.25">
      <c r="M11012" s="274"/>
    </row>
    <row r="11013" spans="13:13" ht="15" customHeight="1" x14ac:dyDescent="0.25">
      <c r="M11013" s="274"/>
    </row>
    <row r="11014" spans="13:13" ht="15" customHeight="1" x14ac:dyDescent="0.25">
      <c r="M11014" s="274"/>
    </row>
    <row r="11015" spans="13:13" ht="15" customHeight="1" x14ac:dyDescent="0.25">
      <c r="M11015" s="274"/>
    </row>
    <row r="11016" spans="13:13" ht="15" customHeight="1" x14ac:dyDescent="0.25">
      <c r="M11016" s="274"/>
    </row>
    <row r="11017" spans="13:13" ht="15" customHeight="1" x14ac:dyDescent="0.25">
      <c r="M11017" s="274"/>
    </row>
    <row r="11018" spans="13:13" ht="15" customHeight="1" x14ac:dyDescent="0.25">
      <c r="M11018" s="274"/>
    </row>
    <row r="11019" spans="13:13" ht="15" customHeight="1" x14ac:dyDescent="0.25">
      <c r="M11019" s="274"/>
    </row>
    <row r="11020" spans="13:13" ht="15" customHeight="1" x14ac:dyDescent="0.25">
      <c r="M11020" s="274"/>
    </row>
    <row r="11021" spans="13:13" ht="15" customHeight="1" x14ac:dyDescent="0.25">
      <c r="M11021" s="274"/>
    </row>
    <row r="11022" spans="13:13" ht="15" customHeight="1" x14ac:dyDescent="0.25">
      <c r="M11022" s="274"/>
    </row>
    <row r="11023" spans="13:13" ht="15" customHeight="1" x14ac:dyDescent="0.25">
      <c r="M11023" s="274"/>
    </row>
    <row r="11024" spans="13:13" ht="15" customHeight="1" x14ac:dyDescent="0.25">
      <c r="M11024" s="274"/>
    </row>
    <row r="11025" spans="13:13" ht="15" customHeight="1" x14ac:dyDescent="0.25">
      <c r="M11025" s="274"/>
    </row>
    <row r="11026" spans="13:13" ht="15" customHeight="1" x14ac:dyDescent="0.25">
      <c r="M11026" s="274"/>
    </row>
    <row r="11027" spans="13:13" ht="15" customHeight="1" x14ac:dyDescent="0.25">
      <c r="M11027" s="274"/>
    </row>
    <row r="11028" spans="13:13" ht="15" customHeight="1" x14ac:dyDescent="0.25">
      <c r="M11028" s="274"/>
    </row>
    <row r="11029" spans="13:13" ht="15" customHeight="1" x14ac:dyDescent="0.25">
      <c r="M11029" s="274"/>
    </row>
    <row r="11030" spans="13:13" ht="15" customHeight="1" x14ac:dyDescent="0.25">
      <c r="M11030" s="274"/>
    </row>
    <row r="11031" spans="13:13" ht="15" customHeight="1" x14ac:dyDescent="0.25">
      <c r="M11031" s="274"/>
    </row>
    <row r="11032" spans="13:13" ht="15" customHeight="1" x14ac:dyDescent="0.25">
      <c r="M11032" s="274"/>
    </row>
    <row r="11033" spans="13:13" ht="15" customHeight="1" x14ac:dyDescent="0.25">
      <c r="M11033" s="274"/>
    </row>
    <row r="11034" spans="13:13" ht="15" customHeight="1" x14ac:dyDescent="0.25">
      <c r="M11034" s="274"/>
    </row>
    <row r="11035" spans="13:13" ht="15" customHeight="1" x14ac:dyDescent="0.25">
      <c r="M11035" s="274"/>
    </row>
    <row r="11036" spans="13:13" ht="15" customHeight="1" x14ac:dyDescent="0.25">
      <c r="M11036" s="274"/>
    </row>
    <row r="11037" spans="13:13" ht="15" customHeight="1" x14ac:dyDescent="0.25">
      <c r="M11037" s="274"/>
    </row>
    <row r="11038" spans="13:13" ht="15" customHeight="1" x14ac:dyDescent="0.25">
      <c r="M11038" s="274"/>
    </row>
    <row r="11039" spans="13:13" ht="15" customHeight="1" x14ac:dyDescent="0.25">
      <c r="M11039" s="274"/>
    </row>
    <row r="11040" spans="13:13" ht="15" customHeight="1" x14ac:dyDescent="0.25">
      <c r="M11040" s="274"/>
    </row>
    <row r="11041" spans="13:13" ht="15" customHeight="1" x14ac:dyDescent="0.25">
      <c r="M11041" s="274"/>
    </row>
    <row r="11042" spans="13:13" ht="15" customHeight="1" x14ac:dyDescent="0.25">
      <c r="M11042" s="274"/>
    </row>
    <row r="11043" spans="13:13" ht="15" customHeight="1" x14ac:dyDescent="0.25">
      <c r="M11043" s="274"/>
    </row>
    <row r="11044" spans="13:13" ht="15" customHeight="1" x14ac:dyDescent="0.25">
      <c r="M11044" s="274"/>
    </row>
    <row r="11045" spans="13:13" ht="15" customHeight="1" x14ac:dyDescent="0.25">
      <c r="M11045" s="274"/>
    </row>
    <row r="11046" spans="13:13" ht="15" customHeight="1" x14ac:dyDescent="0.25">
      <c r="M11046" s="274"/>
    </row>
    <row r="11047" spans="13:13" ht="15" customHeight="1" x14ac:dyDescent="0.25">
      <c r="M11047" s="274"/>
    </row>
    <row r="11048" spans="13:13" ht="15" customHeight="1" x14ac:dyDescent="0.25">
      <c r="M11048" s="274"/>
    </row>
    <row r="11049" spans="13:13" ht="15" customHeight="1" x14ac:dyDescent="0.25">
      <c r="M11049" s="274"/>
    </row>
    <row r="11050" spans="13:13" ht="15" customHeight="1" x14ac:dyDescent="0.25">
      <c r="M11050" s="274"/>
    </row>
    <row r="11051" spans="13:13" ht="15" customHeight="1" x14ac:dyDescent="0.25">
      <c r="M11051" s="274"/>
    </row>
    <row r="11052" spans="13:13" ht="15" customHeight="1" x14ac:dyDescent="0.25">
      <c r="M11052" s="274"/>
    </row>
    <row r="11053" spans="13:13" ht="15" customHeight="1" x14ac:dyDescent="0.25">
      <c r="M11053" s="274"/>
    </row>
    <row r="11054" spans="13:13" ht="15" customHeight="1" x14ac:dyDescent="0.25">
      <c r="M11054" s="274"/>
    </row>
    <row r="11055" spans="13:13" ht="15" customHeight="1" x14ac:dyDescent="0.25">
      <c r="M11055" s="274"/>
    </row>
    <row r="11056" spans="13:13" ht="15" customHeight="1" x14ac:dyDescent="0.25">
      <c r="M11056" s="274"/>
    </row>
    <row r="11057" spans="13:13" ht="15" customHeight="1" x14ac:dyDescent="0.25">
      <c r="M11057" s="274"/>
    </row>
    <row r="11058" spans="13:13" ht="15" customHeight="1" x14ac:dyDescent="0.25">
      <c r="M11058" s="274"/>
    </row>
    <row r="11059" spans="13:13" ht="15" customHeight="1" x14ac:dyDescent="0.25">
      <c r="M11059" s="274"/>
    </row>
    <row r="11060" spans="13:13" ht="15" customHeight="1" x14ac:dyDescent="0.25">
      <c r="M11060" s="274"/>
    </row>
    <row r="11061" spans="13:13" ht="15" customHeight="1" x14ac:dyDescent="0.25">
      <c r="M11061" s="274"/>
    </row>
    <row r="11062" spans="13:13" ht="15" customHeight="1" x14ac:dyDescent="0.25">
      <c r="M11062" s="274"/>
    </row>
    <row r="11063" spans="13:13" ht="15" customHeight="1" x14ac:dyDescent="0.25">
      <c r="M11063" s="274"/>
    </row>
    <row r="11064" spans="13:13" ht="15" customHeight="1" x14ac:dyDescent="0.25">
      <c r="M11064" s="274"/>
    </row>
    <row r="11065" spans="13:13" ht="15" customHeight="1" x14ac:dyDescent="0.25">
      <c r="M11065" s="274"/>
    </row>
    <row r="11066" spans="13:13" ht="15" customHeight="1" x14ac:dyDescent="0.25">
      <c r="M11066" s="274"/>
    </row>
    <row r="11067" spans="13:13" ht="15" customHeight="1" x14ac:dyDescent="0.25">
      <c r="M11067" s="274"/>
    </row>
    <row r="11068" spans="13:13" ht="15" customHeight="1" x14ac:dyDescent="0.25">
      <c r="M11068" s="274"/>
    </row>
    <row r="11069" spans="13:13" ht="15" customHeight="1" x14ac:dyDescent="0.25">
      <c r="M11069" s="274"/>
    </row>
    <row r="11070" spans="13:13" ht="15" customHeight="1" x14ac:dyDescent="0.25">
      <c r="M11070" s="274"/>
    </row>
    <row r="11071" spans="13:13" ht="15" customHeight="1" x14ac:dyDescent="0.25">
      <c r="M11071" s="274"/>
    </row>
    <row r="11072" spans="13:13" ht="15" customHeight="1" x14ac:dyDescent="0.25">
      <c r="M11072" s="274"/>
    </row>
    <row r="11073" spans="13:13" ht="15" customHeight="1" x14ac:dyDescent="0.25">
      <c r="M11073" s="274"/>
    </row>
    <row r="11074" spans="13:13" ht="15" customHeight="1" x14ac:dyDescent="0.25">
      <c r="M11074" s="274"/>
    </row>
    <row r="11075" spans="13:13" ht="15" customHeight="1" x14ac:dyDescent="0.25">
      <c r="M11075" s="274"/>
    </row>
    <row r="11076" spans="13:13" ht="15" customHeight="1" x14ac:dyDescent="0.25">
      <c r="M11076" s="274"/>
    </row>
    <row r="11077" spans="13:13" ht="15" customHeight="1" x14ac:dyDescent="0.25">
      <c r="M11077" s="274"/>
    </row>
    <row r="11078" spans="13:13" ht="15" customHeight="1" x14ac:dyDescent="0.25">
      <c r="M11078" s="274"/>
    </row>
    <row r="11079" spans="13:13" ht="15" customHeight="1" x14ac:dyDescent="0.25">
      <c r="M11079" s="274"/>
    </row>
    <row r="11080" spans="13:13" ht="15" customHeight="1" x14ac:dyDescent="0.25">
      <c r="M11080" s="274"/>
    </row>
    <row r="11081" spans="13:13" ht="15" customHeight="1" x14ac:dyDescent="0.25">
      <c r="M11081" s="274"/>
    </row>
    <row r="11082" spans="13:13" ht="15" customHeight="1" x14ac:dyDescent="0.25">
      <c r="M11082" s="274"/>
    </row>
    <row r="11083" spans="13:13" ht="15" customHeight="1" x14ac:dyDescent="0.25">
      <c r="M11083" s="274"/>
    </row>
    <row r="11084" spans="13:13" ht="15" customHeight="1" x14ac:dyDescent="0.25">
      <c r="M11084" s="274"/>
    </row>
    <row r="11085" spans="13:13" ht="15" customHeight="1" x14ac:dyDescent="0.25">
      <c r="M11085" s="274"/>
    </row>
    <row r="11086" spans="13:13" ht="15" customHeight="1" x14ac:dyDescent="0.25">
      <c r="M11086" s="274"/>
    </row>
    <row r="11087" spans="13:13" ht="15" customHeight="1" x14ac:dyDescent="0.25">
      <c r="M11087" s="274"/>
    </row>
    <row r="11088" spans="13:13" ht="15" customHeight="1" x14ac:dyDescent="0.25">
      <c r="M11088" s="274"/>
    </row>
    <row r="11089" spans="13:13" ht="15" customHeight="1" x14ac:dyDescent="0.25">
      <c r="M11089" s="274"/>
    </row>
    <row r="11090" spans="13:13" ht="15" customHeight="1" x14ac:dyDescent="0.25">
      <c r="M11090" s="274"/>
    </row>
    <row r="11091" spans="13:13" ht="15" customHeight="1" x14ac:dyDescent="0.25">
      <c r="M11091" s="274"/>
    </row>
    <row r="11092" spans="13:13" ht="15" customHeight="1" x14ac:dyDescent="0.25">
      <c r="M11092" s="274"/>
    </row>
    <row r="11093" spans="13:13" ht="15" customHeight="1" x14ac:dyDescent="0.25">
      <c r="M11093" s="274"/>
    </row>
    <row r="11094" spans="13:13" ht="15" customHeight="1" x14ac:dyDescent="0.25">
      <c r="M11094" s="274"/>
    </row>
    <row r="11095" spans="13:13" ht="15" customHeight="1" x14ac:dyDescent="0.25">
      <c r="M11095" s="274"/>
    </row>
    <row r="11096" spans="13:13" ht="15" customHeight="1" x14ac:dyDescent="0.25">
      <c r="M11096" s="274"/>
    </row>
    <row r="11097" spans="13:13" ht="15" customHeight="1" x14ac:dyDescent="0.25">
      <c r="M11097" s="274"/>
    </row>
    <row r="11098" spans="13:13" ht="15" customHeight="1" x14ac:dyDescent="0.25">
      <c r="M11098" s="274"/>
    </row>
    <row r="11099" spans="13:13" ht="15" customHeight="1" x14ac:dyDescent="0.25">
      <c r="M11099" s="274"/>
    </row>
    <row r="11100" spans="13:13" ht="15" customHeight="1" x14ac:dyDescent="0.25">
      <c r="M11100" s="274"/>
    </row>
    <row r="11101" spans="13:13" ht="15" customHeight="1" x14ac:dyDescent="0.25">
      <c r="M11101" s="274"/>
    </row>
    <row r="11102" spans="13:13" ht="15" customHeight="1" x14ac:dyDescent="0.25">
      <c r="M11102" s="274"/>
    </row>
    <row r="11103" spans="13:13" ht="15" customHeight="1" x14ac:dyDescent="0.25">
      <c r="M11103" s="274"/>
    </row>
    <row r="11104" spans="13:13" ht="15" customHeight="1" x14ac:dyDescent="0.25">
      <c r="M11104" s="274"/>
    </row>
    <row r="11105" spans="13:13" ht="15" customHeight="1" x14ac:dyDescent="0.25">
      <c r="M11105" s="274"/>
    </row>
    <row r="11106" spans="13:13" ht="15" customHeight="1" x14ac:dyDescent="0.25">
      <c r="M11106" s="274"/>
    </row>
    <row r="11107" spans="13:13" ht="15" customHeight="1" x14ac:dyDescent="0.25">
      <c r="M11107" s="274"/>
    </row>
    <row r="11108" spans="13:13" ht="15" customHeight="1" x14ac:dyDescent="0.25">
      <c r="M11108" s="274"/>
    </row>
    <row r="11109" spans="13:13" ht="15" customHeight="1" x14ac:dyDescent="0.25">
      <c r="M11109" s="274"/>
    </row>
    <row r="11110" spans="13:13" ht="15" customHeight="1" x14ac:dyDescent="0.25">
      <c r="M11110" s="274"/>
    </row>
    <row r="11111" spans="13:13" ht="15" customHeight="1" x14ac:dyDescent="0.25">
      <c r="M11111" s="274"/>
    </row>
    <row r="11112" spans="13:13" ht="15" customHeight="1" x14ac:dyDescent="0.25">
      <c r="M11112" s="274"/>
    </row>
    <row r="11113" spans="13:13" ht="15" customHeight="1" x14ac:dyDescent="0.25">
      <c r="M11113" s="274"/>
    </row>
    <row r="11114" spans="13:13" ht="15" customHeight="1" x14ac:dyDescent="0.25">
      <c r="M11114" s="274"/>
    </row>
    <row r="11115" spans="13:13" ht="15" customHeight="1" x14ac:dyDescent="0.25">
      <c r="M11115" s="274"/>
    </row>
    <row r="11116" spans="13:13" ht="15" customHeight="1" x14ac:dyDescent="0.25">
      <c r="M11116" s="274"/>
    </row>
    <row r="11117" spans="13:13" ht="15" customHeight="1" x14ac:dyDescent="0.25">
      <c r="M11117" s="274"/>
    </row>
    <row r="11118" spans="13:13" ht="15" customHeight="1" x14ac:dyDescent="0.25">
      <c r="M11118" s="274"/>
    </row>
    <row r="11119" spans="13:13" ht="15" customHeight="1" x14ac:dyDescent="0.25">
      <c r="M11119" s="274"/>
    </row>
    <row r="11120" spans="13:13" ht="15" customHeight="1" x14ac:dyDescent="0.25">
      <c r="M11120" s="274"/>
    </row>
    <row r="11121" spans="13:13" ht="15" customHeight="1" x14ac:dyDescent="0.25">
      <c r="M11121" s="274"/>
    </row>
    <row r="11122" spans="13:13" ht="15" customHeight="1" x14ac:dyDescent="0.25">
      <c r="M11122" s="274"/>
    </row>
    <row r="11123" spans="13:13" ht="15" customHeight="1" x14ac:dyDescent="0.25">
      <c r="M11123" s="274"/>
    </row>
    <row r="11124" spans="13:13" ht="15" customHeight="1" x14ac:dyDescent="0.25">
      <c r="M11124" s="274"/>
    </row>
    <row r="11125" spans="13:13" ht="15" customHeight="1" x14ac:dyDescent="0.25">
      <c r="M11125" s="274"/>
    </row>
    <row r="11126" spans="13:13" ht="15" customHeight="1" x14ac:dyDescent="0.25">
      <c r="M11126" s="274"/>
    </row>
    <row r="11127" spans="13:13" ht="15" customHeight="1" x14ac:dyDescent="0.25">
      <c r="M11127" s="274"/>
    </row>
    <row r="11128" spans="13:13" ht="15" customHeight="1" x14ac:dyDescent="0.25">
      <c r="M11128" s="274"/>
    </row>
    <row r="11129" spans="13:13" ht="15" customHeight="1" x14ac:dyDescent="0.25">
      <c r="M11129" s="274"/>
    </row>
    <row r="11130" spans="13:13" ht="15" customHeight="1" x14ac:dyDescent="0.25">
      <c r="M11130" s="274"/>
    </row>
    <row r="11131" spans="13:13" ht="15" customHeight="1" x14ac:dyDescent="0.25">
      <c r="M11131" s="274"/>
    </row>
    <row r="11132" spans="13:13" ht="15" customHeight="1" x14ac:dyDescent="0.25">
      <c r="M11132" s="274"/>
    </row>
    <row r="11133" spans="13:13" ht="15" customHeight="1" x14ac:dyDescent="0.25">
      <c r="M11133" s="274"/>
    </row>
    <row r="11134" spans="13:13" ht="15" customHeight="1" x14ac:dyDescent="0.25">
      <c r="M11134" s="274"/>
    </row>
    <row r="11135" spans="13:13" ht="15" customHeight="1" x14ac:dyDescent="0.25">
      <c r="M11135" s="274"/>
    </row>
    <row r="11136" spans="13:13" ht="15" customHeight="1" x14ac:dyDescent="0.25">
      <c r="M11136" s="274"/>
    </row>
    <row r="11137" spans="13:13" ht="15" customHeight="1" x14ac:dyDescent="0.25">
      <c r="M11137" s="274"/>
    </row>
    <row r="11138" spans="13:13" ht="15" customHeight="1" x14ac:dyDescent="0.25">
      <c r="M11138" s="274"/>
    </row>
    <row r="11139" spans="13:13" ht="15" customHeight="1" x14ac:dyDescent="0.25">
      <c r="M11139" s="274"/>
    </row>
    <row r="11140" spans="13:13" ht="15" customHeight="1" x14ac:dyDescent="0.25">
      <c r="M11140" s="274"/>
    </row>
    <row r="11141" spans="13:13" ht="15" customHeight="1" x14ac:dyDescent="0.25">
      <c r="M11141" s="274"/>
    </row>
    <row r="11142" spans="13:13" ht="15" customHeight="1" x14ac:dyDescent="0.25">
      <c r="M11142" s="274"/>
    </row>
    <row r="11143" spans="13:13" ht="15" customHeight="1" x14ac:dyDescent="0.25">
      <c r="M11143" s="274"/>
    </row>
    <row r="11144" spans="13:13" ht="15" customHeight="1" x14ac:dyDescent="0.25">
      <c r="M11144" s="274"/>
    </row>
    <row r="11145" spans="13:13" ht="15" customHeight="1" x14ac:dyDescent="0.25">
      <c r="M11145" s="274"/>
    </row>
    <row r="11146" spans="13:13" ht="15" customHeight="1" x14ac:dyDescent="0.25">
      <c r="M11146" s="274"/>
    </row>
    <row r="11147" spans="13:13" ht="15" customHeight="1" x14ac:dyDescent="0.25">
      <c r="M11147" s="274"/>
    </row>
    <row r="11148" spans="13:13" ht="15" customHeight="1" x14ac:dyDescent="0.25">
      <c r="M11148" s="274"/>
    </row>
    <row r="11149" spans="13:13" ht="15" customHeight="1" x14ac:dyDescent="0.25">
      <c r="M11149" s="274"/>
    </row>
    <row r="11150" spans="13:13" ht="15" customHeight="1" x14ac:dyDescent="0.25">
      <c r="M11150" s="274"/>
    </row>
    <row r="11151" spans="13:13" ht="15" customHeight="1" x14ac:dyDescent="0.25">
      <c r="M11151" s="274"/>
    </row>
    <row r="11152" spans="13:13" ht="15" customHeight="1" x14ac:dyDescent="0.25">
      <c r="M11152" s="274"/>
    </row>
    <row r="11153" spans="13:13" ht="15" customHeight="1" x14ac:dyDescent="0.25">
      <c r="M11153" s="274"/>
    </row>
    <row r="11154" spans="13:13" ht="15" customHeight="1" x14ac:dyDescent="0.25">
      <c r="M11154" s="274"/>
    </row>
    <row r="11155" spans="13:13" ht="15" customHeight="1" x14ac:dyDescent="0.25">
      <c r="M11155" s="274"/>
    </row>
    <row r="11156" spans="13:13" ht="15" customHeight="1" x14ac:dyDescent="0.25">
      <c r="M11156" s="274"/>
    </row>
    <row r="11157" spans="13:13" ht="15" customHeight="1" x14ac:dyDescent="0.25">
      <c r="M11157" s="274"/>
    </row>
    <row r="11158" spans="13:13" ht="15" customHeight="1" x14ac:dyDescent="0.25">
      <c r="M11158" s="274"/>
    </row>
    <row r="11159" spans="13:13" ht="15" customHeight="1" x14ac:dyDescent="0.25">
      <c r="M11159" s="274"/>
    </row>
    <row r="11160" spans="13:13" ht="15" customHeight="1" x14ac:dyDescent="0.25">
      <c r="M11160" s="274"/>
    </row>
    <row r="11161" spans="13:13" ht="15" customHeight="1" x14ac:dyDescent="0.25">
      <c r="M11161" s="274"/>
    </row>
    <row r="11162" spans="13:13" ht="15" customHeight="1" x14ac:dyDescent="0.25">
      <c r="M11162" s="274"/>
    </row>
    <row r="11163" spans="13:13" ht="15" customHeight="1" x14ac:dyDescent="0.25">
      <c r="M11163" s="274"/>
    </row>
    <row r="11164" spans="13:13" ht="15" customHeight="1" x14ac:dyDescent="0.25">
      <c r="M11164" s="274"/>
    </row>
    <row r="11165" spans="13:13" ht="15" customHeight="1" x14ac:dyDescent="0.25">
      <c r="M11165" s="274"/>
    </row>
    <row r="11166" spans="13:13" ht="15" customHeight="1" x14ac:dyDescent="0.25">
      <c r="M11166" s="274"/>
    </row>
    <row r="11167" spans="13:13" ht="15" customHeight="1" x14ac:dyDescent="0.25">
      <c r="M11167" s="274"/>
    </row>
    <row r="11168" spans="13:13" ht="15" customHeight="1" x14ac:dyDescent="0.25">
      <c r="M11168" s="274"/>
    </row>
    <row r="11169" spans="13:13" ht="15" customHeight="1" x14ac:dyDescent="0.25">
      <c r="M11169" s="274"/>
    </row>
    <row r="11170" spans="13:13" ht="15" customHeight="1" x14ac:dyDescent="0.25">
      <c r="M11170" s="274"/>
    </row>
    <row r="11171" spans="13:13" ht="15" customHeight="1" x14ac:dyDescent="0.25">
      <c r="M11171" s="274"/>
    </row>
    <row r="11172" spans="13:13" ht="15" customHeight="1" x14ac:dyDescent="0.25">
      <c r="M11172" s="274"/>
    </row>
    <row r="11173" spans="13:13" ht="15" customHeight="1" x14ac:dyDescent="0.25">
      <c r="M11173" s="274"/>
    </row>
    <row r="11174" spans="13:13" ht="15" customHeight="1" x14ac:dyDescent="0.25">
      <c r="M11174" s="274"/>
    </row>
    <row r="11175" spans="13:13" ht="15" customHeight="1" x14ac:dyDescent="0.25">
      <c r="M11175" s="274"/>
    </row>
    <row r="11176" spans="13:13" ht="15" customHeight="1" x14ac:dyDescent="0.25">
      <c r="M11176" s="274"/>
    </row>
    <row r="11177" spans="13:13" ht="15" customHeight="1" x14ac:dyDescent="0.25">
      <c r="M11177" s="274"/>
    </row>
    <row r="11178" spans="13:13" ht="15" customHeight="1" x14ac:dyDescent="0.25">
      <c r="M11178" s="274"/>
    </row>
    <row r="11179" spans="13:13" ht="15" customHeight="1" x14ac:dyDescent="0.25">
      <c r="M11179" s="274"/>
    </row>
    <row r="11180" spans="13:13" ht="15" customHeight="1" x14ac:dyDescent="0.25">
      <c r="M11180" s="274"/>
    </row>
    <row r="11181" spans="13:13" ht="15" customHeight="1" x14ac:dyDescent="0.25">
      <c r="M11181" s="274"/>
    </row>
    <row r="11182" spans="13:13" ht="15" customHeight="1" x14ac:dyDescent="0.25">
      <c r="M11182" s="274"/>
    </row>
    <row r="11183" spans="13:13" ht="15" customHeight="1" x14ac:dyDescent="0.25">
      <c r="M11183" s="274"/>
    </row>
    <row r="11184" spans="13:13" ht="15" customHeight="1" x14ac:dyDescent="0.25">
      <c r="M11184" s="274"/>
    </row>
    <row r="11185" spans="13:13" ht="15" customHeight="1" x14ac:dyDescent="0.25">
      <c r="M11185" s="274"/>
    </row>
    <row r="11186" spans="13:13" ht="15" customHeight="1" x14ac:dyDescent="0.25">
      <c r="M11186" s="274"/>
    </row>
    <row r="11187" spans="13:13" ht="15" customHeight="1" x14ac:dyDescent="0.25">
      <c r="M11187" s="274"/>
    </row>
    <row r="11188" spans="13:13" ht="15" customHeight="1" x14ac:dyDescent="0.25">
      <c r="M11188" s="274"/>
    </row>
    <row r="11189" spans="13:13" ht="15" customHeight="1" x14ac:dyDescent="0.25">
      <c r="M11189" s="274"/>
    </row>
    <row r="11190" spans="13:13" ht="15" customHeight="1" x14ac:dyDescent="0.25">
      <c r="M11190" s="274"/>
    </row>
    <row r="11191" spans="13:13" ht="15" customHeight="1" x14ac:dyDescent="0.25">
      <c r="M11191" s="274"/>
    </row>
    <row r="11192" spans="13:13" ht="15" customHeight="1" x14ac:dyDescent="0.25">
      <c r="M11192" s="274"/>
    </row>
    <row r="11193" spans="13:13" ht="15" customHeight="1" x14ac:dyDescent="0.25">
      <c r="M11193" s="274"/>
    </row>
    <row r="11194" spans="13:13" ht="15" customHeight="1" x14ac:dyDescent="0.25">
      <c r="M11194" s="274"/>
    </row>
    <row r="11195" spans="13:13" ht="15" customHeight="1" x14ac:dyDescent="0.25">
      <c r="M11195" s="274"/>
    </row>
    <row r="11196" spans="13:13" ht="15" customHeight="1" x14ac:dyDescent="0.25">
      <c r="M11196" s="274"/>
    </row>
    <row r="11197" spans="13:13" ht="15" customHeight="1" x14ac:dyDescent="0.25">
      <c r="M11197" s="274"/>
    </row>
    <row r="11198" spans="13:13" ht="15" customHeight="1" x14ac:dyDescent="0.25">
      <c r="M11198" s="274"/>
    </row>
    <row r="11199" spans="13:13" ht="15" customHeight="1" x14ac:dyDescent="0.25">
      <c r="M11199" s="274"/>
    </row>
    <row r="11200" spans="13:13" ht="15" customHeight="1" x14ac:dyDescent="0.25">
      <c r="M11200" s="274"/>
    </row>
    <row r="11201" spans="13:13" ht="15" customHeight="1" x14ac:dyDescent="0.25">
      <c r="M11201" s="274"/>
    </row>
    <row r="11202" spans="13:13" ht="15" customHeight="1" x14ac:dyDescent="0.25">
      <c r="M11202" s="274"/>
    </row>
    <row r="11203" spans="13:13" ht="15" customHeight="1" x14ac:dyDescent="0.25">
      <c r="M11203" s="274"/>
    </row>
    <row r="11204" spans="13:13" ht="15" customHeight="1" x14ac:dyDescent="0.25">
      <c r="M11204" s="274"/>
    </row>
    <row r="11205" spans="13:13" ht="15" customHeight="1" x14ac:dyDescent="0.25">
      <c r="M11205" s="274"/>
    </row>
    <row r="11206" spans="13:13" ht="15" customHeight="1" x14ac:dyDescent="0.25">
      <c r="M11206" s="274"/>
    </row>
    <row r="11207" spans="13:13" ht="15" customHeight="1" x14ac:dyDescent="0.25">
      <c r="M11207" s="274"/>
    </row>
    <row r="11208" spans="13:13" ht="15" customHeight="1" x14ac:dyDescent="0.25">
      <c r="M11208" s="274"/>
    </row>
    <row r="11209" spans="13:13" ht="15" customHeight="1" x14ac:dyDescent="0.25">
      <c r="M11209" s="274"/>
    </row>
    <row r="11210" spans="13:13" ht="15" customHeight="1" x14ac:dyDescent="0.25">
      <c r="M11210" s="274"/>
    </row>
    <row r="11211" spans="13:13" ht="15" customHeight="1" x14ac:dyDescent="0.25">
      <c r="M11211" s="274"/>
    </row>
    <row r="11212" spans="13:13" ht="15" customHeight="1" x14ac:dyDescent="0.25">
      <c r="M11212" s="274"/>
    </row>
    <row r="11213" spans="13:13" ht="15" customHeight="1" x14ac:dyDescent="0.25">
      <c r="M11213" s="274"/>
    </row>
    <row r="11214" spans="13:13" ht="15" customHeight="1" x14ac:dyDescent="0.25">
      <c r="M11214" s="274"/>
    </row>
    <row r="11215" spans="13:13" ht="15" customHeight="1" x14ac:dyDescent="0.25">
      <c r="M11215" s="274"/>
    </row>
    <row r="11216" spans="13:13" ht="15" customHeight="1" x14ac:dyDescent="0.25">
      <c r="M11216" s="274"/>
    </row>
    <row r="11217" spans="13:13" ht="15" customHeight="1" x14ac:dyDescent="0.25">
      <c r="M11217" s="274"/>
    </row>
    <row r="11218" spans="13:13" ht="15" customHeight="1" x14ac:dyDescent="0.25">
      <c r="M11218" s="274"/>
    </row>
    <row r="11219" spans="13:13" ht="15" customHeight="1" x14ac:dyDescent="0.25">
      <c r="M11219" s="274"/>
    </row>
    <row r="11220" spans="13:13" ht="15" customHeight="1" x14ac:dyDescent="0.25">
      <c r="M11220" s="274"/>
    </row>
    <row r="11221" spans="13:13" ht="15" customHeight="1" x14ac:dyDescent="0.25">
      <c r="M11221" s="274"/>
    </row>
    <row r="11222" spans="13:13" ht="15" customHeight="1" x14ac:dyDescent="0.25">
      <c r="M11222" s="274"/>
    </row>
    <row r="11223" spans="13:13" ht="15" customHeight="1" x14ac:dyDescent="0.25">
      <c r="M11223" s="274"/>
    </row>
    <row r="11224" spans="13:13" ht="15" customHeight="1" x14ac:dyDescent="0.25">
      <c r="M11224" s="274"/>
    </row>
    <row r="11225" spans="13:13" ht="15" customHeight="1" x14ac:dyDescent="0.25">
      <c r="M11225" s="274"/>
    </row>
    <row r="11226" spans="13:13" ht="15" customHeight="1" x14ac:dyDescent="0.25">
      <c r="M11226" s="274"/>
    </row>
    <row r="11227" spans="13:13" ht="15" customHeight="1" x14ac:dyDescent="0.25">
      <c r="M11227" s="274"/>
    </row>
    <row r="11228" spans="13:13" ht="15" customHeight="1" x14ac:dyDescent="0.25">
      <c r="M11228" s="274"/>
    </row>
    <row r="11229" spans="13:13" ht="15" customHeight="1" x14ac:dyDescent="0.25">
      <c r="M11229" s="274"/>
    </row>
    <row r="11230" spans="13:13" ht="15" customHeight="1" x14ac:dyDescent="0.25">
      <c r="M11230" s="274"/>
    </row>
    <row r="11231" spans="13:13" ht="15" customHeight="1" x14ac:dyDescent="0.25">
      <c r="M11231" s="274"/>
    </row>
    <row r="11232" spans="13:13" ht="15" customHeight="1" x14ac:dyDescent="0.25">
      <c r="M11232" s="274"/>
    </row>
    <row r="11233" spans="13:13" ht="15" customHeight="1" x14ac:dyDescent="0.25">
      <c r="M11233" s="274"/>
    </row>
    <row r="11234" spans="13:13" ht="15" customHeight="1" x14ac:dyDescent="0.25">
      <c r="M11234" s="274"/>
    </row>
    <row r="11235" spans="13:13" ht="15" customHeight="1" x14ac:dyDescent="0.25">
      <c r="M11235" s="274"/>
    </row>
    <row r="11236" spans="13:13" ht="15" customHeight="1" x14ac:dyDescent="0.25">
      <c r="M11236" s="274"/>
    </row>
    <row r="11237" spans="13:13" ht="15" customHeight="1" x14ac:dyDescent="0.25">
      <c r="M11237" s="274"/>
    </row>
    <row r="11238" spans="13:13" ht="15" customHeight="1" x14ac:dyDescent="0.25">
      <c r="M11238" s="274"/>
    </row>
    <row r="11239" spans="13:13" ht="15" customHeight="1" x14ac:dyDescent="0.25">
      <c r="M11239" s="274"/>
    </row>
    <row r="11240" spans="13:13" ht="15" customHeight="1" x14ac:dyDescent="0.25">
      <c r="M11240" s="274"/>
    </row>
    <row r="11241" spans="13:13" ht="15" customHeight="1" x14ac:dyDescent="0.25">
      <c r="M11241" s="274"/>
    </row>
    <row r="11242" spans="13:13" ht="15" customHeight="1" x14ac:dyDescent="0.25">
      <c r="M11242" s="274"/>
    </row>
    <row r="11243" spans="13:13" ht="15" customHeight="1" x14ac:dyDescent="0.25">
      <c r="M11243" s="274"/>
    </row>
    <row r="11244" spans="13:13" ht="15" customHeight="1" x14ac:dyDescent="0.25">
      <c r="M11244" s="274"/>
    </row>
    <row r="11245" spans="13:13" ht="15" customHeight="1" x14ac:dyDescent="0.25">
      <c r="M11245" s="274"/>
    </row>
    <row r="11246" spans="13:13" ht="15" customHeight="1" x14ac:dyDescent="0.25">
      <c r="M11246" s="274"/>
    </row>
    <row r="11247" spans="13:13" ht="15" customHeight="1" x14ac:dyDescent="0.25">
      <c r="M11247" s="274"/>
    </row>
    <row r="11248" spans="13:13" ht="15" customHeight="1" x14ac:dyDescent="0.25">
      <c r="M11248" s="274"/>
    </row>
    <row r="11249" spans="13:13" ht="15" customHeight="1" x14ac:dyDescent="0.25">
      <c r="M11249" s="274"/>
    </row>
    <row r="11250" spans="13:13" ht="15" customHeight="1" x14ac:dyDescent="0.25">
      <c r="M11250" s="274"/>
    </row>
    <row r="11251" spans="13:13" ht="15" customHeight="1" x14ac:dyDescent="0.25">
      <c r="M11251" s="274"/>
    </row>
    <row r="11252" spans="13:13" ht="15" customHeight="1" x14ac:dyDescent="0.25">
      <c r="M11252" s="274"/>
    </row>
    <row r="11253" spans="13:13" ht="15" customHeight="1" x14ac:dyDescent="0.25">
      <c r="M11253" s="274"/>
    </row>
    <row r="11254" spans="13:13" ht="15" customHeight="1" x14ac:dyDescent="0.25">
      <c r="M11254" s="274"/>
    </row>
    <row r="11255" spans="13:13" ht="15" customHeight="1" x14ac:dyDescent="0.25">
      <c r="M11255" s="274"/>
    </row>
    <row r="11256" spans="13:13" ht="15" customHeight="1" x14ac:dyDescent="0.25">
      <c r="M11256" s="274"/>
    </row>
    <row r="11257" spans="13:13" ht="15" customHeight="1" x14ac:dyDescent="0.25">
      <c r="M11257" s="274"/>
    </row>
    <row r="11258" spans="13:13" ht="15" customHeight="1" x14ac:dyDescent="0.25">
      <c r="M11258" s="274"/>
    </row>
    <row r="11259" spans="13:13" ht="15" customHeight="1" x14ac:dyDescent="0.25">
      <c r="M11259" s="274"/>
    </row>
    <row r="11260" spans="13:13" ht="15" customHeight="1" x14ac:dyDescent="0.25">
      <c r="M11260" s="274"/>
    </row>
    <row r="11261" spans="13:13" ht="15" customHeight="1" x14ac:dyDescent="0.25">
      <c r="M11261" s="274"/>
    </row>
    <row r="11262" spans="13:13" ht="15" customHeight="1" x14ac:dyDescent="0.25">
      <c r="M11262" s="274"/>
    </row>
    <row r="11263" spans="13:13" ht="15" customHeight="1" x14ac:dyDescent="0.25">
      <c r="M11263" s="274"/>
    </row>
    <row r="11264" spans="13:13" ht="15" customHeight="1" x14ac:dyDescent="0.25">
      <c r="M11264" s="274"/>
    </row>
    <row r="11265" spans="13:13" ht="15" customHeight="1" x14ac:dyDescent="0.25">
      <c r="M11265" s="274"/>
    </row>
    <row r="11266" spans="13:13" ht="15" customHeight="1" x14ac:dyDescent="0.25">
      <c r="M11266" s="274"/>
    </row>
    <row r="11267" spans="13:13" ht="15" customHeight="1" x14ac:dyDescent="0.25">
      <c r="M11267" s="274"/>
    </row>
    <row r="11268" spans="13:13" ht="15" customHeight="1" x14ac:dyDescent="0.25">
      <c r="M11268" s="274"/>
    </row>
    <row r="11269" spans="13:13" ht="15" customHeight="1" x14ac:dyDescent="0.25">
      <c r="M11269" s="274"/>
    </row>
    <row r="11270" spans="13:13" ht="15" customHeight="1" x14ac:dyDescent="0.25">
      <c r="M11270" s="274"/>
    </row>
    <row r="11271" spans="13:13" ht="15" customHeight="1" x14ac:dyDescent="0.25">
      <c r="M11271" s="274"/>
    </row>
    <row r="11272" spans="13:13" ht="15" customHeight="1" x14ac:dyDescent="0.25">
      <c r="M11272" s="274"/>
    </row>
    <row r="11273" spans="13:13" ht="15" customHeight="1" x14ac:dyDescent="0.25">
      <c r="M11273" s="274"/>
    </row>
    <row r="11274" spans="13:13" ht="15" customHeight="1" x14ac:dyDescent="0.25">
      <c r="M11274" s="274"/>
    </row>
    <row r="11275" spans="13:13" ht="15" customHeight="1" x14ac:dyDescent="0.25">
      <c r="M11275" s="274"/>
    </row>
    <row r="11276" spans="13:13" ht="15" customHeight="1" x14ac:dyDescent="0.25">
      <c r="M11276" s="274"/>
    </row>
    <row r="11277" spans="13:13" ht="15" customHeight="1" x14ac:dyDescent="0.25">
      <c r="M11277" s="274"/>
    </row>
    <row r="11278" spans="13:13" ht="15" customHeight="1" x14ac:dyDescent="0.25">
      <c r="M11278" s="274"/>
    </row>
    <row r="11279" spans="13:13" ht="15" customHeight="1" x14ac:dyDescent="0.25">
      <c r="M11279" s="274"/>
    </row>
    <row r="11280" spans="13:13" ht="15" customHeight="1" x14ac:dyDescent="0.25">
      <c r="M11280" s="274"/>
    </row>
    <row r="11281" spans="13:13" ht="15" customHeight="1" x14ac:dyDescent="0.25">
      <c r="M11281" s="274"/>
    </row>
    <row r="11282" spans="13:13" ht="15" customHeight="1" x14ac:dyDescent="0.25">
      <c r="M11282" s="274"/>
    </row>
    <row r="11283" spans="13:13" ht="15" customHeight="1" x14ac:dyDescent="0.25">
      <c r="M11283" s="274"/>
    </row>
    <row r="11284" spans="13:13" ht="15" customHeight="1" x14ac:dyDescent="0.25">
      <c r="M11284" s="274"/>
    </row>
    <row r="11285" spans="13:13" ht="15" customHeight="1" x14ac:dyDescent="0.25">
      <c r="M11285" s="274"/>
    </row>
    <row r="11286" spans="13:13" ht="15" customHeight="1" x14ac:dyDescent="0.25">
      <c r="M11286" s="274"/>
    </row>
    <row r="11287" spans="13:13" ht="15" customHeight="1" x14ac:dyDescent="0.25">
      <c r="M11287" s="274"/>
    </row>
    <row r="11288" spans="13:13" ht="15" customHeight="1" x14ac:dyDescent="0.25">
      <c r="M11288" s="274"/>
    </row>
    <row r="11289" spans="13:13" ht="15" customHeight="1" x14ac:dyDescent="0.25">
      <c r="M11289" s="274"/>
    </row>
    <row r="11290" spans="13:13" ht="15" customHeight="1" x14ac:dyDescent="0.25">
      <c r="M11290" s="274"/>
    </row>
    <row r="11291" spans="13:13" ht="15" customHeight="1" x14ac:dyDescent="0.25">
      <c r="M11291" s="274"/>
    </row>
    <row r="11292" spans="13:13" ht="15" customHeight="1" x14ac:dyDescent="0.25">
      <c r="M11292" s="274"/>
    </row>
    <row r="11293" spans="13:13" ht="15" customHeight="1" x14ac:dyDescent="0.25">
      <c r="M11293" s="274"/>
    </row>
    <row r="11294" spans="13:13" ht="15" customHeight="1" x14ac:dyDescent="0.25">
      <c r="M11294" s="274"/>
    </row>
    <row r="11295" spans="13:13" ht="15" customHeight="1" x14ac:dyDescent="0.25">
      <c r="M11295" s="274"/>
    </row>
    <row r="11296" spans="13:13" ht="15" customHeight="1" x14ac:dyDescent="0.25">
      <c r="M11296" s="274"/>
    </row>
    <row r="11297" spans="13:13" ht="15" customHeight="1" x14ac:dyDescent="0.25">
      <c r="M11297" s="274"/>
    </row>
    <row r="11298" spans="13:13" ht="15" customHeight="1" x14ac:dyDescent="0.25">
      <c r="M11298" s="274"/>
    </row>
    <row r="11299" spans="13:13" ht="15" customHeight="1" x14ac:dyDescent="0.25">
      <c r="M11299" s="274"/>
    </row>
    <row r="11300" spans="13:13" ht="15" customHeight="1" x14ac:dyDescent="0.25">
      <c r="M11300" s="274"/>
    </row>
    <row r="11301" spans="13:13" ht="15" customHeight="1" x14ac:dyDescent="0.25">
      <c r="M11301" s="274"/>
    </row>
    <row r="11302" spans="13:13" ht="15" customHeight="1" x14ac:dyDescent="0.25">
      <c r="M11302" s="274"/>
    </row>
    <row r="11303" spans="13:13" ht="15" customHeight="1" x14ac:dyDescent="0.25">
      <c r="M11303" s="274"/>
    </row>
    <row r="11304" spans="13:13" ht="15" customHeight="1" x14ac:dyDescent="0.25">
      <c r="M11304" s="274"/>
    </row>
    <row r="11305" spans="13:13" ht="15" customHeight="1" x14ac:dyDescent="0.25">
      <c r="M11305" s="274"/>
    </row>
    <row r="11306" spans="13:13" ht="15" customHeight="1" x14ac:dyDescent="0.25">
      <c r="M11306" s="274"/>
    </row>
    <row r="11307" spans="13:13" ht="15" customHeight="1" x14ac:dyDescent="0.25">
      <c r="M11307" s="274"/>
    </row>
    <row r="11308" spans="13:13" ht="15" customHeight="1" x14ac:dyDescent="0.25">
      <c r="M11308" s="274"/>
    </row>
    <row r="11309" spans="13:13" ht="15" customHeight="1" x14ac:dyDescent="0.25">
      <c r="M11309" s="274"/>
    </row>
    <row r="11310" spans="13:13" ht="15" customHeight="1" x14ac:dyDescent="0.25">
      <c r="M11310" s="274"/>
    </row>
    <row r="11311" spans="13:13" ht="15" customHeight="1" x14ac:dyDescent="0.25">
      <c r="M11311" s="274"/>
    </row>
    <row r="11312" spans="13:13" ht="15" customHeight="1" x14ac:dyDescent="0.25">
      <c r="M11312" s="274"/>
    </row>
    <row r="11313" spans="13:13" ht="15" customHeight="1" x14ac:dyDescent="0.25">
      <c r="M11313" s="274"/>
    </row>
    <row r="11314" spans="13:13" ht="15" customHeight="1" x14ac:dyDescent="0.25">
      <c r="M11314" s="274"/>
    </row>
    <row r="11315" spans="13:13" ht="15" customHeight="1" x14ac:dyDescent="0.25">
      <c r="M11315" s="274"/>
    </row>
    <row r="11316" spans="13:13" ht="15" customHeight="1" x14ac:dyDescent="0.25">
      <c r="M11316" s="274"/>
    </row>
    <row r="11317" spans="13:13" ht="15" customHeight="1" x14ac:dyDescent="0.25">
      <c r="M11317" s="274"/>
    </row>
    <row r="11318" spans="13:13" ht="15" customHeight="1" x14ac:dyDescent="0.25">
      <c r="M11318" s="274"/>
    </row>
    <row r="11319" spans="13:13" ht="15" customHeight="1" x14ac:dyDescent="0.25">
      <c r="M11319" s="274"/>
    </row>
    <row r="11320" spans="13:13" ht="15" customHeight="1" x14ac:dyDescent="0.25">
      <c r="M11320" s="274"/>
    </row>
    <row r="11321" spans="13:13" ht="15" customHeight="1" x14ac:dyDescent="0.25">
      <c r="M11321" s="274"/>
    </row>
    <row r="11322" spans="13:13" ht="15" customHeight="1" x14ac:dyDescent="0.25">
      <c r="M11322" s="274"/>
    </row>
    <row r="11323" spans="13:13" ht="15" customHeight="1" x14ac:dyDescent="0.25">
      <c r="M11323" s="274"/>
    </row>
    <row r="11324" spans="13:13" ht="15" customHeight="1" x14ac:dyDescent="0.25">
      <c r="M11324" s="274"/>
    </row>
    <row r="11325" spans="13:13" ht="15" customHeight="1" x14ac:dyDescent="0.25">
      <c r="M11325" s="274"/>
    </row>
    <row r="11326" spans="13:13" ht="15" customHeight="1" x14ac:dyDescent="0.25">
      <c r="M11326" s="274"/>
    </row>
    <row r="11327" spans="13:13" ht="15" customHeight="1" x14ac:dyDescent="0.25">
      <c r="M11327" s="274"/>
    </row>
    <row r="11328" spans="13:13" ht="15" customHeight="1" x14ac:dyDescent="0.25">
      <c r="M11328" s="274"/>
    </row>
    <row r="11329" spans="13:13" ht="15" customHeight="1" x14ac:dyDescent="0.25">
      <c r="M11329" s="274"/>
    </row>
    <row r="11330" spans="13:13" ht="15" customHeight="1" x14ac:dyDescent="0.25">
      <c r="M11330" s="274"/>
    </row>
    <row r="11331" spans="13:13" ht="15" customHeight="1" x14ac:dyDescent="0.25">
      <c r="M11331" s="274"/>
    </row>
    <row r="11332" spans="13:13" ht="15" customHeight="1" x14ac:dyDescent="0.25">
      <c r="M11332" s="274"/>
    </row>
    <row r="11333" spans="13:13" ht="15" customHeight="1" x14ac:dyDescent="0.25">
      <c r="M11333" s="274"/>
    </row>
    <row r="11334" spans="13:13" ht="15" customHeight="1" x14ac:dyDescent="0.25">
      <c r="M11334" s="274"/>
    </row>
    <row r="11335" spans="13:13" ht="15" customHeight="1" x14ac:dyDescent="0.25">
      <c r="M11335" s="274"/>
    </row>
    <row r="11336" spans="13:13" ht="15" customHeight="1" x14ac:dyDescent="0.25">
      <c r="M11336" s="274"/>
    </row>
    <row r="11337" spans="13:13" ht="15" customHeight="1" x14ac:dyDescent="0.25">
      <c r="M11337" s="274"/>
    </row>
    <row r="11338" spans="13:13" ht="15" customHeight="1" x14ac:dyDescent="0.25">
      <c r="M11338" s="274"/>
    </row>
    <row r="11339" spans="13:13" ht="15" customHeight="1" x14ac:dyDescent="0.25">
      <c r="M11339" s="274"/>
    </row>
    <row r="11340" spans="13:13" ht="15" customHeight="1" x14ac:dyDescent="0.25">
      <c r="M11340" s="274"/>
    </row>
    <row r="11341" spans="13:13" ht="15" customHeight="1" x14ac:dyDescent="0.25">
      <c r="M11341" s="274"/>
    </row>
    <row r="11342" spans="13:13" ht="15" customHeight="1" x14ac:dyDescent="0.25">
      <c r="M11342" s="274"/>
    </row>
    <row r="11343" spans="13:13" ht="15" customHeight="1" x14ac:dyDescent="0.25">
      <c r="M11343" s="274"/>
    </row>
    <row r="11344" spans="13:13" ht="15" customHeight="1" x14ac:dyDescent="0.25">
      <c r="M11344" s="274"/>
    </row>
    <row r="11345" spans="13:13" ht="15" customHeight="1" x14ac:dyDescent="0.25">
      <c r="M11345" s="274"/>
    </row>
    <row r="11346" spans="13:13" ht="15" customHeight="1" x14ac:dyDescent="0.25">
      <c r="M11346" s="274"/>
    </row>
    <row r="11347" spans="13:13" ht="15" customHeight="1" x14ac:dyDescent="0.25">
      <c r="M11347" s="274"/>
    </row>
    <row r="11348" spans="13:13" ht="15" customHeight="1" x14ac:dyDescent="0.25">
      <c r="M11348" s="274"/>
    </row>
    <row r="11349" spans="13:13" ht="15" customHeight="1" x14ac:dyDescent="0.25">
      <c r="M11349" s="274"/>
    </row>
    <row r="11350" spans="13:13" ht="15" customHeight="1" x14ac:dyDescent="0.25">
      <c r="M11350" s="274"/>
    </row>
    <row r="11351" spans="13:13" ht="15" customHeight="1" x14ac:dyDescent="0.25">
      <c r="M11351" s="274"/>
    </row>
    <row r="11352" spans="13:13" ht="15" customHeight="1" x14ac:dyDescent="0.25">
      <c r="M11352" s="274"/>
    </row>
    <row r="11353" spans="13:13" ht="15" customHeight="1" x14ac:dyDescent="0.25">
      <c r="M11353" s="274"/>
    </row>
    <row r="11354" spans="13:13" ht="15" customHeight="1" x14ac:dyDescent="0.25">
      <c r="M11354" s="274"/>
    </row>
    <row r="11355" spans="13:13" ht="15" customHeight="1" x14ac:dyDescent="0.25">
      <c r="M11355" s="274"/>
    </row>
    <row r="11356" spans="13:13" ht="15" customHeight="1" x14ac:dyDescent="0.25">
      <c r="M11356" s="274"/>
    </row>
    <row r="11357" spans="13:13" ht="15" customHeight="1" x14ac:dyDescent="0.25">
      <c r="M11357" s="274"/>
    </row>
    <row r="11358" spans="13:13" ht="15" customHeight="1" x14ac:dyDescent="0.25">
      <c r="M11358" s="274"/>
    </row>
    <row r="11359" spans="13:13" ht="15" customHeight="1" x14ac:dyDescent="0.25">
      <c r="M11359" s="274"/>
    </row>
    <row r="11360" spans="13:13" ht="15" customHeight="1" x14ac:dyDescent="0.25">
      <c r="M11360" s="274"/>
    </row>
    <row r="11361" spans="13:13" ht="15" customHeight="1" x14ac:dyDescent="0.25">
      <c r="M11361" s="274"/>
    </row>
    <row r="11362" spans="13:13" ht="15" customHeight="1" x14ac:dyDescent="0.25">
      <c r="M11362" s="274"/>
    </row>
    <row r="11363" spans="13:13" ht="15" customHeight="1" x14ac:dyDescent="0.25">
      <c r="M11363" s="274"/>
    </row>
    <row r="11364" spans="13:13" ht="15" customHeight="1" x14ac:dyDescent="0.25">
      <c r="M11364" s="274"/>
    </row>
    <row r="11365" spans="13:13" ht="15" customHeight="1" x14ac:dyDescent="0.25">
      <c r="M11365" s="274"/>
    </row>
    <row r="11366" spans="13:13" ht="15" customHeight="1" x14ac:dyDescent="0.25">
      <c r="M11366" s="274"/>
    </row>
    <row r="11367" spans="13:13" ht="15" customHeight="1" x14ac:dyDescent="0.25">
      <c r="M11367" s="274"/>
    </row>
    <row r="11368" spans="13:13" ht="15" customHeight="1" x14ac:dyDescent="0.25">
      <c r="M11368" s="274"/>
    </row>
    <row r="11369" spans="13:13" ht="15" customHeight="1" x14ac:dyDescent="0.25">
      <c r="M11369" s="274"/>
    </row>
    <row r="11370" spans="13:13" ht="15" customHeight="1" x14ac:dyDescent="0.25">
      <c r="M11370" s="274"/>
    </row>
    <row r="11371" spans="13:13" ht="15" customHeight="1" x14ac:dyDescent="0.25">
      <c r="M11371" s="274"/>
    </row>
    <row r="11372" spans="13:13" ht="15" customHeight="1" x14ac:dyDescent="0.25">
      <c r="M11372" s="274"/>
    </row>
    <row r="11373" spans="13:13" ht="15" customHeight="1" x14ac:dyDescent="0.25">
      <c r="M11373" s="274"/>
    </row>
    <row r="11374" spans="13:13" ht="15" customHeight="1" x14ac:dyDescent="0.25">
      <c r="M11374" s="274"/>
    </row>
    <row r="11375" spans="13:13" ht="15" customHeight="1" x14ac:dyDescent="0.25">
      <c r="M11375" s="274"/>
    </row>
    <row r="11376" spans="13:13" ht="15" customHeight="1" x14ac:dyDescent="0.25">
      <c r="M11376" s="274"/>
    </row>
    <row r="11377" spans="13:13" ht="15" customHeight="1" x14ac:dyDescent="0.25">
      <c r="M11377" s="274"/>
    </row>
    <row r="11378" spans="13:13" ht="15" customHeight="1" x14ac:dyDescent="0.25">
      <c r="M11378" s="274"/>
    </row>
    <row r="11379" spans="13:13" ht="15" customHeight="1" x14ac:dyDescent="0.25">
      <c r="M11379" s="274"/>
    </row>
    <row r="11380" spans="13:13" ht="15" customHeight="1" x14ac:dyDescent="0.25">
      <c r="M11380" s="274"/>
    </row>
    <row r="11381" spans="13:13" ht="15" customHeight="1" x14ac:dyDescent="0.25">
      <c r="M11381" s="274"/>
    </row>
    <row r="11382" spans="13:13" ht="15" customHeight="1" x14ac:dyDescent="0.25">
      <c r="M11382" s="274"/>
    </row>
    <row r="11383" spans="13:13" ht="15" customHeight="1" x14ac:dyDescent="0.25">
      <c r="M11383" s="274"/>
    </row>
    <row r="11384" spans="13:13" ht="15" customHeight="1" x14ac:dyDescent="0.25">
      <c r="M11384" s="274"/>
    </row>
    <row r="11385" spans="13:13" ht="15" customHeight="1" x14ac:dyDescent="0.25">
      <c r="M11385" s="274"/>
    </row>
    <row r="11386" spans="13:13" ht="15" customHeight="1" x14ac:dyDescent="0.25">
      <c r="M11386" s="274"/>
    </row>
    <row r="11387" spans="13:13" ht="15" customHeight="1" x14ac:dyDescent="0.25">
      <c r="M11387" s="274"/>
    </row>
    <row r="11388" spans="13:13" ht="15" customHeight="1" x14ac:dyDescent="0.25">
      <c r="M11388" s="274"/>
    </row>
    <row r="11389" spans="13:13" ht="15" customHeight="1" x14ac:dyDescent="0.25">
      <c r="M11389" s="274"/>
    </row>
    <row r="11390" spans="13:13" ht="15" customHeight="1" x14ac:dyDescent="0.25">
      <c r="M11390" s="274"/>
    </row>
    <row r="11391" spans="13:13" ht="15" customHeight="1" x14ac:dyDescent="0.25">
      <c r="M11391" s="274"/>
    </row>
    <row r="11392" spans="13:13" ht="15" customHeight="1" x14ac:dyDescent="0.25">
      <c r="M11392" s="274"/>
    </row>
    <row r="11393" spans="13:13" ht="15" customHeight="1" x14ac:dyDescent="0.25">
      <c r="M11393" s="274"/>
    </row>
    <row r="11394" spans="13:13" ht="15" customHeight="1" x14ac:dyDescent="0.25">
      <c r="M11394" s="274"/>
    </row>
    <row r="11395" spans="13:13" ht="15" customHeight="1" x14ac:dyDescent="0.25">
      <c r="M11395" s="274"/>
    </row>
    <row r="11396" spans="13:13" ht="15" customHeight="1" x14ac:dyDescent="0.25">
      <c r="M11396" s="274"/>
    </row>
    <row r="11397" spans="13:13" ht="15" customHeight="1" x14ac:dyDescent="0.25">
      <c r="M11397" s="274"/>
    </row>
    <row r="11398" spans="13:13" ht="15" customHeight="1" x14ac:dyDescent="0.25">
      <c r="M11398" s="274"/>
    </row>
    <row r="11399" spans="13:13" ht="15" customHeight="1" x14ac:dyDescent="0.25">
      <c r="M11399" s="274"/>
    </row>
    <row r="11400" spans="13:13" ht="15" customHeight="1" x14ac:dyDescent="0.25">
      <c r="M11400" s="274"/>
    </row>
    <row r="11401" spans="13:13" ht="15" customHeight="1" x14ac:dyDescent="0.25">
      <c r="M11401" s="274"/>
    </row>
    <row r="11402" spans="13:13" ht="15" customHeight="1" x14ac:dyDescent="0.25">
      <c r="M11402" s="274"/>
    </row>
    <row r="11403" spans="13:13" ht="15" customHeight="1" x14ac:dyDescent="0.25">
      <c r="M11403" s="274"/>
    </row>
    <row r="11404" spans="13:13" ht="15" customHeight="1" x14ac:dyDescent="0.25">
      <c r="M11404" s="274"/>
    </row>
    <row r="11405" spans="13:13" ht="15" customHeight="1" x14ac:dyDescent="0.25">
      <c r="M11405" s="274"/>
    </row>
    <row r="11406" spans="13:13" ht="15" customHeight="1" x14ac:dyDescent="0.25">
      <c r="M11406" s="274"/>
    </row>
    <row r="11407" spans="13:13" ht="15" customHeight="1" x14ac:dyDescent="0.25">
      <c r="M11407" s="274"/>
    </row>
    <row r="11408" spans="13:13" ht="15" customHeight="1" x14ac:dyDescent="0.25">
      <c r="M11408" s="274"/>
    </row>
    <row r="11409" spans="13:13" ht="15" customHeight="1" x14ac:dyDescent="0.25">
      <c r="M11409" s="274"/>
    </row>
    <row r="11410" spans="13:13" ht="15" customHeight="1" x14ac:dyDescent="0.25">
      <c r="M11410" s="274"/>
    </row>
    <row r="11411" spans="13:13" ht="15" customHeight="1" x14ac:dyDescent="0.25">
      <c r="M11411" s="274"/>
    </row>
    <row r="11412" spans="13:13" ht="15" customHeight="1" x14ac:dyDescent="0.25">
      <c r="M11412" s="274"/>
    </row>
    <row r="11413" spans="13:13" ht="15" customHeight="1" x14ac:dyDescent="0.25">
      <c r="M11413" s="274"/>
    </row>
    <row r="11414" spans="13:13" ht="15" customHeight="1" x14ac:dyDescent="0.25">
      <c r="M11414" s="274"/>
    </row>
    <row r="11415" spans="13:13" ht="15" customHeight="1" x14ac:dyDescent="0.25">
      <c r="M11415" s="274"/>
    </row>
    <row r="11416" spans="13:13" ht="15" customHeight="1" x14ac:dyDescent="0.25">
      <c r="M11416" s="274"/>
    </row>
    <row r="11417" spans="13:13" ht="15" customHeight="1" x14ac:dyDescent="0.25">
      <c r="M11417" s="274"/>
    </row>
    <row r="11418" spans="13:13" ht="15" customHeight="1" x14ac:dyDescent="0.25">
      <c r="M11418" s="274"/>
    </row>
    <row r="11419" spans="13:13" ht="15" customHeight="1" x14ac:dyDescent="0.25">
      <c r="M11419" s="274"/>
    </row>
    <row r="11420" spans="13:13" ht="15" customHeight="1" x14ac:dyDescent="0.25">
      <c r="M11420" s="274"/>
    </row>
    <row r="11421" spans="13:13" ht="15" customHeight="1" x14ac:dyDescent="0.25">
      <c r="M11421" s="274"/>
    </row>
    <row r="11422" spans="13:13" ht="15" customHeight="1" x14ac:dyDescent="0.25">
      <c r="M11422" s="274"/>
    </row>
    <row r="11423" spans="13:13" ht="15" customHeight="1" x14ac:dyDescent="0.25">
      <c r="M11423" s="274"/>
    </row>
    <row r="11424" spans="13:13" ht="15" customHeight="1" x14ac:dyDescent="0.25">
      <c r="M11424" s="274"/>
    </row>
    <row r="11425" spans="13:13" ht="15" customHeight="1" x14ac:dyDescent="0.25">
      <c r="M11425" s="274"/>
    </row>
    <row r="11426" spans="13:13" ht="15" customHeight="1" x14ac:dyDescent="0.25">
      <c r="M11426" s="274"/>
    </row>
    <row r="11427" spans="13:13" ht="15" customHeight="1" x14ac:dyDescent="0.25">
      <c r="M11427" s="274"/>
    </row>
    <row r="11428" spans="13:13" ht="15" customHeight="1" x14ac:dyDescent="0.25">
      <c r="M11428" s="274"/>
    </row>
    <row r="11429" spans="13:13" ht="15" customHeight="1" x14ac:dyDescent="0.25">
      <c r="M11429" s="274"/>
    </row>
    <row r="11430" spans="13:13" ht="15" customHeight="1" x14ac:dyDescent="0.25">
      <c r="M11430" s="274"/>
    </row>
    <row r="11431" spans="13:13" ht="15" customHeight="1" x14ac:dyDescent="0.25">
      <c r="M11431" s="274"/>
    </row>
    <row r="11432" spans="13:13" ht="15" customHeight="1" x14ac:dyDescent="0.25">
      <c r="M11432" s="274"/>
    </row>
    <row r="11433" spans="13:13" ht="15" customHeight="1" x14ac:dyDescent="0.25">
      <c r="M11433" s="274"/>
    </row>
    <row r="11434" spans="13:13" ht="15" customHeight="1" x14ac:dyDescent="0.25">
      <c r="M11434" s="274"/>
    </row>
    <row r="11435" spans="13:13" ht="15" customHeight="1" x14ac:dyDescent="0.25">
      <c r="M11435" s="274"/>
    </row>
    <row r="11436" spans="13:13" ht="15" customHeight="1" x14ac:dyDescent="0.25">
      <c r="M11436" s="274"/>
    </row>
    <row r="11437" spans="13:13" ht="15" customHeight="1" x14ac:dyDescent="0.25">
      <c r="M11437" s="274"/>
    </row>
    <row r="11438" spans="13:13" ht="15" customHeight="1" x14ac:dyDescent="0.25">
      <c r="M11438" s="274"/>
    </row>
    <row r="11439" spans="13:13" ht="15" customHeight="1" x14ac:dyDescent="0.25">
      <c r="M11439" s="274"/>
    </row>
    <row r="11440" spans="13:13" ht="15" customHeight="1" x14ac:dyDescent="0.25">
      <c r="M11440" s="274"/>
    </row>
    <row r="11441" spans="13:13" ht="15" customHeight="1" x14ac:dyDescent="0.25">
      <c r="M11441" s="274"/>
    </row>
    <row r="11442" spans="13:13" ht="15" customHeight="1" x14ac:dyDescent="0.25">
      <c r="M11442" s="274"/>
    </row>
    <row r="11443" spans="13:13" ht="15" customHeight="1" x14ac:dyDescent="0.25">
      <c r="M11443" s="274"/>
    </row>
    <row r="11444" spans="13:13" ht="15" customHeight="1" x14ac:dyDescent="0.25">
      <c r="M11444" s="274"/>
    </row>
    <row r="11445" spans="13:13" ht="15" customHeight="1" x14ac:dyDescent="0.25">
      <c r="M11445" s="274"/>
    </row>
    <row r="11446" spans="13:13" ht="15" customHeight="1" x14ac:dyDescent="0.25">
      <c r="M11446" s="274"/>
    </row>
    <row r="11447" spans="13:13" ht="15" customHeight="1" x14ac:dyDescent="0.25">
      <c r="M11447" s="274"/>
    </row>
    <row r="11448" spans="13:13" ht="15" customHeight="1" x14ac:dyDescent="0.25">
      <c r="M11448" s="274"/>
    </row>
    <row r="11449" spans="13:13" ht="15" customHeight="1" x14ac:dyDescent="0.25">
      <c r="M11449" s="274"/>
    </row>
    <row r="11450" spans="13:13" ht="15" customHeight="1" x14ac:dyDescent="0.25">
      <c r="M11450" s="274"/>
    </row>
    <row r="11451" spans="13:13" ht="15" customHeight="1" x14ac:dyDescent="0.25">
      <c r="M11451" s="274"/>
    </row>
    <row r="11452" spans="13:13" ht="15" customHeight="1" x14ac:dyDescent="0.25">
      <c r="M11452" s="274"/>
    </row>
    <row r="11453" spans="13:13" ht="15" customHeight="1" x14ac:dyDescent="0.25">
      <c r="M11453" s="274"/>
    </row>
    <row r="11454" spans="13:13" ht="15" customHeight="1" x14ac:dyDescent="0.25">
      <c r="M11454" s="274"/>
    </row>
    <row r="11455" spans="13:13" ht="15" customHeight="1" x14ac:dyDescent="0.25">
      <c r="M11455" s="274"/>
    </row>
    <row r="11456" spans="13:13" ht="15" customHeight="1" x14ac:dyDescent="0.25">
      <c r="M11456" s="274"/>
    </row>
    <row r="11457" spans="13:13" ht="15" customHeight="1" x14ac:dyDescent="0.25">
      <c r="M11457" s="274"/>
    </row>
    <row r="11458" spans="13:13" ht="15" customHeight="1" x14ac:dyDescent="0.25">
      <c r="M11458" s="274"/>
    </row>
    <row r="11459" spans="13:13" ht="15" customHeight="1" x14ac:dyDescent="0.25">
      <c r="M11459" s="274"/>
    </row>
    <row r="11460" spans="13:13" ht="15" customHeight="1" x14ac:dyDescent="0.25">
      <c r="M11460" s="274"/>
    </row>
    <row r="11461" spans="13:13" ht="15" customHeight="1" x14ac:dyDescent="0.25">
      <c r="M11461" s="274"/>
    </row>
    <row r="11462" spans="13:13" ht="15" customHeight="1" x14ac:dyDescent="0.25">
      <c r="M11462" s="274"/>
    </row>
    <row r="11463" spans="13:13" ht="15" customHeight="1" x14ac:dyDescent="0.25">
      <c r="M11463" s="274"/>
    </row>
    <row r="11464" spans="13:13" ht="15" customHeight="1" x14ac:dyDescent="0.25">
      <c r="M11464" s="274"/>
    </row>
    <row r="11465" spans="13:13" ht="15" customHeight="1" x14ac:dyDescent="0.25">
      <c r="M11465" s="274"/>
    </row>
    <row r="11466" spans="13:13" ht="15" customHeight="1" x14ac:dyDescent="0.25">
      <c r="M11466" s="274"/>
    </row>
    <row r="11467" spans="13:13" ht="15" customHeight="1" x14ac:dyDescent="0.25">
      <c r="M11467" s="274"/>
    </row>
    <row r="11468" spans="13:13" ht="15" customHeight="1" x14ac:dyDescent="0.25">
      <c r="M11468" s="274"/>
    </row>
    <row r="11469" spans="13:13" ht="15" customHeight="1" x14ac:dyDescent="0.25">
      <c r="M11469" s="274"/>
    </row>
    <row r="11470" spans="13:13" ht="15" customHeight="1" x14ac:dyDescent="0.25">
      <c r="M11470" s="274"/>
    </row>
    <row r="11471" spans="13:13" ht="15" customHeight="1" x14ac:dyDescent="0.25">
      <c r="M11471" s="274"/>
    </row>
    <row r="11472" spans="13:13" ht="15" customHeight="1" x14ac:dyDescent="0.25">
      <c r="M11472" s="274"/>
    </row>
    <row r="11473" spans="13:13" ht="15" customHeight="1" x14ac:dyDescent="0.25">
      <c r="M11473" s="274"/>
    </row>
    <row r="11474" spans="13:13" ht="15" customHeight="1" x14ac:dyDescent="0.25">
      <c r="M11474" s="274"/>
    </row>
    <row r="11475" spans="13:13" ht="15" customHeight="1" x14ac:dyDescent="0.25">
      <c r="M11475" s="274"/>
    </row>
    <row r="11476" spans="13:13" ht="15" customHeight="1" x14ac:dyDescent="0.25">
      <c r="M11476" s="274"/>
    </row>
    <row r="11477" spans="13:13" ht="15" customHeight="1" x14ac:dyDescent="0.25">
      <c r="M11477" s="274"/>
    </row>
    <row r="11478" spans="13:13" ht="15" customHeight="1" x14ac:dyDescent="0.25">
      <c r="M11478" s="274"/>
    </row>
    <row r="11479" spans="13:13" ht="15" customHeight="1" x14ac:dyDescent="0.25">
      <c r="M11479" s="274"/>
    </row>
    <row r="11480" spans="13:13" ht="15" customHeight="1" x14ac:dyDescent="0.25">
      <c r="M11480" s="274"/>
    </row>
    <row r="11481" spans="13:13" ht="15" customHeight="1" x14ac:dyDescent="0.25">
      <c r="M11481" s="274"/>
    </row>
    <row r="11482" spans="13:13" ht="15" customHeight="1" x14ac:dyDescent="0.25">
      <c r="M11482" s="274"/>
    </row>
    <row r="11483" spans="13:13" ht="15" customHeight="1" x14ac:dyDescent="0.25">
      <c r="M11483" s="274"/>
    </row>
    <row r="11484" spans="13:13" ht="15" customHeight="1" x14ac:dyDescent="0.25">
      <c r="M11484" s="274"/>
    </row>
    <row r="11485" spans="13:13" ht="15" customHeight="1" x14ac:dyDescent="0.25">
      <c r="M11485" s="274"/>
    </row>
    <row r="11486" spans="13:13" ht="15" customHeight="1" x14ac:dyDescent="0.25">
      <c r="M11486" s="274"/>
    </row>
    <row r="11487" spans="13:13" ht="15" customHeight="1" x14ac:dyDescent="0.25">
      <c r="M11487" s="274"/>
    </row>
    <row r="11488" spans="13:13" ht="15" customHeight="1" x14ac:dyDescent="0.25">
      <c r="M11488" s="274"/>
    </row>
    <row r="11489" spans="13:13" ht="15" customHeight="1" x14ac:dyDescent="0.25">
      <c r="M11489" s="274"/>
    </row>
    <row r="11490" spans="13:13" ht="15" customHeight="1" x14ac:dyDescent="0.25">
      <c r="M11490" s="274"/>
    </row>
    <row r="11491" spans="13:13" ht="15" customHeight="1" x14ac:dyDescent="0.25">
      <c r="M11491" s="274"/>
    </row>
    <row r="11492" spans="13:13" ht="15" customHeight="1" x14ac:dyDescent="0.25">
      <c r="M11492" s="274"/>
    </row>
    <row r="11493" spans="13:13" ht="15" customHeight="1" x14ac:dyDescent="0.25">
      <c r="M11493" s="274"/>
    </row>
    <row r="11494" spans="13:13" ht="15" customHeight="1" x14ac:dyDescent="0.25">
      <c r="M11494" s="274"/>
    </row>
    <row r="11495" spans="13:13" ht="15" customHeight="1" x14ac:dyDescent="0.25">
      <c r="M11495" s="274"/>
    </row>
    <row r="11496" spans="13:13" ht="15" customHeight="1" x14ac:dyDescent="0.25">
      <c r="M11496" s="274"/>
    </row>
    <row r="11497" spans="13:13" ht="15" customHeight="1" x14ac:dyDescent="0.25">
      <c r="M11497" s="274"/>
    </row>
    <row r="11498" spans="13:13" ht="15" customHeight="1" x14ac:dyDescent="0.25">
      <c r="M11498" s="274"/>
    </row>
    <row r="11499" spans="13:13" ht="15" customHeight="1" x14ac:dyDescent="0.25">
      <c r="M11499" s="274"/>
    </row>
    <row r="11500" spans="13:13" ht="15" customHeight="1" x14ac:dyDescent="0.25">
      <c r="M11500" s="274"/>
    </row>
    <row r="11501" spans="13:13" ht="15" customHeight="1" x14ac:dyDescent="0.25">
      <c r="M11501" s="274"/>
    </row>
    <row r="11502" spans="13:13" ht="15" customHeight="1" x14ac:dyDescent="0.25">
      <c r="M11502" s="274"/>
    </row>
    <row r="11503" spans="13:13" ht="15" customHeight="1" x14ac:dyDescent="0.25">
      <c r="M11503" s="274"/>
    </row>
    <row r="11504" spans="13:13" ht="15" customHeight="1" x14ac:dyDescent="0.25">
      <c r="M11504" s="274"/>
    </row>
    <row r="11505" spans="13:13" ht="15" customHeight="1" x14ac:dyDescent="0.25">
      <c r="M11505" s="274"/>
    </row>
    <row r="11506" spans="13:13" ht="15" customHeight="1" x14ac:dyDescent="0.25">
      <c r="M11506" s="274"/>
    </row>
    <row r="11507" spans="13:13" ht="15" customHeight="1" x14ac:dyDescent="0.25">
      <c r="M11507" s="274"/>
    </row>
    <row r="11508" spans="13:13" ht="15" customHeight="1" x14ac:dyDescent="0.25">
      <c r="M11508" s="274"/>
    </row>
    <row r="11509" spans="13:13" ht="15" customHeight="1" x14ac:dyDescent="0.25">
      <c r="M11509" s="274"/>
    </row>
    <row r="11510" spans="13:13" ht="15" customHeight="1" x14ac:dyDescent="0.25">
      <c r="M11510" s="274"/>
    </row>
    <row r="11511" spans="13:13" ht="15" customHeight="1" x14ac:dyDescent="0.25">
      <c r="M11511" s="274"/>
    </row>
    <row r="11512" spans="13:13" ht="15" customHeight="1" x14ac:dyDescent="0.25">
      <c r="M11512" s="274"/>
    </row>
    <row r="11513" spans="13:13" ht="15" customHeight="1" x14ac:dyDescent="0.25">
      <c r="M11513" s="274"/>
    </row>
    <row r="11514" spans="13:13" ht="15" customHeight="1" x14ac:dyDescent="0.25">
      <c r="M11514" s="274"/>
    </row>
    <row r="11515" spans="13:13" ht="15" customHeight="1" x14ac:dyDescent="0.25">
      <c r="M11515" s="274"/>
    </row>
    <row r="11516" spans="13:13" ht="15" customHeight="1" x14ac:dyDescent="0.25">
      <c r="M11516" s="274"/>
    </row>
    <row r="11517" spans="13:13" ht="15" customHeight="1" x14ac:dyDescent="0.25">
      <c r="M11517" s="274"/>
    </row>
    <row r="11518" spans="13:13" ht="15" customHeight="1" x14ac:dyDescent="0.25">
      <c r="M11518" s="274"/>
    </row>
    <row r="11519" spans="13:13" ht="15" customHeight="1" x14ac:dyDescent="0.25">
      <c r="M11519" s="274"/>
    </row>
    <row r="11520" spans="13:13" ht="15" customHeight="1" x14ac:dyDescent="0.25">
      <c r="M11520" s="274"/>
    </row>
    <row r="11521" spans="13:13" ht="15" customHeight="1" x14ac:dyDescent="0.25">
      <c r="M11521" s="274"/>
    </row>
    <row r="11522" spans="13:13" ht="15" customHeight="1" x14ac:dyDescent="0.25">
      <c r="M11522" s="274"/>
    </row>
    <row r="11523" spans="13:13" ht="15" customHeight="1" x14ac:dyDescent="0.25">
      <c r="M11523" s="274"/>
    </row>
    <row r="11524" spans="13:13" ht="15" customHeight="1" x14ac:dyDescent="0.25">
      <c r="M11524" s="274"/>
    </row>
    <row r="11525" spans="13:13" ht="15" customHeight="1" x14ac:dyDescent="0.25">
      <c r="M11525" s="274"/>
    </row>
    <row r="11526" spans="13:13" ht="15" customHeight="1" x14ac:dyDescent="0.25">
      <c r="M11526" s="274"/>
    </row>
    <row r="11527" spans="13:13" ht="15" customHeight="1" x14ac:dyDescent="0.25">
      <c r="M11527" s="274"/>
    </row>
    <row r="11528" spans="13:13" ht="15" customHeight="1" x14ac:dyDescent="0.25">
      <c r="M11528" s="274"/>
    </row>
    <row r="11529" spans="13:13" ht="15" customHeight="1" x14ac:dyDescent="0.25">
      <c r="M11529" s="274"/>
    </row>
    <row r="11530" spans="13:13" ht="15" customHeight="1" x14ac:dyDescent="0.25">
      <c r="M11530" s="274"/>
    </row>
    <row r="11531" spans="13:13" ht="15" customHeight="1" x14ac:dyDescent="0.25">
      <c r="M11531" s="274"/>
    </row>
    <row r="11532" spans="13:13" ht="15" customHeight="1" x14ac:dyDescent="0.25">
      <c r="M11532" s="274"/>
    </row>
    <row r="11533" spans="13:13" ht="15" customHeight="1" x14ac:dyDescent="0.25">
      <c r="M11533" s="274"/>
    </row>
    <row r="11534" spans="13:13" ht="15" customHeight="1" x14ac:dyDescent="0.25">
      <c r="M11534" s="274"/>
    </row>
    <row r="11535" spans="13:13" ht="15" customHeight="1" x14ac:dyDescent="0.25">
      <c r="M11535" s="274"/>
    </row>
    <row r="11536" spans="13:13" ht="15" customHeight="1" x14ac:dyDescent="0.25">
      <c r="M11536" s="274"/>
    </row>
    <row r="11537" spans="13:13" ht="15" customHeight="1" x14ac:dyDescent="0.25">
      <c r="M11537" s="274"/>
    </row>
    <row r="11538" spans="13:13" ht="15" customHeight="1" x14ac:dyDescent="0.25">
      <c r="M11538" s="274"/>
    </row>
    <row r="11539" spans="13:13" ht="15" customHeight="1" x14ac:dyDescent="0.25">
      <c r="M11539" s="274"/>
    </row>
    <row r="11540" spans="13:13" ht="15" customHeight="1" x14ac:dyDescent="0.25">
      <c r="M11540" s="274"/>
    </row>
    <row r="11541" spans="13:13" ht="15" customHeight="1" x14ac:dyDescent="0.25">
      <c r="M11541" s="274"/>
    </row>
    <row r="11542" spans="13:13" ht="15" customHeight="1" x14ac:dyDescent="0.25">
      <c r="M11542" s="274"/>
    </row>
    <row r="11543" spans="13:13" ht="15" customHeight="1" x14ac:dyDescent="0.25">
      <c r="M11543" s="274"/>
    </row>
    <row r="11544" spans="13:13" ht="15" customHeight="1" x14ac:dyDescent="0.25">
      <c r="M11544" s="274"/>
    </row>
    <row r="11545" spans="13:13" ht="15" customHeight="1" x14ac:dyDescent="0.25">
      <c r="M11545" s="274"/>
    </row>
    <row r="11546" spans="13:13" ht="15" customHeight="1" x14ac:dyDescent="0.25">
      <c r="M11546" s="274"/>
    </row>
    <row r="11547" spans="13:13" ht="15" customHeight="1" x14ac:dyDescent="0.25">
      <c r="M11547" s="274"/>
    </row>
    <row r="11548" spans="13:13" ht="15" customHeight="1" x14ac:dyDescent="0.25">
      <c r="M11548" s="274"/>
    </row>
    <row r="11549" spans="13:13" ht="15" customHeight="1" x14ac:dyDescent="0.25">
      <c r="M11549" s="274"/>
    </row>
    <row r="11550" spans="13:13" ht="15" customHeight="1" x14ac:dyDescent="0.25">
      <c r="M11550" s="274"/>
    </row>
    <row r="11551" spans="13:13" ht="15" customHeight="1" x14ac:dyDescent="0.25">
      <c r="M11551" s="274"/>
    </row>
    <row r="11552" spans="13:13" ht="15" customHeight="1" x14ac:dyDescent="0.25">
      <c r="M11552" s="274"/>
    </row>
    <row r="11553" spans="13:13" ht="15" customHeight="1" x14ac:dyDescent="0.25">
      <c r="M11553" s="274"/>
    </row>
    <row r="11554" spans="13:13" ht="15" customHeight="1" x14ac:dyDescent="0.25">
      <c r="M11554" s="274"/>
    </row>
    <row r="11555" spans="13:13" ht="15" customHeight="1" x14ac:dyDescent="0.25">
      <c r="M11555" s="274"/>
    </row>
    <row r="11556" spans="13:13" ht="15" customHeight="1" x14ac:dyDescent="0.25">
      <c r="M11556" s="274"/>
    </row>
    <row r="11557" spans="13:13" ht="15" customHeight="1" x14ac:dyDescent="0.25">
      <c r="M11557" s="274"/>
    </row>
    <row r="11558" spans="13:13" ht="15" customHeight="1" x14ac:dyDescent="0.25">
      <c r="M11558" s="274"/>
    </row>
    <row r="11559" spans="13:13" ht="15" customHeight="1" x14ac:dyDescent="0.25">
      <c r="M11559" s="274"/>
    </row>
    <row r="11560" spans="13:13" ht="15" customHeight="1" x14ac:dyDescent="0.25">
      <c r="M11560" s="274"/>
    </row>
    <row r="11561" spans="13:13" ht="15" customHeight="1" x14ac:dyDescent="0.25">
      <c r="M11561" s="274"/>
    </row>
    <row r="11562" spans="13:13" ht="15" customHeight="1" x14ac:dyDescent="0.25">
      <c r="M11562" s="274"/>
    </row>
    <row r="11563" spans="13:13" ht="15" customHeight="1" x14ac:dyDescent="0.25">
      <c r="M11563" s="274"/>
    </row>
    <row r="11564" spans="13:13" ht="15" customHeight="1" x14ac:dyDescent="0.25">
      <c r="M11564" s="274"/>
    </row>
    <row r="11565" spans="13:13" ht="15" customHeight="1" x14ac:dyDescent="0.25">
      <c r="M11565" s="274"/>
    </row>
    <row r="11566" spans="13:13" ht="15" customHeight="1" x14ac:dyDescent="0.25">
      <c r="M11566" s="274"/>
    </row>
    <row r="11567" spans="13:13" ht="15" customHeight="1" x14ac:dyDescent="0.25">
      <c r="M11567" s="274"/>
    </row>
    <row r="11568" spans="13:13" ht="15" customHeight="1" x14ac:dyDescent="0.25">
      <c r="M11568" s="274"/>
    </row>
    <row r="11569" spans="13:13" ht="15" customHeight="1" x14ac:dyDescent="0.25">
      <c r="M11569" s="274"/>
    </row>
    <row r="11570" spans="13:13" ht="15" customHeight="1" x14ac:dyDescent="0.25">
      <c r="M11570" s="274"/>
    </row>
    <row r="11571" spans="13:13" ht="15" customHeight="1" x14ac:dyDescent="0.25">
      <c r="M11571" s="274"/>
    </row>
    <row r="11572" spans="13:13" ht="15" customHeight="1" x14ac:dyDescent="0.25">
      <c r="M11572" s="274"/>
    </row>
    <row r="11573" spans="13:13" ht="15" customHeight="1" x14ac:dyDescent="0.25">
      <c r="M11573" s="274"/>
    </row>
    <row r="11574" spans="13:13" ht="15" customHeight="1" x14ac:dyDescent="0.25">
      <c r="M11574" s="274"/>
    </row>
    <row r="11575" spans="13:13" ht="15" customHeight="1" x14ac:dyDescent="0.25">
      <c r="M11575" s="274"/>
    </row>
    <row r="11576" spans="13:13" ht="15" customHeight="1" x14ac:dyDescent="0.25">
      <c r="M11576" s="274"/>
    </row>
    <row r="11577" spans="13:13" ht="15" customHeight="1" x14ac:dyDescent="0.25">
      <c r="M11577" s="274"/>
    </row>
    <row r="11578" spans="13:13" ht="15" customHeight="1" x14ac:dyDescent="0.25">
      <c r="M11578" s="274"/>
    </row>
    <row r="11579" spans="13:13" ht="15" customHeight="1" x14ac:dyDescent="0.25">
      <c r="M11579" s="274"/>
    </row>
    <row r="11580" spans="13:13" ht="15" customHeight="1" x14ac:dyDescent="0.25">
      <c r="M11580" s="274"/>
    </row>
    <row r="11581" spans="13:13" ht="15" customHeight="1" x14ac:dyDescent="0.25">
      <c r="M11581" s="274"/>
    </row>
    <row r="11582" spans="13:13" ht="15" customHeight="1" x14ac:dyDescent="0.25">
      <c r="M11582" s="274"/>
    </row>
    <row r="11583" spans="13:13" ht="15" customHeight="1" x14ac:dyDescent="0.25">
      <c r="M11583" s="274"/>
    </row>
    <row r="11584" spans="13:13" ht="15" customHeight="1" x14ac:dyDescent="0.25">
      <c r="M11584" s="274"/>
    </row>
    <row r="11585" spans="13:13" ht="15" customHeight="1" x14ac:dyDescent="0.25">
      <c r="M11585" s="274"/>
    </row>
    <row r="11586" spans="13:13" ht="15" customHeight="1" x14ac:dyDescent="0.25">
      <c r="M11586" s="274"/>
    </row>
    <row r="11587" spans="13:13" ht="15" customHeight="1" x14ac:dyDescent="0.25">
      <c r="M11587" s="274"/>
    </row>
    <row r="11588" spans="13:13" ht="15" customHeight="1" x14ac:dyDescent="0.25">
      <c r="M11588" s="274"/>
    </row>
    <row r="11589" spans="13:13" ht="15" customHeight="1" x14ac:dyDescent="0.25">
      <c r="M11589" s="274"/>
    </row>
    <row r="11590" spans="13:13" ht="15" customHeight="1" x14ac:dyDescent="0.25">
      <c r="M11590" s="274"/>
    </row>
    <row r="11591" spans="13:13" ht="15" customHeight="1" x14ac:dyDescent="0.25">
      <c r="M11591" s="274"/>
    </row>
    <row r="11592" spans="13:13" ht="15" customHeight="1" x14ac:dyDescent="0.25">
      <c r="M11592" s="274"/>
    </row>
    <row r="11593" spans="13:13" ht="15" customHeight="1" x14ac:dyDescent="0.25">
      <c r="M11593" s="274"/>
    </row>
    <row r="11594" spans="13:13" ht="15" customHeight="1" x14ac:dyDescent="0.25">
      <c r="M11594" s="274"/>
    </row>
    <row r="11595" spans="13:13" ht="15" customHeight="1" x14ac:dyDescent="0.25">
      <c r="M11595" s="274"/>
    </row>
    <row r="11596" spans="13:13" ht="15" customHeight="1" x14ac:dyDescent="0.25">
      <c r="M11596" s="274"/>
    </row>
    <row r="11597" spans="13:13" ht="15" customHeight="1" x14ac:dyDescent="0.25">
      <c r="M11597" s="274"/>
    </row>
    <row r="11598" spans="13:13" ht="15" customHeight="1" x14ac:dyDescent="0.25">
      <c r="M11598" s="274"/>
    </row>
    <row r="11599" spans="13:13" ht="15" customHeight="1" x14ac:dyDescent="0.25">
      <c r="M11599" s="274"/>
    </row>
    <row r="11600" spans="13:13" ht="15" customHeight="1" x14ac:dyDescent="0.25">
      <c r="M11600" s="274"/>
    </row>
    <row r="11601" spans="13:13" ht="15" customHeight="1" x14ac:dyDescent="0.25">
      <c r="M11601" s="274"/>
    </row>
    <row r="11602" spans="13:13" ht="15" customHeight="1" x14ac:dyDescent="0.25">
      <c r="M11602" s="274"/>
    </row>
    <row r="11603" spans="13:13" ht="15" customHeight="1" x14ac:dyDescent="0.25">
      <c r="M11603" s="274"/>
    </row>
    <row r="11604" spans="13:13" ht="15" customHeight="1" x14ac:dyDescent="0.25">
      <c r="M11604" s="274"/>
    </row>
    <row r="11605" spans="13:13" ht="15" customHeight="1" x14ac:dyDescent="0.25">
      <c r="M11605" s="274"/>
    </row>
    <row r="11606" spans="13:13" ht="15" customHeight="1" x14ac:dyDescent="0.25">
      <c r="M11606" s="274"/>
    </row>
    <row r="11607" spans="13:13" ht="15" customHeight="1" x14ac:dyDescent="0.25">
      <c r="M11607" s="274"/>
    </row>
    <row r="11608" spans="13:13" ht="15" customHeight="1" x14ac:dyDescent="0.25">
      <c r="M11608" s="274"/>
    </row>
    <row r="11609" spans="13:13" ht="15" customHeight="1" x14ac:dyDescent="0.25">
      <c r="M11609" s="274"/>
    </row>
    <row r="11610" spans="13:13" ht="15" customHeight="1" x14ac:dyDescent="0.25">
      <c r="M11610" s="274"/>
    </row>
    <row r="11611" spans="13:13" ht="15" customHeight="1" x14ac:dyDescent="0.25">
      <c r="M11611" s="274"/>
    </row>
    <row r="11612" spans="13:13" ht="15" customHeight="1" x14ac:dyDescent="0.25">
      <c r="M11612" s="274"/>
    </row>
    <row r="11613" spans="13:13" ht="15" customHeight="1" x14ac:dyDescent="0.25">
      <c r="M11613" s="274"/>
    </row>
    <row r="11614" spans="13:13" ht="15" customHeight="1" x14ac:dyDescent="0.25">
      <c r="M11614" s="274"/>
    </row>
    <row r="11615" spans="13:13" ht="15" customHeight="1" x14ac:dyDescent="0.25">
      <c r="M11615" s="274"/>
    </row>
    <row r="11616" spans="13:13" ht="15" customHeight="1" x14ac:dyDescent="0.25">
      <c r="M11616" s="274"/>
    </row>
    <row r="11617" spans="13:13" ht="15" customHeight="1" x14ac:dyDescent="0.25">
      <c r="M11617" s="274"/>
    </row>
    <row r="11618" spans="13:13" ht="15" customHeight="1" x14ac:dyDescent="0.25">
      <c r="M11618" s="274"/>
    </row>
    <row r="11619" spans="13:13" ht="15" customHeight="1" x14ac:dyDescent="0.25">
      <c r="M11619" s="274"/>
    </row>
    <row r="11620" spans="13:13" ht="15" customHeight="1" x14ac:dyDescent="0.25">
      <c r="M11620" s="274"/>
    </row>
    <row r="11621" spans="13:13" ht="15" customHeight="1" x14ac:dyDescent="0.25">
      <c r="M11621" s="274"/>
    </row>
    <row r="11622" spans="13:13" ht="15" customHeight="1" x14ac:dyDescent="0.25">
      <c r="M11622" s="274"/>
    </row>
    <row r="11623" spans="13:13" ht="15" customHeight="1" x14ac:dyDescent="0.25">
      <c r="M11623" s="274"/>
    </row>
    <row r="11624" spans="13:13" ht="15" customHeight="1" x14ac:dyDescent="0.25">
      <c r="M11624" s="274"/>
    </row>
    <row r="11625" spans="13:13" ht="15" customHeight="1" x14ac:dyDescent="0.25">
      <c r="M11625" s="274"/>
    </row>
    <row r="11626" spans="13:13" ht="15" customHeight="1" x14ac:dyDescent="0.25">
      <c r="M11626" s="274"/>
    </row>
    <row r="11627" spans="13:13" ht="15" customHeight="1" x14ac:dyDescent="0.25">
      <c r="M11627" s="274"/>
    </row>
    <row r="11628" spans="13:13" ht="15" customHeight="1" x14ac:dyDescent="0.25">
      <c r="M11628" s="274"/>
    </row>
    <row r="11629" spans="13:13" ht="15" customHeight="1" x14ac:dyDescent="0.25">
      <c r="M11629" s="274"/>
    </row>
    <row r="11630" spans="13:13" ht="15" customHeight="1" x14ac:dyDescent="0.25">
      <c r="M11630" s="274"/>
    </row>
    <row r="11631" spans="13:13" ht="15" customHeight="1" x14ac:dyDescent="0.25">
      <c r="M11631" s="274"/>
    </row>
    <row r="11632" spans="13:13" ht="15" customHeight="1" x14ac:dyDescent="0.25">
      <c r="M11632" s="274"/>
    </row>
    <row r="11633" spans="13:13" ht="15" customHeight="1" x14ac:dyDescent="0.25">
      <c r="M11633" s="274"/>
    </row>
    <row r="11634" spans="13:13" ht="15" customHeight="1" x14ac:dyDescent="0.25">
      <c r="M11634" s="274"/>
    </row>
    <row r="11635" spans="13:13" ht="15" customHeight="1" x14ac:dyDescent="0.25">
      <c r="M11635" s="274"/>
    </row>
    <row r="11636" spans="13:13" ht="15" customHeight="1" x14ac:dyDescent="0.25">
      <c r="M11636" s="274"/>
    </row>
    <row r="11637" spans="13:13" ht="15" customHeight="1" x14ac:dyDescent="0.25">
      <c r="M11637" s="274"/>
    </row>
    <row r="11638" spans="13:13" ht="15" customHeight="1" x14ac:dyDescent="0.25">
      <c r="M11638" s="274"/>
    </row>
    <row r="11639" spans="13:13" ht="15" customHeight="1" x14ac:dyDescent="0.25">
      <c r="M11639" s="274"/>
    </row>
    <row r="11640" spans="13:13" ht="15" customHeight="1" x14ac:dyDescent="0.25">
      <c r="M11640" s="274"/>
    </row>
    <row r="11641" spans="13:13" ht="15" customHeight="1" x14ac:dyDescent="0.25">
      <c r="M11641" s="274"/>
    </row>
    <row r="11642" spans="13:13" ht="15" customHeight="1" x14ac:dyDescent="0.25">
      <c r="M11642" s="274"/>
    </row>
    <row r="11643" spans="13:13" ht="15" customHeight="1" x14ac:dyDescent="0.25">
      <c r="M11643" s="274"/>
    </row>
    <row r="11644" spans="13:13" ht="15" customHeight="1" x14ac:dyDescent="0.25">
      <c r="M11644" s="274"/>
    </row>
    <row r="11645" spans="13:13" ht="15" customHeight="1" x14ac:dyDescent="0.25">
      <c r="M11645" s="274"/>
    </row>
    <row r="11646" spans="13:13" ht="15" customHeight="1" x14ac:dyDescent="0.25">
      <c r="M11646" s="274"/>
    </row>
    <row r="11647" spans="13:13" ht="15" customHeight="1" x14ac:dyDescent="0.25">
      <c r="M11647" s="274"/>
    </row>
    <row r="11648" spans="13:13" ht="15" customHeight="1" x14ac:dyDescent="0.25">
      <c r="M11648" s="274"/>
    </row>
    <row r="11649" spans="13:13" ht="15" customHeight="1" x14ac:dyDescent="0.25">
      <c r="M11649" s="274"/>
    </row>
    <row r="11650" spans="13:13" ht="15" customHeight="1" x14ac:dyDescent="0.25">
      <c r="M11650" s="274"/>
    </row>
    <row r="11651" spans="13:13" ht="15" customHeight="1" x14ac:dyDescent="0.25">
      <c r="M11651" s="274"/>
    </row>
    <row r="11652" spans="13:13" ht="15" customHeight="1" x14ac:dyDescent="0.25">
      <c r="M11652" s="274"/>
    </row>
    <row r="11653" spans="13:13" ht="15" customHeight="1" x14ac:dyDescent="0.25">
      <c r="M11653" s="274"/>
    </row>
    <row r="11654" spans="13:13" ht="15" customHeight="1" x14ac:dyDescent="0.25">
      <c r="M11654" s="274"/>
    </row>
    <row r="11655" spans="13:13" ht="15" customHeight="1" x14ac:dyDescent="0.25">
      <c r="M11655" s="274"/>
    </row>
    <row r="11656" spans="13:13" ht="15" customHeight="1" x14ac:dyDescent="0.25">
      <c r="M11656" s="274"/>
    </row>
    <row r="11657" spans="13:13" ht="15" customHeight="1" x14ac:dyDescent="0.25">
      <c r="M11657" s="274"/>
    </row>
    <row r="11658" spans="13:13" ht="15" customHeight="1" x14ac:dyDescent="0.25">
      <c r="M11658" s="274"/>
    </row>
    <row r="11659" spans="13:13" ht="15" customHeight="1" x14ac:dyDescent="0.25">
      <c r="M11659" s="274"/>
    </row>
    <row r="11660" spans="13:13" ht="15" customHeight="1" x14ac:dyDescent="0.25">
      <c r="M11660" s="274"/>
    </row>
    <row r="11661" spans="13:13" ht="15" customHeight="1" x14ac:dyDescent="0.25">
      <c r="M11661" s="274"/>
    </row>
    <row r="11662" spans="13:13" ht="15" customHeight="1" x14ac:dyDescent="0.25">
      <c r="M11662" s="274"/>
    </row>
    <row r="11663" spans="13:13" ht="15" customHeight="1" x14ac:dyDescent="0.25">
      <c r="M11663" s="274"/>
    </row>
    <row r="11664" spans="13:13" ht="15" customHeight="1" x14ac:dyDescent="0.25">
      <c r="M11664" s="274"/>
    </row>
    <row r="11665" spans="13:13" ht="15" customHeight="1" x14ac:dyDescent="0.25">
      <c r="M11665" s="274"/>
    </row>
    <row r="11666" spans="13:13" ht="15" customHeight="1" x14ac:dyDescent="0.25">
      <c r="M11666" s="274"/>
    </row>
    <row r="11667" spans="13:13" ht="15" customHeight="1" x14ac:dyDescent="0.25">
      <c r="M11667" s="274"/>
    </row>
    <row r="11668" spans="13:13" ht="15" customHeight="1" x14ac:dyDescent="0.25">
      <c r="M11668" s="274"/>
    </row>
    <row r="11669" spans="13:13" ht="15" customHeight="1" x14ac:dyDescent="0.25">
      <c r="M11669" s="274"/>
    </row>
    <row r="11670" spans="13:13" ht="15" customHeight="1" x14ac:dyDescent="0.25">
      <c r="M11670" s="274"/>
    </row>
    <row r="11671" spans="13:13" ht="15" customHeight="1" x14ac:dyDescent="0.25">
      <c r="M11671" s="274"/>
    </row>
    <row r="11672" spans="13:13" ht="15" customHeight="1" x14ac:dyDescent="0.25">
      <c r="M11672" s="274"/>
    </row>
    <row r="11673" spans="13:13" ht="15" customHeight="1" x14ac:dyDescent="0.25">
      <c r="M11673" s="274"/>
    </row>
    <row r="11674" spans="13:13" ht="15" customHeight="1" x14ac:dyDescent="0.25">
      <c r="M11674" s="274"/>
    </row>
    <row r="11675" spans="13:13" ht="15" customHeight="1" x14ac:dyDescent="0.25">
      <c r="M11675" s="274"/>
    </row>
    <row r="11676" spans="13:13" ht="15" customHeight="1" x14ac:dyDescent="0.25">
      <c r="M11676" s="274"/>
    </row>
    <row r="11677" spans="13:13" ht="15" customHeight="1" x14ac:dyDescent="0.25">
      <c r="M11677" s="274"/>
    </row>
    <row r="11678" spans="13:13" ht="15" customHeight="1" x14ac:dyDescent="0.25">
      <c r="M11678" s="274"/>
    </row>
    <row r="11679" spans="13:13" ht="15" customHeight="1" x14ac:dyDescent="0.25">
      <c r="M11679" s="274"/>
    </row>
    <row r="11680" spans="13:13" ht="15" customHeight="1" x14ac:dyDescent="0.25">
      <c r="M11680" s="274"/>
    </row>
    <row r="11681" spans="13:13" ht="15" customHeight="1" x14ac:dyDescent="0.25">
      <c r="M11681" s="274"/>
    </row>
    <row r="11682" spans="13:13" ht="15" customHeight="1" x14ac:dyDescent="0.25">
      <c r="M11682" s="274"/>
    </row>
    <row r="11683" spans="13:13" ht="15" customHeight="1" x14ac:dyDescent="0.25">
      <c r="M11683" s="274"/>
    </row>
    <row r="11684" spans="13:13" ht="15" customHeight="1" x14ac:dyDescent="0.25">
      <c r="M11684" s="274"/>
    </row>
    <row r="11685" spans="13:13" ht="15" customHeight="1" x14ac:dyDescent="0.25">
      <c r="M11685" s="274"/>
    </row>
    <row r="11686" spans="13:13" ht="15" customHeight="1" x14ac:dyDescent="0.25">
      <c r="M11686" s="274"/>
    </row>
    <row r="11687" spans="13:13" ht="15" customHeight="1" x14ac:dyDescent="0.25">
      <c r="M11687" s="274"/>
    </row>
    <row r="11688" spans="13:13" ht="15" customHeight="1" x14ac:dyDescent="0.25">
      <c r="M11688" s="274"/>
    </row>
    <row r="11689" spans="13:13" ht="15" customHeight="1" x14ac:dyDescent="0.25">
      <c r="M11689" s="274"/>
    </row>
    <row r="11690" spans="13:13" ht="15" customHeight="1" x14ac:dyDescent="0.25">
      <c r="M11690" s="274"/>
    </row>
    <row r="11691" spans="13:13" ht="15" customHeight="1" x14ac:dyDescent="0.25">
      <c r="M11691" s="274"/>
    </row>
    <row r="11692" spans="13:13" ht="15" customHeight="1" x14ac:dyDescent="0.25">
      <c r="M11692" s="274"/>
    </row>
    <row r="11693" spans="13:13" ht="15" customHeight="1" x14ac:dyDescent="0.25">
      <c r="M11693" s="274"/>
    </row>
    <row r="11694" spans="13:13" ht="15" customHeight="1" x14ac:dyDescent="0.25">
      <c r="M11694" s="274"/>
    </row>
    <row r="11695" spans="13:13" ht="15" customHeight="1" x14ac:dyDescent="0.25">
      <c r="M11695" s="274"/>
    </row>
    <row r="11696" spans="13:13" ht="15" customHeight="1" x14ac:dyDescent="0.25">
      <c r="M11696" s="274"/>
    </row>
    <row r="11697" spans="13:13" ht="15" customHeight="1" x14ac:dyDescent="0.25">
      <c r="M11697" s="274"/>
    </row>
    <row r="11698" spans="13:13" ht="15" customHeight="1" x14ac:dyDescent="0.25">
      <c r="M11698" s="274"/>
    </row>
    <row r="11699" spans="13:13" ht="15" customHeight="1" x14ac:dyDescent="0.25">
      <c r="M11699" s="274"/>
    </row>
    <row r="11700" spans="13:13" ht="15" customHeight="1" x14ac:dyDescent="0.25">
      <c r="M11700" s="274"/>
    </row>
    <row r="11701" spans="13:13" ht="15" customHeight="1" x14ac:dyDescent="0.25">
      <c r="M11701" s="274"/>
    </row>
    <row r="11702" spans="13:13" ht="15" customHeight="1" x14ac:dyDescent="0.25">
      <c r="M11702" s="274"/>
    </row>
    <row r="11703" spans="13:13" ht="15" customHeight="1" x14ac:dyDescent="0.25">
      <c r="M11703" s="274"/>
    </row>
    <row r="11704" spans="13:13" ht="15" customHeight="1" x14ac:dyDescent="0.25">
      <c r="M11704" s="274"/>
    </row>
    <row r="11705" spans="13:13" ht="15" customHeight="1" x14ac:dyDescent="0.25">
      <c r="M11705" s="274"/>
    </row>
    <row r="11706" spans="13:13" ht="15" customHeight="1" x14ac:dyDescent="0.25">
      <c r="M11706" s="274"/>
    </row>
    <row r="11707" spans="13:13" ht="15" customHeight="1" x14ac:dyDescent="0.25">
      <c r="M11707" s="274"/>
    </row>
    <row r="11708" spans="13:13" ht="15" customHeight="1" x14ac:dyDescent="0.25">
      <c r="M11708" s="274"/>
    </row>
    <row r="11709" spans="13:13" ht="15" customHeight="1" x14ac:dyDescent="0.25">
      <c r="M11709" s="274"/>
    </row>
    <row r="11710" spans="13:13" ht="15" customHeight="1" x14ac:dyDescent="0.25">
      <c r="M11710" s="274"/>
    </row>
    <row r="11711" spans="13:13" ht="15" customHeight="1" x14ac:dyDescent="0.25">
      <c r="M11711" s="274"/>
    </row>
    <row r="11712" spans="13:13" ht="15" customHeight="1" x14ac:dyDescent="0.25">
      <c r="M11712" s="274"/>
    </row>
    <row r="11713" spans="13:13" ht="15" customHeight="1" x14ac:dyDescent="0.25">
      <c r="M11713" s="274"/>
    </row>
    <row r="11714" spans="13:13" ht="15" customHeight="1" x14ac:dyDescent="0.25">
      <c r="M11714" s="274"/>
    </row>
    <row r="11715" spans="13:13" ht="15" customHeight="1" x14ac:dyDescent="0.25">
      <c r="M11715" s="274"/>
    </row>
    <row r="11716" spans="13:13" ht="15" customHeight="1" x14ac:dyDescent="0.25">
      <c r="M11716" s="274"/>
    </row>
    <row r="11717" spans="13:13" ht="15" customHeight="1" x14ac:dyDescent="0.25">
      <c r="M11717" s="274"/>
    </row>
    <row r="11718" spans="13:13" ht="15" customHeight="1" x14ac:dyDescent="0.25">
      <c r="M11718" s="274"/>
    </row>
    <row r="11719" spans="13:13" ht="15" customHeight="1" x14ac:dyDescent="0.25">
      <c r="M11719" s="274"/>
    </row>
    <row r="11720" spans="13:13" ht="15" customHeight="1" x14ac:dyDescent="0.25">
      <c r="M11720" s="274"/>
    </row>
    <row r="11721" spans="13:13" ht="15" customHeight="1" x14ac:dyDescent="0.25">
      <c r="M11721" s="274"/>
    </row>
    <row r="11722" spans="13:13" ht="15" customHeight="1" x14ac:dyDescent="0.25">
      <c r="M11722" s="274"/>
    </row>
    <row r="11723" spans="13:13" ht="15" customHeight="1" x14ac:dyDescent="0.25">
      <c r="M11723" s="274"/>
    </row>
    <row r="11724" spans="13:13" ht="15" customHeight="1" x14ac:dyDescent="0.25">
      <c r="M11724" s="274"/>
    </row>
    <row r="11725" spans="13:13" ht="15" customHeight="1" x14ac:dyDescent="0.25">
      <c r="M11725" s="274"/>
    </row>
    <row r="11726" spans="13:13" ht="15" customHeight="1" x14ac:dyDescent="0.25">
      <c r="M11726" s="274"/>
    </row>
    <row r="11727" spans="13:13" ht="15" customHeight="1" x14ac:dyDescent="0.25">
      <c r="M11727" s="274"/>
    </row>
    <row r="11728" spans="13:13" ht="15" customHeight="1" x14ac:dyDescent="0.25">
      <c r="M11728" s="274"/>
    </row>
    <row r="11729" spans="13:13" ht="15" customHeight="1" x14ac:dyDescent="0.25">
      <c r="M11729" s="274"/>
    </row>
    <row r="11730" spans="13:13" ht="15" customHeight="1" x14ac:dyDescent="0.25">
      <c r="M11730" s="274"/>
    </row>
    <row r="11731" spans="13:13" ht="15" customHeight="1" x14ac:dyDescent="0.25">
      <c r="M11731" s="274"/>
    </row>
    <row r="11732" spans="13:13" ht="15" customHeight="1" x14ac:dyDescent="0.25">
      <c r="M11732" s="274"/>
    </row>
    <row r="11733" spans="13:13" ht="15" customHeight="1" x14ac:dyDescent="0.25">
      <c r="M11733" s="274"/>
    </row>
    <row r="11734" spans="13:13" ht="15" customHeight="1" x14ac:dyDescent="0.25">
      <c r="M11734" s="274"/>
    </row>
    <row r="11735" spans="13:13" ht="15" customHeight="1" x14ac:dyDescent="0.25">
      <c r="M11735" s="274"/>
    </row>
    <row r="11736" spans="13:13" ht="15" customHeight="1" x14ac:dyDescent="0.25">
      <c r="M11736" s="274"/>
    </row>
    <row r="11737" spans="13:13" ht="15" customHeight="1" x14ac:dyDescent="0.25">
      <c r="M11737" s="274"/>
    </row>
    <row r="11738" spans="13:13" ht="15" customHeight="1" x14ac:dyDescent="0.25">
      <c r="M11738" s="274"/>
    </row>
    <row r="11739" spans="13:13" ht="15" customHeight="1" x14ac:dyDescent="0.25">
      <c r="M11739" s="274"/>
    </row>
    <row r="11740" spans="13:13" ht="15" customHeight="1" x14ac:dyDescent="0.25">
      <c r="M11740" s="274"/>
    </row>
    <row r="11741" spans="13:13" ht="15" customHeight="1" x14ac:dyDescent="0.25">
      <c r="M11741" s="274"/>
    </row>
    <row r="11742" spans="13:13" ht="15" customHeight="1" x14ac:dyDescent="0.25">
      <c r="M11742" s="274"/>
    </row>
    <row r="11743" spans="13:13" ht="15" customHeight="1" x14ac:dyDescent="0.25">
      <c r="M11743" s="274"/>
    </row>
    <row r="11744" spans="13:13" ht="15" customHeight="1" x14ac:dyDescent="0.25">
      <c r="M11744" s="274"/>
    </row>
    <row r="11745" spans="13:13" ht="15" customHeight="1" x14ac:dyDescent="0.25">
      <c r="M11745" s="274"/>
    </row>
    <row r="11746" spans="13:13" ht="15" customHeight="1" x14ac:dyDescent="0.25">
      <c r="M11746" s="274"/>
    </row>
    <row r="11747" spans="13:13" ht="15" customHeight="1" x14ac:dyDescent="0.25">
      <c r="M11747" s="274"/>
    </row>
    <row r="11748" spans="13:13" ht="15" customHeight="1" x14ac:dyDescent="0.25">
      <c r="M11748" s="274"/>
    </row>
    <row r="11749" spans="13:13" ht="15" customHeight="1" x14ac:dyDescent="0.25">
      <c r="M11749" s="274"/>
    </row>
    <row r="11750" spans="13:13" ht="15" customHeight="1" x14ac:dyDescent="0.25">
      <c r="M11750" s="274"/>
    </row>
    <row r="11751" spans="13:13" ht="15" customHeight="1" x14ac:dyDescent="0.25">
      <c r="M11751" s="274"/>
    </row>
    <row r="11752" spans="13:13" ht="15" customHeight="1" x14ac:dyDescent="0.25">
      <c r="M11752" s="274"/>
    </row>
    <row r="11753" spans="13:13" ht="15" customHeight="1" x14ac:dyDescent="0.25">
      <c r="M11753" s="274"/>
    </row>
    <row r="11754" spans="13:13" ht="15" customHeight="1" x14ac:dyDescent="0.25">
      <c r="M11754" s="274"/>
    </row>
    <row r="11755" spans="13:13" ht="15" customHeight="1" x14ac:dyDescent="0.25">
      <c r="M11755" s="274"/>
    </row>
    <row r="11756" spans="13:13" ht="15" customHeight="1" x14ac:dyDescent="0.25">
      <c r="M11756" s="274"/>
    </row>
    <row r="11757" spans="13:13" ht="15" customHeight="1" x14ac:dyDescent="0.25">
      <c r="M11757" s="274"/>
    </row>
    <row r="11758" spans="13:13" ht="15" customHeight="1" x14ac:dyDescent="0.25">
      <c r="M11758" s="274"/>
    </row>
    <row r="11759" spans="13:13" ht="15" customHeight="1" x14ac:dyDescent="0.25">
      <c r="M11759" s="274"/>
    </row>
    <row r="11760" spans="13:13" ht="15" customHeight="1" x14ac:dyDescent="0.25">
      <c r="M11760" s="274"/>
    </row>
    <row r="11761" spans="13:13" ht="15" customHeight="1" x14ac:dyDescent="0.25">
      <c r="M11761" s="274"/>
    </row>
    <row r="11762" spans="13:13" ht="15" customHeight="1" x14ac:dyDescent="0.25">
      <c r="M11762" s="274"/>
    </row>
    <row r="11763" spans="13:13" ht="15" customHeight="1" x14ac:dyDescent="0.25">
      <c r="M11763" s="274"/>
    </row>
    <row r="11764" spans="13:13" ht="15" customHeight="1" x14ac:dyDescent="0.25">
      <c r="M11764" s="274"/>
    </row>
    <row r="11765" spans="13:13" ht="15" customHeight="1" x14ac:dyDescent="0.25">
      <c r="M11765" s="274"/>
    </row>
    <row r="11766" spans="13:13" ht="15" customHeight="1" x14ac:dyDescent="0.25">
      <c r="M11766" s="274"/>
    </row>
    <row r="11767" spans="13:13" ht="15" customHeight="1" x14ac:dyDescent="0.25">
      <c r="M11767" s="274"/>
    </row>
    <row r="11768" spans="13:13" ht="15" customHeight="1" x14ac:dyDescent="0.25">
      <c r="M11768" s="274"/>
    </row>
    <row r="11769" spans="13:13" ht="15" customHeight="1" x14ac:dyDescent="0.25">
      <c r="M11769" s="274"/>
    </row>
    <row r="11770" spans="13:13" ht="15" customHeight="1" x14ac:dyDescent="0.25">
      <c r="M11770" s="274"/>
    </row>
    <row r="11771" spans="13:13" ht="15" customHeight="1" x14ac:dyDescent="0.25">
      <c r="M11771" s="274"/>
    </row>
    <row r="11772" spans="13:13" ht="15" customHeight="1" x14ac:dyDescent="0.25">
      <c r="M11772" s="274"/>
    </row>
    <row r="11773" spans="13:13" ht="15" customHeight="1" x14ac:dyDescent="0.25">
      <c r="M11773" s="274"/>
    </row>
    <row r="11774" spans="13:13" ht="15" customHeight="1" x14ac:dyDescent="0.25">
      <c r="M11774" s="274"/>
    </row>
    <row r="11775" spans="13:13" ht="15" customHeight="1" x14ac:dyDescent="0.25">
      <c r="M11775" s="274"/>
    </row>
    <row r="11776" spans="13:13" ht="15" customHeight="1" x14ac:dyDescent="0.25">
      <c r="M11776" s="274"/>
    </row>
    <row r="11777" spans="13:13" ht="15" customHeight="1" x14ac:dyDescent="0.25">
      <c r="M11777" s="274"/>
    </row>
    <row r="11778" spans="13:13" ht="15" customHeight="1" x14ac:dyDescent="0.25">
      <c r="M11778" s="274"/>
    </row>
    <row r="11779" spans="13:13" ht="15" customHeight="1" x14ac:dyDescent="0.25">
      <c r="M11779" s="274"/>
    </row>
    <row r="11780" spans="13:13" ht="15" customHeight="1" x14ac:dyDescent="0.25">
      <c r="M11780" s="274"/>
    </row>
    <row r="11781" spans="13:13" ht="15" customHeight="1" x14ac:dyDescent="0.25">
      <c r="M11781" s="274"/>
    </row>
    <row r="11782" spans="13:13" ht="15" customHeight="1" x14ac:dyDescent="0.25">
      <c r="M11782" s="274"/>
    </row>
    <row r="11783" spans="13:13" ht="15" customHeight="1" x14ac:dyDescent="0.25">
      <c r="M11783" s="274"/>
    </row>
    <row r="11784" spans="13:13" ht="15" customHeight="1" x14ac:dyDescent="0.25">
      <c r="M11784" s="274"/>
    </row>
    <row r="11785" spans="13:13" ht="15" customHeight="1" x14ac:dyDescent="0.25">
      <c r="M11785" s="274"/>
    </row>
    <row r="11786" spans="13:13" ht="15" customHeight="1" x14ac:dyDescent="0.25">
      <c r="M11786" s="274"/>
    </row>
    <row r="11787" spans="13:13" ht="15" customHeight="1" x14ac:dyDescent="0.25">
      <c r="M11787" s="274"/>
    </row>
    <row r="11788" spans="13:13" ht="15" customHeight="1" x14ac:dyDescent="0.25">
      <c r="M11788" s="274"/>
    </row>
    <row r="11789" spans="13:13" ht="15" customHeight="1" x14ac:dyDescent="0.25">
      <c r="M11789" s="274"/>
    </row>
    <row r="11790" spans="13:13" ht="15" customHeight="1" x14ac:dyDescent="0.25">
      <c r="M11790" s="274"/>
    </row>
    <row r="11791" spans="13:13" ht="15" customHeight="1" x14ac:dyDescent="0.25">
      <c r="M11791" s="274"/>
    </row>
    <row r="11792" spans="13:13" ht="15" customHeight="1" x14ac:dyDescent="0.25">
      <c r="M11792" s="274"/>
    </row>
    <row r="11793" spans="13:13" ht="15" customHeight="1" x14ac:dyDescent="0.25">
      <c r="M11793" s="274"/>
    </row>
    <row r="11794" spans="13:13" ht="15" customHeight="1" x14ac:dyDescent="0.25">
      <c r="M11794" s="274"/>
    </row>
    <row r="11795" spans="13:13" ht="15" customHeight="1" x14ac:dyDescent="0.25">
      <c r="M11795" s="274"/>
    </row>
    <row r="11796" spans="13:13" ht="15" customHeight="1" x14ac:dyDescent="0.25">
      <c r="M11796" s="274"/>
    </row>
    <row r="11797" spans="13:13" ht="15" customHeight="1" x14ac:dyDescent="0.25">
      <c r="M11797" s="274"/>
    </row>
    <row r="11798" spans="13:13" ht="15" customHeight="1" x14ac:dyDescent="0.25">
      <c r="M11798" s="274"/>
    </row>
    <row r="11799" spans="13:13" ht="15" customHeight="1" x14ac:dyDescent="0.25">
      <c r="M11799" s="274"/>
    </row>
    <row r="11800" spans="13:13" ht="15" customHeight="1" x14ac:dyDescent="0.25">
      <c r="M11800" s="274"/>
    </row>
    <row r="11801" spans="13:13" ht="15" customHeight="1" x14ac:dyDescent="0.25">
      <c r="M11801" s="274"/>
    </row>
    <row r="11802" spans="13:13" ht="15" customHeight="1" x14ac:dyDescent="0.25">
      <c r="M11802" s="274"/>
    </row>
    <row r="11803" spans="13:13" ht="15" customHeight="1" x14ac:dyDescent="0.25">
      <c r="M11803" s="274"/>
    </row>
    <row r="11804" spans="13:13" ht="15" customHeight="1" x14ac:dyDescent="0.25">
      <c r="M11804" s="274"/>
    </row>
    <row r="11805" spans="13:13" ht="15" customHeight="1" x14ac:dyDescent="0.25">
      <c r="M11805" s="274"/>
    </row>
    <row r="11806" spans="13:13" ht="15" customHeight="1" x14ac:dyDescent="0.25">
      <c r="M11806" s="274"/>
    </row>
    <row r="11807" spans="13:13" ht="15" customHeight="1" x14ac:dyDescent="0.25">
      <c r="M11807" s="274"/>
    </row>
    <row r="11808" spans="13:13" ht="15" customHeight="1" x14ac:dyDescent="0.25">
      <c r="M11808" s="274"/>
    </row>
    <row r="11809" spans="13:13" ht="15" customHeight="1" x14ac:dyDescent="0.25">
      <c r="M11809" s="274"/>
    </row>
    <row r="11810" spans="13:13" ht="15" customHeight="1" x14ac:dyDescent="0.25">
      <c r="M11810" s="274"/>
    </row>
    <row r="11811" spans="13:13" ht="15" customHeight="1" x14ac:dyDescent="0.25">
      <c r="M11811" s="274"/>
    </row>
    <row r="11812" spans="13:13" ht="15" customHeight="1" x14ac:dyDescent="0.25">
      <c r="M11812" s="274"/>
    </row>
    <row r="11813" spans="13:13" ht="15" customHeight="1" x14ac:dyDescent="0.25">
      <c r="M11813" s="274"/>
    </row>
    <row r="11814" spans="13:13" ht="15" customHeight="1" x14ac:dyDescent="0.25">
      <c r="M11814" s="274"/>
    </row>
    <row r="11815" spans="13:13" ht="15" customHeight="1" x14ac:dyDescent="0.25">
      <c r="M11815" s="274"/>
    </row>
    <row r="11816" spans="13:13" ht="15" customHeight="1" x14ac:dyDescent="0.25">
      <c r="M11816" s="274"/>
    </row>
    <row r="11817" spans="13:13" ht="15" customHeight="1" x14ac:dyDescent="0.25">
      <c r="M11817" s="274"/>
    </row>
    <row r="11818" spans="13:13" ht="15" customHeight="1" x14ac:dyDescent="0.25">
      <c r="M11818" s="274"/>
    </row>
    <row r="11819" spans="13:13" ht="15" customHeight="1" x14ac:dyDescent="0.25">
      <c r="M11819" s="274"/>
    </row>
    <row r="11820" spans="13:13" ht="15" customHeight="1" x14ac:dyDescent="0.25">
      <c r="M11820" s="274"/>
    </row>
    <row r="11821" spans="13:13" ht="15" customHeight="1" x14ac:dyDescent="0.25">
      <c r="M11821" s="274"/>
    </row>
    <row r="11822" spans="13:13" ht="15" customHeight="1" x14ac:dyDescent="0.25">
      <c r="M11822" s="274"/>
    </row>
    <row r="11823" spans="13:13" ht="15" customHeight="1" x14ac:dyDescent="0.25">
      <c r="M11823" s="274"/>
    </row>
    <row r="11824" spans="13:13" ht="15" customHeight="1" x14ac:dyDescent="0.25">
      <c r="M11824" s="274"/>
    </row>
    <row r="11825" spans="13:13" ht="15" customHeight="1" x14ac:dyDescent="0.25">
      <c r="M11825" s="274"/>
    </row>
    <row r="11826" spans="13:13" ht="15" customHeight="1" x14ac:dyDescent="0.25">
      <c r="M11826" s="274"/>
    </row>
    <row r="11827" spans="13:13" ht="15" customHeight="1" x14ac:dyDescent="0.25">
      <c r="M11827" s="274"/>
    </row>
    <row r="11828" spans="13:13" ht="15" customHeight="1" x14ac:dyDescent="0.25">
      <c r="M11828" s="274"/>
    </row>
    <row r="11829" spans="13:13" ht="15" customHeight="1" x14ac:dyDescent="0.25">
      <c r="M11829" s="274"/>
    </row>
    <row r="11830" spans="13:13" ht="15" customHeight="1" x14ac:dyDescent="0.25">
      <c r="M11830" s="274"/>
    </row>
    <row r="11831" spans="13:13" ht="15" customHeight="1" x14ac:dyDescent="0.25">
      <c r="M11831" s="274"/>
    </row>
    <row r="11832" spans="13:13" ht="15" customHeight="1" x14ac:dyDescent="0.25">
      <c r="M11832" s="274"/>
    </row>
    <row r="11833" spans="13:13" ht="15" customHeight="1" x14ac:dyDescent="0.25">
      <c r="M11833" s="274"/>
    </row>
    <row r="11834" spans="13:13" ht="15" customHeight="1" x14ac:dyDescent="0.25">
      <c r="M11834" s="274"/>
    </row>
    <row r="11835" spans="13:13" ht="15" customHeight="1" x14ac:dyDescent="0.25">
      <c r="M11835" s="274"/>
    </row>
    <row r="11836" spans="13:13" ht="15" customHeight="1" x14ac:dyDescent="0.25">
      <c r="M11836" s="274"/>
    </row>
    <row r="11837" spans="13:13" ht="15" customHeight="1" x14ac:dyDescent="0.25">
      <c r="M11837" s="274"/>
    </row>
    <row r="11838" spans="13:13" ht="15" customHeight="1" x14ac:dyDescent="0.25">
      <c r="M11838" s="274"/>
    </row>
    <row r="11839" spans="13:13" ht="15" customHeight="1" x14ac:dyDescent="0.25">
      <c r="M11839" s="274"/>
    </row>
    <row r="11840" spans="13:13" ht="15" customHeight="1" x14ac:dyDescent="0.25">
      <c r="M11840" s="274"/>
    </row>
    <row r="11841" spans="13:13" ht="15" customHeight="1" x14ac:dyDescent="0.25">
      <c r="M11841" s="274"/>
    </row>
    <row r="11842" spans="13:13" ht="15" customHeight="1" x14ac:dyDescent="0.25">
      <c r="M11842" s="274"/>
    </row>
    <row r="11843" spans="13:13" ht="15" customHeight="1" x14ac:dyDescent="0.25">
      <c r="M11843" s="274"/>
    </row>
    <row r="11844" spans="13:13" ht="15" customHeight="1" x14ac:dyDescent="0.25">
      <c r="M11844" s="274"/>
    </row>
    <row r="11845" spans="13:13" ht="15" customHeight="1" x14ac:dyDescent="0.25">
      <c r="M11845" s="274"/>
    </row>
    <row r="11846" spans="13:13" ht="15" customHeight="1" x14ac:dyDescent="0.25">
      <c r="M11846" s="274"/>
    </row>
    <row r="11847" spans="13:13" ht="15" customHeight="1" x14ac:dyDescent="0.25">
      <c r="M11847" s="274"/>
    </row>
    <row r="11848" spans="13:13" ht="15" customHeight="1" x14ac:dyDescent="0.25">
      <c r="M11848" s="274"/>
    </row>
    <row r="11849" spans="13:13" ht="15" customHeight="1" x14ac:dyDescent="0.25">
      <c r="M11849" s="274"/>
    </row>
    <row r="11850" spans="13:13" ht="15" customHeight="1" x14ac:dyDescent="0.25">
      <c r="M11850" s="274"/>
    </row>
    <row r="11851" spans="13:13" ht="15" customHeight="1" x14ac:dyDescent="0.25">
      <c r="M11851" s="274"/>
    </row>
    <row r="11852" spans="13:13" ht="15" customHeight="1" x14ac:dyDescent="0.25">
      <c r="M11852" s="274"/>
    </row>
    <row r="11853" spans="13:13" ht="15" customHeight="1" x14ac:dyDescent="0.25">
      <c r="M11853" s="274"/>
    </row>
    <row r="11854" spans="13:13" ht="15" customHeight="1" x14ac:dyDescent="0.25">
      <c r="M11854" s="274"/>
    </row>
    <row r="11855" spans="13:13" ht="15" customHeight="1" x14ac:dyDescent="0.25">
      <c r="M11855" s="274"/>
    </row>
    <row r="11856" spans="13:13" ht="15" customHeight="1" x14ac:dyDescent="0.25">
      <c r="M11856" s="274"/>
    </row>
    <row r="11857" spans="13:13" ht="15" customHeight="1" x14ac:dyDescent="0.25">
      <c r="M11857" s="274"/>
    </row>
    <row r="11858" spans="13:13" ht="15" customHeight="1" x14ac:dyDescent="0.25">
      <c r="M11858" s="274"/>
    </row>
    <row r="11859" spans="13:13" ht="15" customHeight="1" x14ac:dyDescent="0.25">
      <c r="M11859" s="274"/>
    </row>
    <row r="11860" spans="13:13" ht="15" customHeight="1" x14ac:dyDescent="0.25">
      <c r="M11860" s="274"/>
    </row>
    <row r="11861" spans="13:13" ht="15" customHeight="1" x14ac:dyDescent="0.25">
      <c r="M11861" s="274"/>
    </row>
    <row r="11862" spans="13:13" ht="15" customHeight="1" x14ac:dyDescent="0.25">
      <c r="M11862" s="274"/>
    </row>
    <row r="11863" spans="13:13" ht="15" customHeight="1" x14ac:dyDescent="0.25">
      <c r="M11863" s="274"/>
    </row>
    <row r="11864" spans="13:13" ht="15" customHeight="1" x14ac:dyDescent="0.25">
      <c r="M11864" s="274"/>
    </row>
    <row r="11865" spans="13:13" ht="15" customHeight="1" x14ac:dyDescent="0.25">
      <c r="M11865" s="274"/>
    </row>
    <row r="11866" spans="13:13" ht="15" customHeight="1" x14ac:dyDescent="0.25">
      <c r="M11866" s="274"/>
    </row>
    <row r="11867" spans="13:13" ht="15" customHeight="1" x14ac:dyDescent="0.25">
      <c r="M11867" s="274"/>
    </row>
    <row r="11868" spans="13:13" ht="15" customHeight="1" x14ac:dyDescent="0.25">
      <c r="M11868" s="274"/>
    </row>
    <row r="11869" spans="13:13" ht="15" customHeight="1" x14ac:dyDescent="0.25">
      <c r="M11869" s="274"/>
    </row>
    <row r="11870" spans="13:13" ht="15" customHeight="1" x14ac:dyDescent="0.25">
      <c r="M11870" s="274"/>
    </row>
    <row r="11871" spans="13:13" ht="15" customHeight="1" x14ac:dyDescent="0.25">
      <c r="M11871" s="274"/>
    </row>
    <row r="11872" spans="13:13" ht="15" customHeight="1" x14ac:dyDescent="0.25">
      <c r="M11872" s="274"/>
    </row>
    <row r="11873" spans="13:13" ht="15" customHeight="1" x14ac:dyDescent="0.25">
      <c r="M11873" s="274"/>
    </row>
    <row r="11874" spans="13:13" ht="15" customHeight="1" x14ac:dyDescent="0.25">
      <c r="M11874" s="274"/>
    </row>
    <row r="11875" spans="13:13" ht="15" customHeight="1" x14ac:dyDescent="0.25">
      <c r="M11875" s="274"/>
    </row>
    <row r="11876" spans="13:13" ht="15" customHeight="1" x14ac:dyDescent="0.25">
      <c r="M11876" s="274"/>
    </row>
    <row r="11877" spans="13:13" ht="15" customHeight="1" x14ac:dyDescent="0.25">
      <c r="M11877" s="274"/>
    </row>
    <row r="11878" spans="13:13" ht="15" customHeight="1" x14ac:dyDescent="0.25">
      <c r="M11878" s="274"/>
    </row>
    <row r="11879" spans="13:13" ht="15" customHeight="1" x14ac:dyDescent="0.25">
      <c r="M11879" s="274"/>
    </row>
    <row r="11880" spans="13:13" ht="15" customHeight="1" x14ac:dyDescent="0.25">
      <c r="M11880" s="274"/>
    </row>
    <row r="11881" spans="13:13" ht="15" customHeight="1" x14ac:dyDescent="0.25">
      <c r="M11881" s="274"/>
    </row>
    <row r="11882" spans="13:13" ht="15" customHeight="1" x14ac:dyDescent="0.25">
      <c r="M11882" s="274"/>
    </row>
    <row r="11883" spans="13:13" ht="15" customHeight="1" x14ac:dyDescent="0.25">
      <c r="M11883" s="274"/>
    </row>
    <row r="11884" spans="13:13" ht="15" customHeight="1" x14ac:dyDescent="0.25">
      <c r="M11884" s="274"/>
    </row>
    <row r="11885" spans="13:13" ht="15" customHeight="1" x14ac:dyDescent="0.25">
      <c r="M11885" s="274"/>
    </row>
    <row r="11886" spans="13:13" ht="15" customHeight="1" x14ac:dyDescent="0.25">
      <c r="M11886" s="274"/>
    </row>
    <row r="11887" spans="13:13" ht="15" customHeight="1" x14ac:dyDescent="0.25">
      <c r="M11887" s="274"/>
    </row>
    <row r="11888" spans="13:13" ht="15" customHeight="1" x14ac:dyDescent="0.25">
      <c r="M11888" s="274"/>
    </row>
    <row r="11889" spans="13:13" ht="15" customHeight="1" x14ac:dyDescent="0.25">
      <c r="M11889" s="274"/>
    </row>
    <row r="11890" spans="13:13" ht="15" customHeight="1" x14ac:dyDescent="0.25">
      <c r="M11890" s="274"/>
    </row>
    <row r="11891" spans="13:13" ht="15" customHeight="1" x14ac:dyDescent="0.25">
      <c r="M11891" s="274"/>
    </row>
    <row r="11892" spans="13:13" ht="15" customHeight="1" x14ac:dyDescent="0.25">
      <c r="M11892" s="274"/>
    </row>
    <row r="11893" spans="13:13" ht="15" customHeight="1" x14ac:dyDescent="0.25">
      <c r="M11893" s="274"/>
    </row>
    <row r="11894" spans="13:13" ht="15" customHeight="1" x14ac:dyDescent="0.25">
      <c r="M11894" s="274"/>
    </row>
    <row r="11895" spans="13:13" ht="15" customHeight="1" x14ac:dyDescent="0.25">
      <c r="M11895" s="274"/>
    </row>
    <row r="11896" spans="13:13" ht="15" customHeight="1" x14ac:dyDescent="0.25">
      <c r="M11896" s="274"/>
    </row>
    <row r="11897" spans="13:13" ht="15" customHeight="1" x14ac:dyDescent="0.25">
      <c r="M11897" s="274"/>
    </row>
    <row r="11898" spans="13:13" ht="15" customHeight="1" x14ac:dyDescent="0.25">
      <c r="M11898" s="274"/>
    </row>
    <row r="11899" spans="13:13" ht="15" customHeight="1" x14ac:dyDescent="0.25">
      <c r="M11899" s="274"/>
    </row>
    <row r="11900" spans="13:13" ht="15" customHeight="1" x14ac:dyDescent="0.25">
      <c r="M11900" s="274"/>
    </row>
    <row r="11901" spans="13:13" ht="15" customHeight="1" x14ac:dyDescent="0.25">
      <c r="M11901" s="274"/>
    </row>
    <row r="11902" spans="13:13" ht="15" customHeight="1" x14ac:dyDescent="0.25">
      <c r="M11902" s="274"/>
    </row>
    <row r="11903" spans="13:13" ht="15" customHeight="1" x14ac:dyDescent="0.25">
      <c r="M11903" s="274"/>
    </row>
    <row r="11904" spans="13:13" ht="15" customHeight="1" x14ac:dyDescent="0.25">
      <c r="M11904" s="274"/>
    </row>
    <row r="11905" spans="13:13" ht="15" customHeight="1" x14ac:dyDescent="0.25">
      <c r="M11905" s="274"/>
    </row>
    <row r="11906" spans="13:13" ht="15" customHeight="1" x14ac:dyDescent="0.25">
      <c r="M11906" s="274"/>
    </row>
    <row r="11907" spans="13:13" ht="15" customHeight="1" x14ac:dyDescent="0.25">
      <c r="M11907" s="274"/>
    </row>
    <row r="11908" spans="13:13" ht="15" customHeight="1" x14ac:dyDescent="0.25">
      <c r="M11908" s="274"/>
    </row>
    <row r="11909" spans="13:13" ht="15" customHeight="1" x14ac:dyDescent="0.25">
      <c r="M11909" s="274"/>
    </row>
    <row r="11910" spans="13:13" ht="15" customHeight="1" x14ac:dyDescent="0.25">
      <c r="M11910" s="274"/>
    </row>
    <row r="11911" spans="13:13" ht="15" customHeight="1" x14ac:dyDescent="0.25">
      <c r="M11911" s="274"/>
    </row>
    <row r="11912" spans="13:13" ht="15" customHeight="1" x14ac:dyDescent="0.25">
      <c r="M11912" s="274"/>
    </row>
    <row r="11913" spans="13:13" ht="15" customHeight="1" x14ac:dyDescent="0.25">
      <c r="M11913" s="274"/>
    </row>
    <row r="11914" spans="13:13" ht="15" customHeight="1" x14ac:dyDescent="0.25">
      <c r="M11914" s="274"/>
    </row>
    <row r="11915" spans="13:13" ht="15" customHeight="1" x14ac:dyDescent="0.25">
      <c r="M11915" s="274"/>
    </row>
    <row r="11916" spans="13:13" ht="15" customHeight="1" x14ac:dyDescent="0.25">
      <c r="M11916" s="274"/>
    </row>
    <row r="11917" spans="13:13" ht="15" customHeight="1" x14ac:dyDescent="0.25">
      <c r="M11917" s="274"/>
    </row>
    <row r="11918" spans="13:13" ht="15" customHeight="1" x14ac:dyDescent="0.25">
      <c r="M11918" s="274"/>
    </row>
    <row r="11919" spans="13:13" ht="15" customHeight="1" x14ac:dyDescent="0.25">
      <c r="M11919" s="274"/>
    </row>
    <row r="11920" spans="13:13" ht="15" customHeight="1" x14ac:dyDescent="0.25">
      <c r="M11920" s="274"/>
    </row>
    <row r="11921" spans="13:13" ht="15" customHeight="1" x14ac:dyDescent="0.25">
      <c r="M11921" s="274"/>
    </row>
    <row r="11922" spans="13:13" ht="15" customHeight="1" x14ac:dyDescent="0.25">
      <c r="M11922" s="274"/>
    </row>
    <row r="11923" spans="13:13" ht="15" customHeight="1" x14ac:dyDescent="0.25">
      <c r="M11923" s="274"/>
    </row>
    <row r="11924" spans="13:13" ht="15" customHeight="1" x14ac:dyDescent="0.25">
      <c r="M11924" s="274"/>
    </row>
    <row r="11925" spans="13:13" ht="15" customHeight="1" x14ac:dyDescent="0.25">
      <c r="M11925" s="274"/>
    </row>
    <row r="11926" spans="13:13" ht="15" customHeight="1" x14ac:dyDescent="0.25">
      <c r="M11926" s="274"/>
    </row>
    <row r="11927" spans="13:13" ht="15" customHeight="1" x14ac:dyDescent="0.25">
      <c r="M11927" s="274"/>
    </row>
    <row r="11928" spans="13:13" ht="15" customHeight="1" x14ac:dyDescent="0.25">
      <c r="M11928" s="274"/>
    </row>
    <row r="11929" spans="13:13" ht="15" customHeight="1" x14ac:dyDescent="0.25">
      <c r="M11929" s="274"/>
    </row>
    <row r="11930" spans="13:13" ht="15" customHeight="1" x14ac:dyDescent="0.25">
      <c r="M11930" s="274"/>
    </row>
    <row r="11931" spans="13:13" ht="15" customHeight="1" x14ac:dyDescent="0.25">
      <c r="M11931" s="274"/>
    </row>
    <row r="11932" spans="13:13" ht="15" customHeight="1" x14ac:dyDescent="0.25">
      <c r="M11932" s="274"/>
    </row>
    <row r="11933" spans="13:13" ht="15" customHeight="1" x14ac:dyDescent="0.25">
      <c r="M11933" s="274"/>
    </row>
    <row r="11934" spans="13:13" ht="15" customHeight="1" x14ac:dyDescent="0.25">
      <c r="M11934" s="274"/>
    </row>
    <row r="11935" spans="13:13" ht="15" customHeight="1" x14ac:dyDescent="0.25">
      <c r="M11935" s="274"/>
    </row>
    <row r="11936" spans="13:13" ht="15" customHeight="1" x14ac:dyDescent="0.25">
      <c r="M11936" s="274"/>
    </row>
    <row r="11937" spans="13:13" ht="15" customHeight="1" x14ac:dyDescent="0.25">
      <c r="M11937" s="274"/>
    </row>
    <row r="11938" spans="13:13" ht="15" customHeight="1" x14ac:dyDescent="0.25">
      <c r="M11938" s="274"/>
    </row>
    <row r="11939" spans="13:13" ht="15" customHeight="1" x14ac:dyDescent="0.25">
      <c r="M11939" s="274"/>
    </row>
    <row r="11940" spans="13:13" ht="15" customHeight="1" x14ac:dyDescent="0.25">
      <c r="M11940" s="274"/>
    </row>
    <row r="11941" spans="13:13" ht="15" customHeight="1" x14ac:dyDescent="0.25">
      <c r="M11941" s="274"/>
    </row>
    <row r="11942" spans="13:13" ht="15" customHeight="1" x14ac:dyDescent="0.25">
      <c r="M11942" s="274"/>
    </row>
    <row r="11943" spans="13:13" ht="15" customHeight="1" x14ac:dyDescent="0.25">
      <c r="M11943" s="274"/>
    </row>
    <row r="11944" spans="13:13" ht="15" customHeight="1" x14ac:dyDescent="0.25">
      <c r="M11944" s="274"/>
    </row>
    <row r="11945" spans="13:13" ht="15" customHeight="1" x14ac:dyDescent="0.25">
      <c r="M11945" s="274"/>
    </row>
    <row r="11946" spans="13:13" ht="15" customHeight="1" x14ac:dyDescent="0.25">
      <c r="M11946" s="274"/>
    </row>
    <row r="11947" spans="13:13" ht="15" customHeight="1" x14ac:dyDescent="0.25">
      <c r="M11947" s="274"/>
    </row>
    <row r="11948" spans="13:13" ht="15" customHeight="1" x14ac:dyDescent="0.25">
      <c r="M11948" s="274"/>
    </row>
    <row r="11949" spans="13:13" ht="15" customHeight="1" x14ac:dyDescent="0.25">
      <c r="M11949" s="274"/>
    </row>
    <row r="11950" spans="13:13" ht="15" customHeight="1" x14ac:dyDescent="0.25">
      <c r="M11950" s="274"/>
    </row>
    <row r="11951" spans="13:13" ht="15" customHeight="1" x14ac:dyDescent="0.25">
      <c r="M11951" s="274"/>
    </row>
    <row r="11952" spans="13:13" ht="15" customHeight="1" x14ac:dyDescent="0.25">
      <c r="M11952" s="274"/>
    </row>
    <row r="11953" spans="13:13" ht="15" customHeight="1" x14ac:dyDescent="0.25">
      <c r="M11953" s="274"/>
    </row>
    <row r="11954" spans="13:13" ht="15" customHeight="1" x14ac:dyDescent="0.25">
      <c r="M11954" s="274"/>
    </row>
    <row r="11955" spans="13:13" ht="15" customHeight="1" x14ac:dyDescent="0.25">
      <c r="M11955" s="274"/>
    </row>
    <row r="11956" spans="13:13" ht="15" customHeight="1" x14ac:dyDescent="0.25">
      <c r="M11956" s="274"/>
    </row>
    <row r="11957" spans="13:13" ht="15" customHeight="1" x14ac:dyDescent="0.25">
      <c r="M11957" s="274"/>
    </row>
    <row r="11958" spans="13:13" ht="15" customHeight="1" x14ac:dyDescent="0.25">
      <c r="M11958" s="274"/>
    </row>
    <row r="11959" spans="13:13" ht="15" customHeight="1" x14ac:dyDescent="0.25">
      <c r="M11959" s="274"/>
    </row>
    <row r="11960" spans="13:13" ht="15" customHeight="1" x14ac:dyDescent="0.25">
      <c r="M11960" s="274"/>
    </row>
    <row r="11961" spans="13:13" ht="15" customHeight="1" x14ac:dyDescent="0.25">
      <c r="M11961" s="274"/>
    </row>
    <row r="11962" spans="13:13" ht="15" customHeight="1" x14ac:dyDescent="0.25">
      <c r="M11962" s="274"/>
    </row>
    <row r="11963" spans="13:13" ht="15" customHeight="1" x14ac:dyDescent="0.25">
      <c r="M11963" s="274"/>
    </row>
    <row r="11964" spans="13:13" ht="15" customHeight="1" x14ac:dyDescent="0.25">
      <c r="M11964" s="274"/>
    </row>
    <row r="11965" spans="13:13" ht="15" customHeight="1" x14ac:dyDescent="0.25">
      <c r="M11965" s="274"/>
    </row>
    <row r="11966" spans="13:13" ht="15" customHeight="1" x14ac:dyDescent="0.25">
      <c r="M11966" s="274"/>
    </row>
    <row r="11967" spans="13:13" ht="15" customHeight="1" x14ac:dyDescent="0.25">
      <c r="M11967" s="274"/>
    </row>
    <row r="11968" spans="13:13" ht="15" customHeight="1" x14ac:dyDescent="0.25">
      <c r="M11968" s="274"/>
    </row>
    <row r="11969" spans="13:13" ht="15" customHeight="1" x14ac:dyDescent="0.25">
      <c r="M11969" s="274"/>
    </row>
    <row r="11970" spans="13:13" ht="15" customHeight="1" x14ac:dyDescent="0.25">
      <c r="M11970" s="274"/>
    </row>
    <row r="11971" spans="13:13" ht="15" customHeight="1" x14ac:dyDescent="0.25">
      <c r="M11971" s="274"/>
    </row>
    <row r="11972" spans="13:13" ht="15" customHeight="1" x14ac:dyDescent="0.25">
      <c r="M11972" s="274"/>
    </row>
    <row r="11973" spans="13:13" ht="15" customHeight="1" x14ac:dyDescent="0.25">
      <c r="M11973" s="274"/>
    </row>
    <row r="11974" spans="13:13" ht="15" customHeight="1" x14ac:dyDescent="0.25">
      <c r="M11974" s="274"/>
    </row>
    <row r="11975" spans="13:13" ht="15" customHeight="1" x14ac:dyDescent="0.25">
      <c r="M11975" s="274"/>
    </row>
    <row r="11976" spans="13:13" ht="15" customHeight="1" x14ac:dyDescent="0.25">
      <c r="M11976" s="274"/>
    </row>
    <row r="11977" spans="13:13" ht="15" customHeight="1" x14ac:dyDescent="0.25">
      <c r="M11977" s="274"/>
    </row>
    <row r="11978" spans="13:13" ht="15" customHeight="1" x14ac:dyDescent="0.25">
      <c r="M11978" s="274"/>
    </row>
    <row r="11979" spans="13:13" ht="15" customHeight="1" x14ac:dyDescent="0.25">
      <c r="M11979" s="274"/>
    </row>
    <row r="11980" spans="13:13" ht="15" customHeight="1" x14ac:dyDescent="0.25">
      <c r="M11980" s="274"/>
    </row>
    <row r="11981" spans="13:13" ht="15" customHeight="1" x14ac:dyDescent="0.25">
      <c r="M11981" s="274"/>
    </row>
    <row r="11982" spans="13:13" ht="15" customHeight="1" x14ac:dyDescent="0.25">
      <c r="M11982" s="274"/>
    </row>
    <row r="11983" spans="13:13" ht="15" customHeight="1" x14ac:dyDescent="0.25">
      <c r="M11983" s="274"/>
    </row>
    <row r="11984" spans="13:13" ht="15" customHeight="1" x14ac:dyDescent="0.25">
      <c r="M11984" s="274"/>
    </row>
    <row r="11985" spans="13:13" ht="15" customHeight="1" x14ac:dyDescent="0.25">
      <c r="M11985" s="274"/>
    </row>
    <row r="11986" spans="13:13" ht="15" customHeight="1" x14ac:dyDescent="0.25">
      <c r="M11986" s="274"/>
    </row>
    <row r="11987" spans="13:13" ht="15" customHeight="1" x14ac:dyDescent="0.25">
      <c r="M11987" s="274"/>
    </row>
    <row r="11988" spans="13:13" ht="15" customHeight="1" x14ac:dyDescent="0.25">
      <c r="M11988" s="274"/>
    </row>
    <row r="11989" spans="13:13" ht="15" customHeight="1" x14ac:dyDescent="0.25">
      <c r="M11989" s="274"/>
    </row>
    <row r="11990" spans="13:13" ht="15" customHeight="1" x14ac:dyDescent="0.25">
      <c r="M11990" s="274"/>
    </row>
    <row r="11991" spans="13:13" ht="15" customHeight="1" x14ac:dyDescent="0.25">
      <c r="M11991" s="274"/>
    </row>
    <row r="11992" spans="13:13" ht="15" customHeight="1" x14ac:dyDescent="0.25">
      <c r="M11992" s="274"/>
    </row>
    <row r="11993" spans="13:13" ht="15" customHeight="1" x14ac:dyDescent="0.25">
      <c r="M11993" s="274"/>
    </row>
    <row r="11994" spans="13:13" ht="15" customHeight="1" x14ac:dyDescent="0.25">
      <c r="M11994" s="274"/>
    </row>
    <row r="11995" spans="13:13" ht="15" customHeight="1" x14ac:dyDescent="0.25">
      <c r="M11995" s="274"/>
    </row>
    <row r="11996" spans="13:13" ht="15" customHeight="1" x14ac:dyDescent="0.25">
      <c r="M11996" s="274"/>
    </row>
    <row r="11997" spans="13:13" ht="15" customHeight="1" x14ac:dyDescent="0.25">
      <c r="M11997" s="274"/>
    </row>
    <row r="11998" spans="13:13" ht="15" customHeight="1" x14ac:dyDescent="0.25">
      <c r="M11998" s="274"/>
    </row>
    <row r="11999" spans="13:13" ht="15" customHeight="1" x14ac:dyDescent="0.25">
      <c r="M11999" s="274"/>
    </row>
    <row r="12000" spans="13:13" ht="15" customHeight="1" x14ac:dyDescent="0.25">
      <c r="M12000" s="274"/>
    </row>
    <row r="12001" spans="13:13" ht="15" customHeight="1" x14ac:dyDescent="0.25">
      <c r="M12001" s="274"/>
    </row>
    <row r="12002" spans="13:13" ht="15" customHeight="1" x14ac:dyDescent="0.25">
      <c r="M12002" s="274"/>
    </row>
    <row r="12003" spans="13:13" ht="15" customHeight="1" x14ac:dyDescent="0.25">
      <c r="M12003" s="274"/>
    </row>
    <row r="12004" spans="13:13" ht="15" customHeight="1" x14ac:dyDescent="0.25">
      <c r="M12004" s="274"/>
    </row>
    <row r="12005" spans="13:13" ht="15" customHeight="1" x14ac:dyDescent="0.25">
      <c r="M12005" s="274"/>
    </row>
    <row r="12006" spans="13:13" ht="15" customHeight="1" x14ac:dyDescent="0.25">
      <c r="M12006" s="274"/>
    </row>
    <row r="12007" spans="13:13" ht="15" customHeight="1" x14ac:dyDescent="0.25">
      <c r="M12007" s="274"/>
    </row>
    <row r="12008" spans="13:13" ht="15" customHeight="1" x14ac:dyDescent="0.25">
      <c r="M12008" s="274"/>
    </row>
    <row r="12009" spans="13:13" ht="15" customHeight="1" x14ac:dyDescent="0.25">
      <c r="M12009" s="274"/>
    </row>
    <row r="12010" spans="13:13" ht="15" customHeight="1" x14ac:dyDescent="0.25">
      <c r="M12010" s="274"/>
    </row>
    <row r="12011" spans="13:13" ht="15" customHeight="1" x14ac:dyDescent="0.25">
      <c r="M12011" s="274"/>
    </row>
    <row r="12012" spans="13:13" ht="15" customHeight="1" x14ac:dyDescent="0.25">
      <c r="M12012" s="274"/>
    </row>
    <row r="12013" spans="13:13" ht="15" customHeight="1" x14ac:dyDescent="0.25">
      <c r="M12013" s="274"/>
    </row>
    <row r="12014" spans="13:13" ht="15" customHeight="1" x14ac:dyDescent="0.25">
      <c r="M12014" s="274"/>
    </row>
    <row r="12015" spans="13:13" ht="15" customHeight="1" x14ac:dyDescent="0.25">
      <c r="M12015" s="274"/>
    </row>
    <row r="12016" spans="13:13" ht="15" customHeight="1" x14ac:dyDescent="0.25">
      <c r="M12016" s="274"/>
    </row>
    <row r="12017" spans="13:13" ht="15" customHeight="1" x14ac:dyDescent="0.25">
      <c r="M12017" s="274"/>
    </row>
    <row r="12018" spans="13:13" ht="15" customHeight="1" x14ac:dyDescent="0.25">
      <c r="M12018" s="274"/>
    </row>
    <row r="12019" spans="13:13" ht="15" customHeight="1" x14ac:dyDescent="0.25">
      <c r="M12019" s="274"/>
    </row>
    <row r="12020" spans="13:13" ht="15" customHeight="1" x14ac:dyDescent="0.25">
      <c r="M12020" s="274"/>
    </row>
    <row r="12021" spans="13:13" ht="15" customHeight="1" x14ac:dyDescent="0.25">
      <c r="M12021" s="274"/>
    </row>
    <row r="12022" spans="13:13" ht="15" customHeight="1" x14ac:dyDescent="0.25">
      <c r="M12022" s="274"/>
    </row>
    <row r="12023" spans="13:13" ht="15" customHeight="1" x14ac:dyDescent="0.25">
      <c r="M12023" s="274"/>
    </row>
    <row r="12024" spans="13:13" ht="15" customHeight="1" x14ac:dyDescent="0.25">
      <c r="M12024" s="274"/>
    </row>
    <row r="12025" spans="13:13" ht="15" customHeight="1" x14ac:dyDescent="0.25">
      <c r="M12025" s="274"/>
    </row>
    <row r="12026" spans="13:13" ht="15" customHeight="1" x14ac:dyDescent="0.25">
      <c r="M12026" s="274"/>
    </row>
    <row r="12027" spans="13:13" ht="15" customHeight="1" x14ac:dyDescent="0.25">
      <c r="M12027" s="274"/>
    </row>
    <row r="12028" spans="13:13" ht="15" customHeight="1" x14ac:dyDescent="0.25">
      <c r="M12028" s="274"/>
    </row>
    <row r="12029" spans="13:13" ht="15" customHeight="1" x14ac:dyDescent="0.25">
      <c r="M12029" s="274"/>
    </row>
    <row r="12030" spans="13:13" ht="15" customHeight="1" x14ac:dyDescent="0.25">
      <c r="M12030" s="274"/>
    </row>
    <row r="12031" spans="13:13" ht="15" customHeight="1" x14ac:dyDescent="0.25">
      <c r="M12031" s="274"/>
    </row>
    <row r="12032" spans="13:13" ht="15" customHeight="1" x14ac:dyDescent="0.25">
      <c r="M12032" s="274"/>
    </row>
    <row r="12033" spans="13:13" ht="15" customHeight="1" x14ac:dyDescent="0.25">
      <c r="M12033" s="274"/>
    </row>
    <row r="12034" spans="13:13" ht="15" customHeight="1" x14ac:dyDescent="0.25">
      <c r="M12034" s="274"/>
    </row>
    <row r="12035" spans="13:13" ht="15" customHeight="1" x14ac:dyDescent="0.25">
      <c r="M12035" s="274"/>
    </row>
    <row r="12036" spans="13:13" ht="15" customHeight="1" x14ac:dyDescent="0.25">
      <c r="M12036" s="274"/>
    </row>
    <row r="12037" spans="13:13" ht="15" customHeight="1" x14ac:dyDescent="0.25">
      <c r="M12037" s="274"/>
    </row>
    <row r="12038" spans="13:13" ht="15" customHeight="1" x14ac:dyDescent="0.25">
      <c r="M12038" s="274"/>
    </row>
    <row r="12039" spans="13:13" ht="15" customHeight="1" x14ac:dyDescent="0.25">
      <c r="M12039" s="274"/>
    </row>
    <row r="12040" spans="13:13" ht="15" customHeight="1" x14ac:dyDescent="0.25">
      <c r="M12040" s="274"/>
    </row>
    <row r="12041" spans="13:13" ht="15" customHeight="1" x14ac:dyDescent="0.25">
      <c r="M12041" s="274"/>
    </row>
    <row r="12042" spans="13:13" ht="15" customHeight="1" x14ac:dyDescent="0.25">
      <c r="M12042" s="274"/>
    </row>
    <row r="12043" spans="13:13" ht="15" customHeight="1" x14ac:dyDescent="0.25">
      <c r="M12043" s="274"/>
    </row>
    <row r="12044" spans="13:13" ht="15" customHeight="1" x14ac:dyDescent="0.25">
      <c r="M12044" s="274"/>
    </row>
    <row r="12045" spans="13:13" ht="15" customHeight="1" x14ac:dyDescent="0.25">
      <c r="M12045" s="274"/>
    </row>
    <row r="12046" spans="13:13" ht="15" customHeight="1" x14ac:dyDescent="0.25">
      <c r="M12046" s="274"/>
    </row>
    <row r="12047" spans="13:13" ht="15" customHeight="1" x14ac:dyDescent="0.25">
      <c r="M12047" s="274"/>
    </row>
    <row r="12048" spans="13:13" ht="15" customHeight="1" x14ac:dyDescent="0.25">
      <c r="M12048" s="274"/>
    </row>
    <row r="12049" spans="13:13" ht="15" customHeight="1" x14ac:dyDescent="0.25">
      <c r="M12049" s="274"/>
    </row>
    <row r="12050" spans="13:13" ht="15" customHeight="1" x14ac:dyDescent="0.25">
      <c r="M12050" s="274"/>
    </row>
    <row r="12051" spans="13:13" ht="15" customHeight="1" x14ac:dyDescent="0.25">
      <c r="M12051" s="274"/>
    </row>
    <row r="12052" spans="13:13" ht="15" customHeight="1" x14ac:dyDescent="0.25">
      <c r="M12052" s="274"/>
    </row>
    <row r="12053" spans="13:13" ht="15" customHeight="1" x14ac:dyDescent="0.25">
      <c r="M12053" s="274"/>
    </row>
    <row r="12054" spans="13:13" ht="15" customHeight="1" x14ac:dyDescent="0.25">
      <c r="M12054" s="274"/>
    </row>
    <row r="12055" spans="13:13" ht="15" customHeight="1" x14ac:dyDescent="0.25">
      <c r="M12055" s="274"/>
    </row>
    <row r="12056" spans="13:13" ht="15" customHeight="1" x14ac:dyDescent="0.25">
      <c r="M12056" s="274"/>
    </row>
    <row r="12057" spans="13:13" ht="15" customHeight="1" x14ac:dyDescent="0.25">
      <c r="M12057" s="274"/>
    </row>
    <row r="12058" spans="13:13" ht="15" customHeight="1" x14ac:dyDescent="0.25">
      <c r="M12058" s="274"/>
    </row>
    <row r="12059" spans="13:13" ht="15" customHeight="1" x14ac:dyDescent="0.25">
      <c r="M12059" s="274"/>
    </row>
    <row r="12060" spans="13:13" ht="15" customHeight="1" x14ac:dyDescent="0.25">
      <c r="M12060" s="274"/>
    </row>
    <row r="12061" spans="13:13" ht="15" customHeight="1" x14ac:dyDescent="0.25">
      <c r="M12061" s="274"/>
    </row>
    <row r="12062" spans="13:13" ht="15" customHeight="1" x14ac:dyDescent="0.25">
      <c r="M12062" s="274"/>
    </row>
    <row r="12063" spans="13:13" ht="15" customHeight="1" x14ac:dyDescent="0.25">
      <c r="M12063" s="274"/>
    </row>
    <row r="12064" spans="13:13" ht="15" customHeight="1" x14ac:dyDescent="0.25">
      <c r="M12064" s="274"/>
    </row>
    <row r="12065" spans="13:13" ht="15" customHeight="1" x14ac:dyDescent="0.25">
      <c r="M12065" s="274"/>
    </row>
    <row r="12066" spans="13:13" ht="15" customHeight="1" x14ac:dyDescent="0.25">
      <c r="M12066" s="274"/>
    </row>
    <row r="12067" spans="13:13" ht="15" customHeight="1" x14ac:dyDescent="0.25">
      <c r="M12067" s="274"/>
    </row>
    <row r="12068" spans="13:13" ht="15" customHeight="1" x14ac:dyDescent="0.25">
      <c r="M12068" s="274"/>
    </row>
    <row r="12069" spans="13:13" ht="15" customHeight="1" x14ac:dyDescent="0.25">
      <c r="M12069" s="274"/>
    </row>
    <row r="12070" spans="13:13" ht="15" customHeight="1" x14ac:dyDescent="0.25">
      <c r="M12070" s="274"/>
    </row>
    <row r="12071" spans="13:13" ht="15" customHeight="1" x14ac:dyDescent="0.25">
      <c r="M12071" s="274"/>
    </row>
    <row r="12072" spans="13:13" ht="15" customHeight="1" x14ac:dyDescent="0.25">
      <c r="M12072" s="274"/>
    </row>
    <row r="12073" spans="13:13" ht="15" customHeight="1" x14ac:dyDescent="0.25">
      <c r="M12073" s="274"/>
    </row>
    <row r="12074" spans="13:13" ht="15" customHeight="1" x14ac:dyDescent="0.25">
      <c r="M12074" s="274"/>
    </row>
    <row r="12075" spans="13:13" ht="15" customHeight="1" x14ac:dyDescent="0.25">
      <c r="M12075" s="274"/>
    </row>
    <row r="12076" spans="13:13" ht="15" customHeight="1" x14ac:dyDescent="0.25">
      <c r="M12076" s="274"/>
    </row>
    <row r="12077" spans="13:13" ht="15" customHeight="1" x14ac:dyDescent="0.25">
      <c r="M12077" s="274"/>
    </row>
    <row r="12078" spans="13:13" ht="15" customHeight="1" x14ac:dyDescent="0.25">
      <c r="M12078" s="274"/>
    </row>
    <row r="12079" spans="13:13" ht="15" customHeight="1" x14ac:dyDescent="0.25">
      <c r="M12079" s="274"/>
    </row>
    <row r="12080" spans="13:13" ht="15" customHeight="1" x14ac:dyDescent="0.25">
      <c r="M12080" s="274"/>
    </row>
    <row r="12081" spans="13:13" ht="15" customHeight="1" x14ac:dyDescent="0.25">
      <c r="M12081" s="274"/>
    </row>
    <row r="12082" spans="13:13" ht="15" customHeight="1" x14ac:dyDescent="0.25">
      <c r="M12082" s="274"/>
    </row>
    <row r="12083" spans="13:13" ht="15" customHeight="1" x14ac:dyDescent="0.25">
      <c r="M12083" s="274"/>
    </row>
    <row r="12084" spans="13:13" ht="15" customHeight="1" x14ac:dyDescent="0.25">
      <c r="M12084" s="274"/>
    </row>
    <row r="12085" spans="13:13" ht="15" customHeight="1" x14ac:dyDescent="0.25">
      <c r="M12085" s="274"/>
    </row>
    <row r="12086" spans="13:13" ht="15" customHeight="1" x14ac:dyDescent="0.25">
      <c r="M12086" s="274"/>
    </row>
    <row r="12087" spans="13:13" ht="15" customHeight="1" x14ac:dyDescent="0.25">
      <c r="M12087" s="274"/>
    </row>
    <row r="12088" spans="13:13" ht="15" customHeight="1" x14ac:dyDescent="0.25">
      <c r="M12088" s="274"/>
    </row>
    <row r="12089" spans="13:13" ht="15" customHeight="1" x14ac:dyDescent="0.25">
      <c r="M12089" s="274"/>
    </row>
    <row r="12090" spans="13:13" ht="15" customHeight="1" x14ac:dyDescent="0.25">
      <c r="M12090" s="274"/>
    </row>
    <row r="12091" spans="13:13" ht="15" customHeight="1" x14ac:dyDescent="0.25">
      <c r="M12091" s="274"/>
    </row>
    <row r="12092" spans="13:13" ht="15" customHeight="1" x14ac:dyDescent="0.25">
      <c r="M12092" s="274"/>
    </row>
    <row r="12093" spans="13:13" ht="15" customHeight="1" x14ac:dyDescent="0.25">
      <c r="M12093" s="274"/>
    </row>
    <row r="12094" spans="13:13" ht="15" customHeight="1" x14ac:dyDescent="0.25">
      <c r="M12094" s="274"/>
    </row>
    <row r="12095" spans="13:13" ht="15" customHeight="1" x14ac:dyDescent="0.25">
      <c r="M12095" s="274"/>
    </row>
    <row r="12096" spans="13:13" ht="15" customHeight="1" x14ac:dyDescent="0.25">
      <c r="M12096" s="274"/>
    </row>
    <row r="12097" spans="13:13" ht="15" customHeight="1" x14ac:dyDescent="0.25">
      <c r="M12097" s="274"/>
    </row>
    <row r="12098" spans="13:13" ht="15" customHeight="1" x14ac:dyDescent="0.25">
      <c r="M12098" s="274"/>
    </row>
    <row r="12099" spans="13:13" ht="15" customHeight="1" x14ac:dyDescent="0.25">
      <c r="M12099" s="274"/>
    </row>
    <row r="12100" spans="13:13" ht="15" customHeight="1" x14ac:dyDescent="0.25">
      <c r="M12100" s="274"/>
    </row>
    <row r="12101" spans="13:13" ht="15" customHeight="1" x14ac:dyDescent="0.25">
      <c r="M12101" s="274"/>
    </row>
    <row r="12102" spans="13:13" ht="15" customHeight="1" x14ac:dyDescent="0.25">
      <c r="M12102" s="274"/>
    </row>
    <row r="12103" spans="13:13" ht="15" customHeight="1" x14ac:dyDescent="0.25">
      <c r="M12103" s="274"/>
    </row>
    <row r="12104" spans="13:13" ht="15" customHeight="1" x14ac:dyDescent="0.25">
      <c r="M12104" s="274"/>
    </row>
    <row r="12105" spans="13:13" ht="15" customHeight="1" x14ac:dyDescent="0.25">
      <c r="M12105" s="274"/>
    </row>
    <row r="12106" spans="13:13" ht="15" customHeight="1" x14ac:dyDescent="0.25">
      <c r="M12106" s="274"/>
    </row>
    <row r="12107" spans="13:13" ht="15" customHeight="1" x14ac:dyDescent="0.25">
      <c r="M12107" s="274"/>
    </row>
    <row r="12108" spans="13:13" ht="15" customHeight="1" x14ac:dyDescent="0.25">
      <c r="M12108" s="274"/>
    </row>
    <row r="12109" spans="13:13" ht="15" customHeight="1" x14ac:dyDescent="0.25">
      <c r="M12109" s="274"/>
    </row>
    <row r="12110" spans="13:13" ht="15" customHeight="1" x14ac:dyDescent="0.25">
      <c r="M12110" s="274"/>
    </row>
    <row r="12111" spans="13:13" ht="15" customHeight="1" x14ac:dyDescent="0.25">
      <c r="M12111" s="274"/>
    </row>
    <row r="12112" spans="13:13" ht="15" customHeight="1" x14ac:dyDescent="0.25">
      <c r="M12112" s="274"/>
    </row>
    <row r="12113" spans="13:13" ht="15" customHeight="1" x14ac:dyDescent="0.25">
      <c r="M12113" s="274"/>
    </row>
    <row r="12114" spans="13:13" ht="15" customHeight="1" x14ac:dyDescent="0.25">
      <c r="M12114" s="274"/>
    </row>
    <row r="12115" spans="13:13" ht="15" customHeight="1" x14ac:dyDescent="0.25">
      <c r="M12115" s="274"/>
    </row>
    <row r="12116" spans="13:13" ht="15" customHeight="1" x14ac:dyDescent="0.25">
      <c r="M12116" s="274"/>
    </row>
    <row r="12117" spans="13:13" ht="15" customHeight="1" x14ac:dyDescent="0.25">
      <c r="M12117" s="274"/>
    </row>
    <row r="12118" spans="13:13" ht="15" customHeight="1" x14ac:dyDescent="0.25">
      <c r="M12118" s="274"/>
    </row>
    <row r="12119" spans="13:13" ht="15" customHeight="1" x14ac:dyDescent="0.25">
      <c r="M12119" s="274"/>
    </row>
    <row r="12120" spans="13:13" ht="15" customHeight="1" x14ac:dyDescent="0.25">
      <c r="M12120" s="274"/>
    </row>
    <row r="12121" spans="13:13" ht="15" customHeight="1" x14ac:dyDescent="0.25">
      <c r="M12121" s="274"/>
    </row>
    <row r="12122" spans="13:13" ht="15" customHeight="1" x14ac:dyDescent="0.25">
      <c r="M12122" s="274"/>
    </row>
    <row r="12123" spans="13:13" ht="15" customHeight="1" x14ac:dyDescent="0.25">
      <c r="M12123" s="274"/>
    </row>
    <row r="12124" spans="13:13" ht="15" customHeight="1" x14ac:dyDescent="0.25">
      <c r="M12124" s="274"/>
    </row>
    <row r="12125" spans="13:13" ht="15" customHeight="1" x14ac:dyDescent="0.25">
      <c r="M12125" s="274"/>
    </row>
    <row r="12126" spans="13:13" ht="15" customHeight="1" x14ac:dyDescent="0.25">
      <c r="M12126" s="274"/>
    </row>
    <row r="12127" spans="13:13" ht="15" customHeight="1" x14ac:dyDescent="0.25">
      <c r="M12127" s="274"/>
    </row>
    <row r="12128" spans="13:13" ht="15" customHeight="1" x14ac:dyDescent="0.25">
      <c r="M12128" s="274"/>
    </row>
    <row r="12129" spans="13:13" ht="15" customHeight="1" x14ac:dyDescent="0.25">
      <c r="M12129" s="274"/>
    </row>
    <row r="12130" spans="13:13" ht="15" customHeight="1" x14ac:dyDescent="0.25">
      <c r="M12130" s="274"/>
    </row>
    <row r="12131" spans="13:13" ht="15" customHeight="1" x14ac:dyDescent="0.25">
      <c r="M12131" s="274"/>
    </row>
    <row r="12132" spans="13:13" ht="15" customHeight="1" x14ac:dyDescent="0.25">
      <c r="M12132" s="274"/>
    </row>
    <row r="12133" spans="13:13" ht="15" customHeight="1" x14ac:dyDescent="0.25">
      <c r="M12133" s="274"/>
    </row>
    <row r="12134" spans="13:13" ht="15" customHeight="1" x14ac:dyDescent="0.25">
      <c r="M12134" s="274"/>
    </row>
    <row r="12135" spans="13:13" ht="15" customHeight="1" x14ac:dyDescent="0.25">
      <c r="M12135" s="274"/>
    </row>
    <row r="12136" spans="13:13" ht="15" customHeight="1" x14ac:dyDescent="0.25">
      <c r="M12136" s="274"/>
    </row>
    <row r="12137" spans="13:13" ht="15" customHeight="1" x14ac:dyDescent="0.25">
      <c r="M12137" s="274"/>
    </row>
    <row r="12138" spans="13:13" ht="15" customHeight="1" x14ac:dyDescent="0.25">
      <c r="M12138" s="274"/>
    </row>
    <row r="12139" spans="13:13" ht="15" customHeight="1" x14ac:dyDescent="0.25">
      <c r="M12139" s="274"/>
    </row>
    <row r="12140" spans="13:13" ht="15" customHeight="1" x14ac:dyDescent="0.25">
      <c r="M12140" s="274"/>
    </row>
    <row r="12141" spans="13:13" ht="15" customHeight="1" x14ac:dyDescent="0.25">
      <c r="M12141" s="274"/>
    </row>
    <row r="12142" spans="13:13" ht="15" customHeight="1" x14ac:dyDescent="0.25">
      <c r="M12142" s="274"/>
    </row>
    <row r="12143" spans="13:13" ht="15" customHeight="1" x14ac:dyDescent="0.25">
      <c r="M12143" s="274"/>
    </row>
    <row r="12144" spans="13:13" ht="15" customHeight="1" x14ac:dyDescent="0.25">
      <c r="M12144" s="274"/>
    </row>
    <row r="12145" spans="13:13" ht="15" customHeight="1" x14ac:dyDescent="0.25">
      <c r="M12145" s="274"/>
    </row>
    <row r="12146" spans="13:13" ht="15" customHeight="1" x14ac:dyDescent="0.25">
      <c r="M12146" s="274"/>
    </row>
    <row r="12147" spans="13:13" ht="15" customHeight="1" x14ac:dyDescent="0.25">
      <c r="M12147" s="274"/>
    </row>
    <row r="12148" spans="13:13" ht="15" customHeight="1" x14ac:dyDescent="0.25">
      <c r="M12148" s="274"/>
    </row>
    <row r="12149" spans="13:13" ht="15" customHeight="1" x14ac:dyDescent="0.25">
      <c r="M12149" s="274"/>
    </row>
    <row r="12150" spans="13:13" ht="15" customHeight="1" x14ac:dyDescent="0.25">
      <c r="M12150" s="274"/>
    </row>
    <row r="12151" spans="13:13" ht="15" customHeight="1" x14ac:dyDescent="0.25">
      <c r="M12151" s="274"/>
    </row>
    <row r="12152" spans="13:13" ht="15" customHeight="1" x14ac:dyDescent="0.25">
      <c r="M12152" s="274"/>
    </row>
    <row r="12153" spans="13:13" ht="15" customHeight="1" x14ac:dyDescent="0.25">
      <c r="M12153" s="274"/>
    </row>
    <row r="12154" spans="13:13" ht="15" customHeight="1" x14ac:dyDescent="0.25">
      <c r="M12154" s="274"/>
    </row>
    <row r="12155" spans="13:13" ht="15" customHeight="1" x14ac:dyDescent="0.25">
      <c r="M12155" s="274"/>
    </row>
    <row r="12156" spans="13:13" ht="15" customHeight="1" x14ac:dyDescent="0.25">
      <c r="M12156" s="274"/>
    </row>
    <row r="12157" spans="13:13" ht="15" customHeight="1" x14ac:dyDescent="0.25">
      <c r="M12157" s="274"/>
    </row>
    <row r="12158" spans="13:13" ht="15" customHeight="1" x14ac:dyDescent="0.25">
      <c r="M12158" s="274"/>
    </row>
    <row r="12159" spans="13:13" ht="15" customHeight="1" x14ac:dyDescent="0.25">
      <c r="M12159" s="274"/>
    </row>
    <row r="12160" spans="13:13" ht="15" customHeight="1" x14ac:dyDescent="0.25">
      <c r="M12160" s="274"/>
    </row>
    <row r="12161" spans="13:13" ht="15" customHeight="1" x14ac:dyDescent="0.25">
      <c r="M12161" s="274"/>
    </row>
    <row r="12162" spans="13:13" ht="15" customHeight="1" x14ac:dyDescent="0.25">
      <c r="M12162" s="274"/>
    </row>
    <row r="12163" spans="13:13" ht="15" customHeight="1" x14ac:dyDescent="0.25">
      <c r="M12163" s="274"/>
    </row>
    <row r="12164" spans="13:13" ht="15" customHeight="1" x14ac:dyDescent="0.25">
      <c r="M12164" s="274"/>
    </row>
    <row r="12165" spans="13:13" ht="15" customHeight="1" x14ac:dyDescent="0.25">
      <c r="M12165" s="274"/>
    </row>
    <row r="12166" spans="13:13" ht="15" customHeight="1" x14ac:dyDescent="0.25">
      <c r="M12166" s="274"/>
    </row>
    <row r="12167" spans="13:13" ht="15" customHeight="1" x14ac:dyDescent="0.25">
      <c r="M12167" s="274"/>
    </row>
    <row r="12168" spans="13:13" ht="15" customHeight="1" x14ac:dyDescent="0.25">
      <c r="M12168" s="274"/>
    </row>
    <row r="12169" spans="13:13" ht="15" customHeight="1" x14ac:dyDescent="0.25">
      <c r="M12169" s="274"/>
    </row>
    <row r="12170" spans="13:13" ht="15" customHeight="1" x14ac:dyDescent="0.25">
      <c r="M12170" s="274"/>
    </row>
    <row r="12171" spans="13:13" ht="15" customHeight="1" x14ac:dyDescent="0.25">
      <c r="M12171" s="274"/>
    </row>
    <row r="12172" spans="13:13" ht="15" customHeight="1" x14ac:dyDescent="0.25">
      <c r="M12172" s="274"/>
    </row>
    <row r="12173" spans="13:13" ht="15" customHeight="1" x14ac:dyDescent="0.25">
      <c r="M12173" s="274"/>
    </row>
    <row r="12174" spans="13:13" ht="15" customHeight="1" x14ac:dyDescent="0.25">
      <c r="M12174" s="274"/>
    </row>
    <row r="12175" spans="13:13" ht="15" customHeight="1" x14ac:dyDescent="0.25">
      <c r="M12175" s="274"/>
    </row>
    <row r="12176" spans="13:13" ht="15" customHeight="1" x14ac:dyDescent="0.25">
      <c r="M12176" s="274"/>
    </row>
    <row r="12177" spans="13:13" ht="15" customHeight="1" x14ac:dyDescent="0.25">
      <c r="M12177" s="274"/>
    </row>
    <row r="12178" spans="13:13" ht="15" customHeight="1" x14ac:dyDescent="0.25">
      <c r="M12178" s="274"/>
    </row>
    <row r="12179" spans="13:13" ht="15" customHeight="1" x14ac:dyDescent="0.25">
      <c r="M12179" s="274"/>
    </row>
    <row r="12180" spans="13:13" ht="15" customHeight="1" x14ac:dyDescent="0.25">
      <c r="M12180" s="274"/>
    </row>
    <row r="12181" spans="13:13" ht="15" customHeight="1" x14ac:dyDescent="0.25">
      <c r="M12181" s="274"/>
    </row>
    <row r="12182" spans="13:13" ht="15" customHeight="1" x14ac:dyDescent="0.25">
      <c r="M12182" s="274"/>
    </row>
    <row r="12183" spans="13:13" ht="15" customHeight="1" x14ac:dyDescent="0.25">
      <c r="M12183" s="274"/>
    </row>
    <row r="12184" spans="13:13" ht="15" customHeight="1" x14ac:dyDescent="0.25">
      <c r="M12184" s="274"/>
    </row>
    <row r="12185" spans="13:13" ht="15" customHeight="1" x14ac:dyDescent="0.25">
      <c r="M12185" s="274"/>
    </row>
    <row r="12186" spans="13:13" ht="15" customHeight="1" x14ac:dyDescent="0.25">
      <c r="M12186" s="274"/>
    </row>
    <row r="12187" spans="13:13" ht="15" customHeight="1" x14ac:dyDescent="0.25">
      <c r="M12187" s="274"/>
    </row>
    <row r="12188" spans="13:13" ht="15" customHeight="1" x14ac:dyDescent="0.25">
      <c r="M12188" s="274"/>
    </row>
    <row r="12189" spans="13:13" ht="15" customHeight="1" x14ac:dyDescent="0.25">
      <c r="M12189" s="274"/>
    </row>
    <row r="12190" spans="13:13" ht="15" customHeight="1" x14ac:dyDescent="0.25">
      <c r="M12190" s="274"/>
    </row>
    <row r="12191" spans="13:13" ht="15" customHeight="1" x14ac:dyDescent="0.25">
      <c r="M12191" s="274"/>
    </row>
    <row r="12192" spans="13:13" ht="15" customHeight="1" x14ac:dyDescent="0.25">
      <c r="M12192" s="274"/>
    </row>
    <row r="12193" spans="13:13" ht="15" customHeight="1" x14ac:dyDescent="0.25">
      <c r="M12193" s="274"/>
    </row>
    <row r="12194" spans="13:13" ht="15" customHeight="1" x14ac:dyDescent="0.25">
      <c r="M12194" s="274"/>
    </row>
    <row r="12195" spans="13:13" ht="15" customHeight="1" x14ac:dyDescent="0.25">
      <c r="M12195" s="274"/>
    </row>
    <row r="12196" spans="13:13" ht="15" customHeight="1" x14ac:dyDescent="0.25">
      <c r="M12196" s="274"/>
    </row>
    <row r="12197" spans="13:13" ht="15" customHeight="1" x14ac:dyDescent="0.25">
      <c r="M12197" s="274"/>
    </row>
    <row r="12198" spans="13:13" ht="15" customHeight="1" x14ac:dyDescent="0.25">
      <c r="M12198" s="274"/>
    </row>
    <row r="12199" spans="13:13" ht="15" customHeight="1" x14ac:dyDescent="0.25">
      <c r="M12199" s="274"/>
    </row>
    <row r="12200" spans="13:13" ht="15" customHeight="1" x14ac:dyDescent="0.25">
      <c r="M12200" s="274"/>
    </row>
    <row r="12201" spans="13:13" ht="15" customHeight="1" x14ac:dyDescent="0.25">
      <c r="M12201" s="274"/>
    </row>
    <row r="12202" spans="13:13" ht="15" customHeight="1" x14ac:dyDescent="0.25">
      <c r="M12202" s="274"/>
    </row>
    <row r="12203" spans="13:13" ht="15" customHeight="1" x14ac:dyDescent="0.25">
      <c r="M12203" s="274"/>
    </row>
    <row r="12204" spans="13:13" ht="15" customHeight="1" x14ac:dyDescent="0.25">
      <c r="M12204" s="274"/>
    </row>
    <row r="12205" spans="13:13" ht="15" customHeight="1" x14ac:dyDescent="0.25">
      <c r="M12205" s="274"/>
    </row>
    <row r="12206" spans="13:13" ht="15" customHeight="1" x14ac:dyDescent="0.25">
      <c r="M12206" s="274"/>
    </row>
    <row r="12207" spans="13:13" ht="15" customHeight="1" x14ac:dyDescent="0.25">
      <c r="M12207" s="274"/>
    </row>
    <row r="12208" spans="13:13" ht="15" customHeight="1" x14ac:dyDescent="0.25">
      <c r="M12208" s="274"/>
    </row>
    <row r="12209" spans="13:13" ht="15" customHeight="1" x14ac:dyDescent="0.25">
      <c r="M12209" s="274"/>
    </row>
    <row r="12210" spans="13:13" ht="15" customHeight="1" x14ac:dyDescent="0.25">
      <c r="M12210" s="274"/>
    </row>
    <row r="12211" spans="13:13" ht="15" customHeight="1" x14ac:dyDescent="0.25">
      <c r="M12211" s="274"/>
    </row>
    <row r="12212" spans="13:13" ht="15" customHeight="1" x14ac:dyDescent="0.25">
      <c r="M12212" s="274"/>
    </row>
    <row r="12213" spans="13:13" ht="15" customHeight="1" x14ac:dyDescent="0.25">
      <c r="M12213" s="274"/>
    </row>
    <row r="12214" spans="13:13" ht="15" customHeight="1" x14ac:dyDescent="0.25">
      <c r="M12214" s="274"/>
    </row>
    <row r="12215" spans="13:13" ht="15" customHeight="1" x14ac:dyDescent="0.25">
      <c r="M12215" s="274"/>
    </row>
    <row r="12216" spans="13:13" ht="15" customHeight="1" x14ac:dyDescent="0.25">
      <c r="M12216" s="274"/>
    </row>
    <row r="12217" spans="13:13" ht="15" customHeight="1" x14ac:dyDescent="0.25">
      <c r="M12217" s="274"/>
    </row>
    <row r="12218" spans="13:13" ht="15" customHeight="1" x14ac:dyDescent="0.25">
      <c r="M12218" s="274"/>
    </row>
    <row r="12219" spans="13:13" ht="15" customHeight="1" x14ac:dyDescent="0.25">
      <c r="M12219" s="274"/>
    </row>
    <row r="12220" spans="13:13" ht="15" customHeight="1" x14ac:dyDescent="0.25">
      <c r="M12220" s="274"/>
    </row>
    <row r="12221" spans="13:13" ht="15" customHeight="1" x14ac:dyDescent="0.25">
      <c r="M12221" s="274"/>
    </row>
    <row r="12222" spans="13:13" ht="15" customHeight="1" x14ac:dyDescent="0.25">
      <c r="M12222" s="274"/>
    </row>
    <row r="12223" spans="13:13" ht="15" customHeight="1" x14ac:dyDescent="0.25">
      <c r="M12223" s="274"/>
    </row>
    <row r="12224" spans="13:13" ht="15" customHeight="1" x14ac:dyDescent="0.25">
      <c r="M12224" s="274"/>
    </row>
    <row r="12225" spans="13:13" ht="15" customHeight="1" x14ac:dyDescent="0.25">
      <c r="M12225" s="274"/>
    </row>
    <row r="12226" spans="13:13" ht="15" customHeight="1" x14ac:dyDescent="0.25">
      <c r="M12226" s="274"/>
    </row>
    <row r="12227" spans="13:13" ht="15" customHeight="1" x14ac:dyDescent="0.25">
      <c r="M12227" s="274"/>
    </row>
    <row r="12228" spans="13:13" ht="15" customHeight="1" x14ac:dyDescent="0.25">
      <c r="M12228" s="274"/>
    </row>
    <row r="12229" spans="13:13" ht="15" customHeight="1" x14ac:dyDescent="0.25">
      <c r="M12229" s="274"/>
    </row>
    <row r="12230" spans="13:13" ht="15" customHeight="1" x14ac:dyDescent="0.25">
      <c r="M12230" s="274"/>
    </row>
    <row r="12231" spans="13:13" ht="15" customHeight="1" x14ac:dyDescent="0.25">
      <c r="M12231" s="274"/>
    </row>
    <row r="12232" spans="13:13" ht="15" customHeight="1" x14ac:dyDescent="0.25">
      <c r="M12232" s="274"/>
    </row>
    <row r="12233" spans="13:13" ht="15" customHeight="1" x14ac:dyDescent="0.25">
      <c r="M12233" s="274"/>
    </row>
    <row r="12234" spans="13:13" ht="15" customHeight="1" x14ac:dyDescent="0.25">
      <c r="M12234" s="274"/>
    </row>
    <row r="12235" spans="13:13" ht="15" customHeight="1" x14ac:dyDescent="0.25">
      <c r="M12235" s="274"/>
    </row>
    <row r="12236" spans="13:13" ht="15" customHeight="1" x14ac:dyDescent="0.25">
      <c r="M12236" s="274"/>
    </row>
    <row r="12237" spans="13:13" ht="15" customHeight="1" x14ac:dyDescent="0.25">
      <c r="M12237" s="274"/>
    </row>
    <row r="12238" spans="13:13" ht="15" customHeight="1" x14ac:dyDescent="0.25">
      <c r="M12238" s="274"/>
    </row>
    <row r="12239" spans="13:13" ht="15" customHeight="1" x14ac:dyDescent="0.25">
      <c r="M12239" s="274"/>
    </row>
    <row r="12240" spans="13:13" ht="15" customHeight="1" x14ac:dyDescent="0.25">
      <c r="M12240" s="274"/>
    </row>
    <row r="12241" spans="13:13" ht="15" customHeight="1" x14ac:dyDescent="0.25">
      <c r="M12241" s="274"/>
    </row>
    <row r="12242" spans="13:13" ht="15" customHeight="1" x14ac:dyDescent="0.25">
      <c r="M12242" s="274"/>
    </row>
    <row r="12243" spans="13:13" ht="15" customHeight="1" x14ac:dyDescent="0.25">
      <c r="M12243" s="274"/>
    </row>
    <row r="12244" spans="13:13" ht="15" customHeight="1" x14ac:dyDescent="0.25">
      <c r="M12244" s="274"/>
    </row>
    <row r="12245" spans="13:13" ht="15" customHeight="1" x14ac:dyDescent="0.25">
      <c r="M12245" s="274"/>
    </row>
    <row r="12246" spans="13:13" ht="15" customHeight="1" x14ac:dyDescent="0.25">
      <c r="M12246" s="274"/>
    </row>
    <row r="12247" spans="13:13" ht="15" customHeight="1" x14ac:dyDescent="0.25">
      <c r="M12247" s="274"/>
    </row>
    <row r="12248" spans="13:13" ht="15" customHeight="1" x14ac:dyDescent="0.25">
      <c r="M12248" s="274"/>
    </row>
    <row r="12249" spans="13:13" ht="15" customHeight="1" x14ac:dyDescent="0.25">
      <c r="M12249" s="274"/>
    </row>
    <row r="12250" spans="13:13" ht="15" customHeight="1" x14ac:dyDescent="0.25">
      <c r="M12250" s="274"/>
    </row>
    <row r="12251" spans="13:13" ht="15" customHeight="1" x14ac:dyDescent="0.25">
      <c r="M12251" s="274"/>
    </row>
    <row r="12252" spans="13:13" ht="15" customHeight="1" x14ac:dyDescent="0.25">
      <c r="M12252" s="274"/>
    </row>
    <row r="12253" spans="13:13" ht="15" customHeight="1" x14ac:dyDescent="0.25">
      <c r="M12253" s="274"/>
    </row>
    <row r="12254" spans="13:13" ht="15" customHeight="1" x14ac:dyDescent="0.25">
      <c r="M12254" s="274"/>
    </row>
    <row r="12255" spans="13:13" ht="15" customHeight="1" x14ac:dyDescent="0.25">
      <c r="M12255" s="274"/>
    </row>
    <row r="12256" spans="13:13" ht="15" customHeight="1" x14ac:dyDescent="0.25">
      <c r="M12256" s="274"/>
    </row>
    <row r="12257" spans="13:13" ht="15" customHeight="1" x14ac:dyDescent="0.25">
      <c r="M12257" s="274"/>
    </row>
    <row r="12258" spans="13:13" ht="15" customHeight="1" x14ac:dyDescent="0.25">
      <c r="M12258" s="274"/>
    </row>
    <row r="12259" spans="13:13" ht="15" customHeight="1" x14ac:dyDescent="0.25">
      <c r="M12259" s="274"/>
    </row>
    <row r="12260" spans="13:13" ht="15" customHeight="1" x14ac:dyDescent="0.25">
      <c r="M12260" s="274"/>
    </row>
    <row r="12261" spans="13:13" ht="15" customHeight="1" x14ac:dyDescent="0.25">
      <c r="M12261" s="274"/>
    </row>
    <row r="12262" spans="13:13" ht="15" customHeight="1" x14ac:dyDescent="0.25">
      <c r="M12262" s="274"/>
    </row>
    <row r="12263" spans="13:13" ht="15" customHeight="1" x14ac:dyDescent="0.25">
      <c r="M12263" s="274"/>
    </row>
    <row r="12264" spans="13:13" ht="15" customHeight="1" x14ac:dyDescent="0.25">
      <c r="M12264" s="274"/>
    </row>
    <row r="12265" spans="13:13" ht="15" customHeight="1" x14ac:dyDescent="0.25">
      <c r="M12265" s="274"/>
    </row>
    <row r="12266" spans="13:13" ht="15" customHeight="1" x14ac:dyDescent="0.25">
      <c r="M12266" s="274"/>
    </row>
    <row r="12267" spans="13:13" ht="15" customHeight="1" x14ac:dyDescent="0.25">
      <c r="M12267" s="274"/>
    </row>
    <row r="12268" spans="13:13" ht="15" customHeight="1" x14ac:dyDescent="0.25">
      <c r="M12268" s="274"/>
    </row>
    <row r="12269" spans="13:13" ht="15" customHeight="1" x14ac:dyDescent="0.25">
      <c r="M12269" s="274"/>
    </row>
    <row r="12270" spans="13:13" ht="15" customHeight="1" x14ac:dyDescent="0.25">
      <c r="M12270" s="274"/>
    </row>
    <row r="12271" spans="13:13" ht="15" customHeight="1" x14ac:dyDescent="0.25">
      <c r="M12271" s="274"/>
    </row>
    <row r="12272" spans="13:13" ht="15" customHeight="1" x14ac:dyDescent="0.25">
      <c r="M12272" s="274"/>
    </row>
    <row r="12273" spans="13:13" ht="15" customHeight="1" x14ac:dyDescent="0.25">
      <c r="M12273" s="274"/>
    </row>
    <row r="12274" spans="13:13" ht="15" customHeight="1" x14ac:dyDescent="0.25">
      <c r="M12274" s="274"/>
    </row>
    <row r="12275" spans="13:13" ht="15" customHeight="1" x14ac:dyDescent="0.25">
      <c r="M12275" s="274"/>
    </row>
    <row r="12276" spans="13:13" ht="15" customHeight="1" x14ac:dyDescent="0.25">
      <c r="M12276" s="274"/>
    </row>
    <row r="12277" spans="13:13" ht="15" customHeight="1" x14ac:dyDescent="0.25">
      <c r="M12277" s="274"/>
    </row>
    <row r="12278" spans="13:13" ht="15" customHeight="1" x14ac:dyDescent="0.25">
      <c r="M12278" s="274"/>
    </row>
    <row r="12279" spans="13:13" ht="15" customHeight="1" x14ac:dyDescent="0.25">
      <c r="M12279" s="274"/>
    </row>
    <row r="12280" spans="13:13" ht="15" customHeight="1" x14ac:dyDescent="0.25">
      <c r="M12280" s="274"/>
    </row>
    <row r="12281" spans="13:13" ht="15" customHeight="1" x14ac:dyDescent="0.25">
      <c r="M12281" s="274"/>
    </row>
    <row r="12282" spans="13:13" ht="15" customHeight="1" x14ac:dyDescent="0.25">
      <c r="M12282" s="274"/>
    </row>
    <row r="12283" spans="13:13" ht="15" customHeight="1" x14ac:dyDescent="0.25">
      <c r="M12283" s="274"/>
    </row>
    <row r="12284" spans="13:13" ht="15" customHeight="1" x14ac:dyDescent="0.25">
      <c r="M12284" s="274"/>
    </row>
    <row r="12285" spans="13:13" ht="15" customHeight="1" x14ac:dyDescent="0.25">
      <c r="M12285" s="274"/>
    </row>
    <row r="12286" spans="13:13" ht="15" customHeight="1" x14ac:dyDescent="0.25">
      <c r="M12286" s="274"/>
    </row>
    <row r="12287" spans="13:13" ht="15" customHeight="1" x14ac:dyDescent="0.25">
      <c r="M12287" s="274"/>
    </row>
    <row r="12288" spans="13:13" ht="15" customHeight="1" x14ac:dyDescent="0.25">
      <c r="M12288" s="274"/>
    </row>
    <row r="12289" spans="13:13" ht="15" customHeight="1" x14ac:dyDescent="0.25">
      <c r="M12289" s="274"/>
    </row>
    <row r="12290" spans="13:13" ht="15" customHeight="1" x14ac:dyDescent="0.25">
      <c r="M12290" s="274"/>
    </row>
    <row r="12291" spans="13:13" ht="15" customHeight="1" x14ac:dyDescent="0.25">
      <c r="M12291" s="274"/>
    </row>
    <row r="12292" spans="13:13" ht="15" customHeight="1" x14ac:dyDescent="0.25">
      <c r="M12292" s="274"/>
    </row>
    <row r="12293" spans="13:13" ht="15" customHeight="1" x14ac:dyDescent="0.25">
      <c r="M12293" s="274"/>
    </row>
    <row r="12294" spans="13:13" ht="15" customHeight="1" x14ac:dyDescent="0.25">
      <c r="M12294" s="274"/>
    </row>
    <row r="12295" spans="13:13" ht="15" customHeight="1" x14ac:dyDescent="0.25">
      <c r="M12295" s="274"/>
    </row>
    <row r="12296" spans="13:13" ht="15" customHeight="1" x14ac:dyDescent="0.25">
      <c r="M12296" s="274"/>
    </row>
    <row r="12297" spans="13:13" ht="15" customHeight="1" x14ac:dyDescent="0.25">
      <c r="M12297" s="274"/>
    </row>
    <row r="12298" spans="13:13" ht="15" customHeight="1" x14ac:dyDescent="0.25">
      <c r="M12298" s="274"/>
    </row>
    <row r="12299" spans="13:13" ht="15" customHeight="1" x14ac:dyDescent="0.25">
      <c r="M12299" s="274"/>
    </row>
    <row r="12300" spans="13:13" ht="15" customHeight="1" x14ac:dyDescent="0.25">
      <c r="M12300" s="274"/>
    </row>
    <row r="12301" spans="13:13" ht="15" customHeight="1" x14ac:dyDescent="0.25">
      <c r="M12301" s="274"/>
    </row>
    <row r="12302" spans="13:13" ht="15" customHeight="1" x14ac:dyDescent="0.25">
      <c r="M12302" s="274"/>
    </row>
    <row r="12303" spans="13:13" ht="15" customHeight="1" x14ac:dyDescent="0.25">
      <c r="M12303" s="274"/>
    </row>
    <row r="12304" spans="13:13" ht="15" customHeight="1" x14ac:dyDescent="0.25">
      <c r="M12304" s="274"/>
    </row>
    <row r="12305" spans="13:13" ht="15" customHeight="1" x14ac:dyDescent="0.25">
      <c r="M12305" s="274"/>
    </row>
    <row r="12306" spans="13:13" ht="15" customHeight="1" x14ac:dyDescent="0.25">
      <c r="M12306" s="274"/>
    </row>
    <row r="12307" spans="13:13" ht="15" customHeight="1" x14ac:dyDescent="0.25">
      <c r="M12307" s="274"/>
    </row>
    <row r="12308" spans="13:13" ht="15" customHeight="1" x14ac:dyDescent="0.25">
      <c r="M12308" s="274"/>
    </row>
    <row r="12309" spans="13:13" ht="15" customHeight="1" x14ac:dyDescent="0.25">
      <c r="M12309" s="274"/>
    </row>
    <row r="12310" spans="13:13" ht="15" customHeight="1" x14ac:dyDescent="0.25">
      <c r="M12310" s="274"/>
    </row>
    <row r="12311" spans="13:13" ht="15" customHeight="1" x14ac:dyDescent="0.25">
      <c r="M12311" s="274"/>
    </row>
    <row r="12312" spans="13:13" ht="15" customHeight="1" x14ac:dyDescent="0.25">
      <c r="M12312" s="274"/>
    </row>
    <row r="12313" spans="13:13" ht="15" customHeight="1" x14ac:dyDescent="0.25">
      <c r="M12313" s="274"/>
    </row>
    <row r="12314" spans="13:13" ht="15" customHeight="1" x14ac:dyDescent="0.25">
      <c r="M12314" s="274"/>
    </row>
    <row r="12315" spans="13:13" ht="15" customHeight="1" x14ac:dyDescent="0.25">
      <c r="M12315" s="274"/>
    </row>
    <row r="12316" spans="13:13" ht="15" customHeight="1" x14ac:dyDescent="0.25">
      <c r="M12316" s="274"/>
    </row>
    <row r="12317" spans="13:13" ht="15" customHeight="1" x14ac:dyDescent="0.25">
      <c r="M12317" s="274"/>
    </row>
    <row r="12318" spans="13:13" ht="15" customHeight="1" x14ac:dyDescent="0.25">
      <c r="M12318" s="274"/>
    </row>
    <row r="12319" spans="13:13" ht="15" customHeight="1" x14ac:dyDescent="0.25">
      <c r="M12319" s="274"/>
    </row>
    <row r="12320" spans="13:13" ht="15" customHeight="1" x14ac:dyDescent="0.25">
      <c r="M12320" s="274"/>
    </row>
    <row r="12321" spans="13:13" ht="15" customHeight="1" x14ac:dyDescent="0.25">
      <c r="M12321" s="274"/>
    </row>
    <row r="12322" spans="13:13" ht="15" customHeight="1" x14ac:dyDescent="0.25">
      <c r="M12322" s="274"/>
    </row>
    <row r="12323" spans="13:13" ht="15" customHeight="1" x14ac:dyDescent="0.25">
      <c r="M12323" s="274"/>
    </row>
    <row r="12324" spans="13:13" ht="15" customHeight="1" x14ac:dyDescent="0.25">
      <c r="M12324" s="274"/>
    </row>
    <row r="12325" spans="13:13" ht="15" customHeight="1" x14ac:dyDescent="0.25">
      <c r="M12325" s="274"/>
    </row>
    <row r="12326" spans="13:13" ht="15" customHeight="1" x14ac:dyDescent="0.25">
      <c r="M12326" s="274"/>
    </row>
    <row r="12327" spans="13:13" ht="15" customHeight="1" x14ac:dyDescent="0.25">
      <c r="M12327" s="274"/>
    </row>
    <row r="12328" spans="13:13" ht="15" customHeight="1" x14ac:dyDescent="0.25">
      <c r="M12328" s="274"/>
    </row>
    <row r="12329" spans="13:13" ht="15" customHeight="1" x14ac:dyDescent="0.25">
      <c r="M12329" s="274"/>
    </row>
    <row r="12330" spans="13:13" ht="15" customHeight="1" x14ac:dyDescent="0.25">
      <c r="M12330" s="274"/>
    </row>
    <row r="12331" spans="13:13" ht="15" customHeight="1" x14ac:dyDescent="0.25">
      <c r="M12331" s="274"/>
    </row>
    <row r="12332" spans="13:13" ht="15" customHeight="1" x14ac:dyDescent="0.25">
      <c r="M12332" s="274"/>
    </row>
    <row r="12333" spans="13:13" ht="15" customHeight="1" x14ac:dyDescent="0.25">
      <c r="M12333" s="274"/>
    </row>
    <row r="12334" spans="13:13" ht="15" customHeight="1" x14ac:dyDescent="0.25">
      <c r="M12334" s="274"/>
    </row>
    <row r="12335" spans="13:13" ht="15" customHeight="1" x14ac:dyDescent="0.25">
      <c r="M12335" s="274"/>
    </row>
    <row r="12336" spans="13:13" ht="15" customHeight="1" x14ac:dyDescent="0.25">
      <c r="M12336" s="274"/>
    </row>
    <row r="12337" spans="13:13" ht="15" customHeight="1" x14ac:dyDescent="0.25">
      <c r="M12337" s="274"/>
    </row>
    <row r="12338" spans="13:13" ht="15" customHeight="1" x14ac:dyDescent="0.25">
      <c r="M12338" s="274"/>
    </row>
    <row r="12339" spans="13:13" ht="15" customHeight="1" x14ac:dyDescent="0.25">
      <c r="M12339" s="274"/>
    </row>
    <row r="12340" spans="13:13" ht="15" customHeight="1" x14ac:dyDescent="0.25">
      <c r="M12340" s="274"/>
    </row>
    <row r="12341" spans="13:13" ht="15" customHeight="1" x14ac:dyDescent="0.25">
      <c r="M12341" s="274"/>
    </row>
    <row r="12342" spans="13:13" ht="15" customHeight="1" x14ac:dyDescent="0.25">
      <c r="M12342" s="274"/>
    </row>
    <row r="12343" spans="13:13" ht="15" customHeight="1" x14ac:dyDescent="0.25">
      <c r="M12343" s="274"/>
    </row>
    <row r="12344" spans="13:13" ht="15" customHeight="1" x14ac:dyDescent="0.25">
      <c r="M12344" s="274"/>
    </row>
    <row r="12345" spans="13:13" ht="15" customHeight="1" x14ac:dyDescent="0.25">
      <c r="M12345" s="274"/>
    </row>
    <row r="12346" spans="13:13" ht="15" customHeight="1" x14ac:dyDescent="0.25">
      <c r="M12346" s="274"/>
    </row>
    <row r="12347" spans="13:13" ht="15" customHeight="1" x14ac:dyDescent="0.25">
      <c r="M12347" s="274"/>
    </row>
    <row r="12348" spans="13:13" ht="15" customHeight="1" x14ac:dyDescent="0.25">
      <c r="M12348" s="274"/>
    </row>
    <row r="12349" spans="13:13" ht="15" customHeight="1" x14ac:dyDescent="0.25">
      <c r="M12349" s="274"/>
    </row>
    <row r="12350" spans="13:13" ht="15" customHeight="1" x14ac:dyDescent="0.25">
      <c r="M12350" s="274"/>
    </row>
    <row r="12351" spans="13:13" ht="15" customHeight="1" x14ac:dyDescent="0.25">
      <c r="M12351" s="274"/>
    </row>
    <row r="12352" spans="13:13" ht="15" customHeight="1" x14ac:dyDescent="0.25">
      <c r="M12352" s="274"/>
    </row>
    <row r="12353" spans="13:13" ht="15" customHeight="1" x14ac:dyDescent="0.25">
      <c r="M12353" s="274"/>
    </row>
    <row r="12354" spans="13:13" ht="15" customHeight="1" x14ac:dyDescent="0.25">
      <c r="M12354" s="274"/>
    </row>
    <row r="12355" spans="13:13" ht="15" customHeight="1" x14ac:dyDescent="0.25">
      <c r="M12355" s="274"/>
    </row>
    <row r="12356" spans="13:13" ht="15" customHeight="1" x14ac:dyDescent="0.25">
      <c r="M12356" s="274"/>
    </row>
    <row r="12357" spans="13:13" ht="15" customHeight="1" x14ac:dyDescent="0.25">
      <c r="M12357" s="274"/>
    </row>
    <row r="12358" spans="13:13" ht="15" customHeight="1" x14ac:dyDescent="0.25">
      <c r="M12358" s="274"/>
    </row>
    <row r="12359" spans="13:13" ht="15" customHeight="1" x14ac:dyDescent="0.25">
      <c r="M12359" s="274"/>
    </row>
    <row r="12360" spans="13:13" ht="15" customHeight="1" x14ac:dyDescent="0.25">
      <c r="M12360" s="274"/>
    </row>
    <row r="12361" spans="13:13" ht="15" customHeight="1" x14ac:dyDescent="0.25">
      <c r="M12361" s="274"/>
    </row>
    <row r="12362" spans="13:13" ht="15" customHeight="1" x14ac:dyDescent="0.25">
      <c r="M12362" s="274"/>
    </row>
    <row r="12363" spans="13:13" ht="15" customHeight="1" x14ac:dyDescent="0.25">
      <c r="M12363" s="274"/>
    </row>
    <row r="12364" spans="13:13" ht="15" customHeight="1" x14ac:dyDescent="0.25">
      <c r="M12364" s="274"/>
    </row>
    <row r="12365" spans="13:13" ht="15" customHeight="1" x14ac:dyDescent="0.25">
      <c r="M12365" s="274"/>
    </row>
    <row r="12366" spans="13:13" ht="15" customHeight="1" x14ac:dyDescent="0.25">
      <c r="M12366" s="274"/>
    </row>
    <row r="12367" spans="13:13" ht="15" customHeight="1" x14ac:dyDescent="0.25">
      <c r="M12367" s="274"/>
    </row>
    <row r="12368" spans="13:13" ht="15" customHeight="1" x14ac:dyDescent="0.25">
      <c r="M12368" s="274"/>
    </row>
    <row r="12369" spans="13:13" ht="15" customHeight="1" x14ac:dyDescent="0.25">
      <c r="M12369" s="274"/>
    </row>
    <row r="12370" spans="13:13" ht="15" customHeight="1" x14ac:dyDescent="0.25">
      <c r="M12370" s="274"/>
    </row>
    <row r="12371" spans="13:13" ht="15" customHeight="1" x14ac:dyDescent="0.25">
      <c r="M12371" s="274"/>
    </row>
    <row r="12372" spans="13:13" ht="15" customHeight="1" x14ac:dyDescent="0.25">
      <c r="M12372" s="274"/>
    </row>
    <row r="12373" spans="13:13" ht="15" customHeight="1" x14ac:dyDescent="0.25">
      <c r="M12373" s="274"/>
    </row>
    <row r="12374" spans="13:13" ht="15" customHeight="1" x14ac:dyDescent="0.25">
      <c r="M12374" s="274"/>
    </row>
    <row r="12375" spans="13:13" ht="15" customHeight="1" x14ac:dyDescent="0.25">
      <c r="M12375" s="274"/>
    </row>
    <row r="12376" spans="13:13" ht="15" customHeight="1" x14ac:dyDescent="0.25">
      <c r="M12376" s="274"/>
    </row>
    <row r="12377" spans="13:13" ht="15" customHeight="1" x14ac:dyDescent="0.25">
      <c r="M12377" s="274"/>
    </row>
    <row r="12378" spans="13:13" ht="15" customHeight="1" x14ac:dyDescent="0.25">
      <c r="M12378" s="274"/>
    </row>
    <row r="12379" spans="13:13" ht="15" customHeight="1" x14ac:dyDescent="0.25">
      <c r="M12379" s="274"/>
    </row>
    <row r="12380" spans="13:13" ht="15" customHeight="1" x14ac:dyDescent="0.25">
      <c r="M12380" s="274"/>
    </row>
    <row r="12381" spans="13:13" ht="15" customHeight="1" x14ac:dyDescent="0.25">
      <c r="M12381" s="274"/>
    </row>
    <row r="12382" spans="13:13" ht="15" customHeight="1" x14ac:dyDescent="0.25">
      <c r="M12382" s="274"/>
    </row>
    <row r="12383" spans="13:13" ht="15" customHeight="1" x14ac:dyDescent="0.25">
      <c r="M12383" s="274"/>
    </row>
    <row r="12384" spans="13:13" ht="15" customHeight="1" x14ac:dyDescent="0.25">
      <c r="M12384" s="274"/>
    </row>
    <row r="12385" spans="13:13" ht="15" customHeight="1" x14ac:dyDescent="0.25">
      <c r="M12385" s="274"/>
    </row>
    <row r="12386" spans="13:13" ht="15" customHeight="1" x14ac:dyDescent="0.25">
      <c r="M12386" s="274"/>
    </row>
    <row r="12387" spans="13:13" ht="15" customHeight="1" x14ac:dyDescent="0.25">
      <c r="M12387" s="274"/>
    </row>
    <row r="12388" spans="13:13" ht="15" customHeight="1" x14ac:dyDescent="0.25">
      <c r="M12388" s="274"/>
    </row>
    <row r="12389" spans="13:13" ht="15" customHeight="1" x14ac:dyDescent="0.25">
      <c r="M12389" s="274"/>
    </row>
    <row r="12390" spans="13:13" ht="15" customHeight="1" x14ac:dyDescent="0.25">
      <c r="M12390" s="274"/>
    </row>
    <row r="12391" spans="13:13" ht="15" customHeight="1" x14ac:dyDescent="0.25">
      <c r="M12391" s="274"/>
    </row>
    <row r="12392" spans="13:13" ht="15" customHeight="1" x14ac:dyDescent="0.25">
      <c r="M12392" s="274"/>
    </row>
    <row r="12393" spans="13:13" ht="15" customHeight="1" x14ac:dyDescent="0.25">
      <c r="M12393" s="274"/>
    </row>
    <row r="12394" spans="13:13" ht="15" customHeight="1" x14ac:dyDescent="0.25">
      <c r="M12394" s="274"/>
    </row>
    <row r="12395" spans="13:13" ht="15" customHeight="1" x14ac:dyDescent="0.25">
      <c r="M12395" s="274"/>
    </row>
    <row r="12396" spans="13:13" ht="15" customHeight="1" x14ac:dyDescent="0.25">
      <c r="M12396" s="274"/>
    </row>
    <row r="12397" spans="13:13" ht="15" customHeight="1" x14ac:dyDescent="0.25">
      <c r="M12397" s="274"/>
    </row>
    <row r="12398" spans="13:13" ht="15" customHeight="1" x14ac:dyDescent="0.25">
      <c r="M12398" s="274"/>
    </row>
    <row r="12399" spans="13:13" ht="15" customHeight="1" x14ac:dyDescent="0.25">
      <c r="M12399" s="274"/>
    </row>
    <row r="12400" spans="13:13" ht="15" customHeight="1" x14ac:dyDescent="0.25">
      <c r="M12400" s="274"/>
    </row>
    <row r="12401" spans="13:13" ht="15" customHeight="1" x14ac:dyDescent="0.25">
      <c r="M12401" s="274"/>
    </row>
    <row r="12402" spans="13:13" ht="15" customHeight="1" x14ac:dyDescent="0.25">
      <c r="M12402" s="274"/>
    </row>
    <row r="12403" spans="13:13" ht="15" customHeight="1" x14ac:dyDescent="0.25">
      <c r="M12403" s="274"/>
    </row>
    <row r="12404" spans="13:13" ht="15" customHeight="1" x14ac:dyDescent="0.25">
      <c r="M12404" s="274"/>
    </row>
    <row r="12405" spans="13:13" ht="15" customHeight="1" x14ac:dyDescent="0.25">
      <c r="M12405" s="274"/>
    </row>
    <row r="12406" spans="13:13" ht="15" customHeight="1" x14ac:dyDescent="0.25">
      <c r="M12406" s="274"/>
    </row>
    <row r="12407" spans="13:13" ht="15" customHeight="1" x14ac:dyDescent="0.25">
      <c r="M12407" s="274"/>
    </row>
    <row r="12408" spans="13:13" ht="15" customHeight="1" x14ac:dyDescent="0.25">
      <c r="M12408" s="274"/>
    </row>
    <row r="12409" spans="13:13" ht="15" customHeight="1" x14ac:dyDescent="0.25">
      <c r="M12409" s="274"/>
    </row>
    <row r="12410" spans="13:13" ht="15" customHeight="1" x14ac:dyDescent="0.25">
      <c r="M12410" s="274"/>
    </row>
    <row r="12411" spans="13:13" ht="15" customHeight="1" x14ac:dyDescent="0.25">
      <c r="M12411" s="274"/>
    </row>
    <row r="12412" spans="13:13" ht="15" customHeight="1" x14ac:dyDescent="0.25">
      <c r="M12412" s="274"/>
    </row>
    <row r="12413" spans="13:13" ht="15" customHeight="1" x14ac:dyDescent="0.25">
      <c r="M12413" s="274"/>
    </row>
    <row r="12414" spans="13:13" ht="15" customHeight="1" x14ac:dyDescent="0.25">
      <c r="M12414" s="274"/>
    </row>
    <row r="12415" spans="13:13" ht="15" customHeight="1" x14ac:dyDescent="0.25">
      <c r="M12415" s="274"/>
    </row>
    <row r="12416" spans="13:13" ht="15" customHeight="1" x14ac:dyDescent="0.25">
      <c r="M12416" s="274"/>
    </row>
    <row r="12417" spans="13:13" ht="15" customHeight="1" x14ac:dyDescent="0.25">
      <c r="M12417" s="274"/>
    </row>
    <row r="12418" spans="13:13" ht="15" customHeight="1" x14ac:dyDescent="0.25">
      <c r="M12418" s="274"/>
    </row>
    <row r="12419" spans="13:13" ht="15" customHeight="1" x14ac:dyDescent="0.25">
      <c r="M12419" s="274"/>
    </row>
    <row r="12420" spans="13:13" ht="15" customHeight="1" x14ac:dyDescent="0.25">
      <c r="M12420" s="274"/>
    </row>
    <row r="12421" spans="13:13" ht="15" customHeight="1" x14ac:dyDescent="0.25">
      <c r="M12421" s="274"/>
    </row>
    <row r="12422" spans="13:13" ht="15" customHeight="1" x14ac:dyDescent="0.25">
      <c r="M12422" s="274"/>
    </row>
    <row r="12423" spans="13:13" ht="15" customHeight="1" x14ac:dyDescent="0.25">
      <c r="M12423" s="274"/>
    </row>
    <row r="12424" spans="13:13" ht="15" customHeight="1" x14ac:dyDescent="0.25">
      <c r="M12424" s="274"/>
    </row>
    <row r="12425" spans="13:13" ht="15" customHeight="1" x14ac:dyDescent="0.25">
      <c r="M12425" s="274"/>
    </row>
    <row r="12426" spans="13:13" ht="15" customHeight="1" x14ac:dyDescent="0.25">
      <c r="M12426" s="274"/>
    </row>
    <row r="12427" spans="13:13" ht="15" customHeight="1" x14ac:dyDescent="0.25">
      <c r="M12427" s="274"/>
    </row>
    <row r="12428" spans="13:13" ht="15" customHeight="1" x14ac:dyDescent="0.25">
      <c r="M12428" s="274"/>
    </row>
    <row r="12429" spans="13:13" ht="15" customHeight="1" x14ac:dyDescent="0.25">
      <c r="M12429" s="274"/>
    </row>
    <row r="12430" spans="13:13" ht="15" customHeight="1" x14ac:dyDescent="0.25">
      <c r="M12430" s="274"/>
    </row>
    <row r="12431" spans="13:13" ht="15" customHeight="1" x14ac:dyDescent="0.25">
      <c r="M12431" s="274"/>
    </row>
    <row r="12432" spans="13:13" ht="15" customHeight="1" x14ac:dyDescent="0.25">
      <c r="M12432" s="274"/>
    </row>
    <row r="12433" spans="13:13" ht="15" customHeight="1" x14ac:dyDescent="0.25">
      <c r="M12433" s="274"/>
    </row>
    <row r="12434" spans="13:13" ht="15" customHeight="1" x14ac:dyDescent="0.25">
      <c r="M12434" s="274"/>
    </row>
    <row r="12435" spans="13:13" ht="15" customHeight="1" x14ac:dyDescent="0.25">
      <c r="M12435" s="274"/>
    </row>
    <row r="12436" spans="13:13" ht="15" customHeight="1" x14ac:dyDescent="0.25">
      <c r="M12436" s="274"/>
    </row>
    <row r="12437" spans="13:13" ht="15" customHeight="1" x14ac:dyDescent="0.25">
      <c r="M12437" s="274"/>
    </row>
    <row r="12438" spans="13:13" ht="15" customHeight="1" x14ac:dyDescent="0.25">
      <c r="M12438" s="274"/>
    </row>
    <row r="12439" spans="13:13" ht="15" customHeight="1" x14ac:dyDescent="0.25">
      <c r="M12439" s="274"/>
    </row>
    <row r="12440" spans="13:13" ht="15" customHeight="1" x14ac:dyDescent="0.25">
      <c r="M12440" s="274"/>
    </row>
    <row r="12441" spans="13:13" ht="15" customHeight="1" x14ac:dyDescent="0.25">
      <c r="M12441" s="274"/>
    </row>
    <row r="12442" spans="13:13" ht="15" customHeight="1" x14ac:dyDescent="0.25">
      <c r="M12442" s="274"/>
    </row>
    <row r="12443" spans="13:13" ht="15" customHeight="1" x14ac:dyDescent="0.25">
      <c r="M12443" s="274"/>
    </row>
    <row r="12444" spans="13:13" ht="15" customHeight="1" x14ac:dyDescent="0.25">
      <c r="M12444" s="274"/>
    </row>
    <row r="12445" spans="13:13" ht="15" customHeight="1" x14ac:dyDescent="0.25">
      <c r="M12445" s="274"/>
    </row>
    <row r="12446" spans="13:13" ht="15" customHeight="1" x14ac:dyDescent="0.25">
      <c r="M12446" s="274"/>
    </row>
    <row r="12447" spans="13:13" ht="15" customHeight="1" x14ac:dyDescent="0.25">
      <c r="M12447" s="274"/>
    </row>
    <row r="12448" spans="13:13" ht="15" customHeight="1" x14ac:dyDescent="0.25">
      <c r="M12448" s="274"/>
    </row>
    <row r="12449" spans="13:13" ht="15" customHeight="1" x14ac:dyDescent="0.25">
      <c r="M12449" s="274"/>
    </row>
    <row r="12450" spans="13:13" ht="15" customHeight="1" x14ac:dyDescent="0.25">
      <c r="M12450" s="274"/>
    </row>
    <row r="12451" spans="13:13" ht="15" customHeight="1" x14ac:dyDescent="0.25">
      <c r="M12451" s="274"/>
    </row>
    <row r="12452" spans="13:13" ht="15" customHeight="1" x14ac:dyDescent="0.25">
      <c r="M12452" s="274"/>
    </row>
    <row r="12453" spans="13:13" ht="15" customHeight="1" x14ac:dyDescent="0.25">
      <c r="M12453" s="274"/>
    </row>
    <row r="12454" spans="13:13" ht="15" customHeight="1" x14ac:dyDescent="0.25">
      <c r="M12454" s="274"/>
    </row>
    <row r="12455" spans="13:13" ht="15" customHeight="1" x14ac:dyDescent="0.25">
      <c r="M12455" s="274"/>
    </row>
    <row r="12456" spans="13:13" ht="15" customHeight="1" x14ac:dyDescent="0.25">
      <c r="M12456" s="274"/>
    </row>
    <row r="12457" spans="13:13" ht="15" customHeight="1" x14ac:dyDescent="0.25">
      <c r="M12457" s="274"/>
    </row>
    <row r="12458" spans="13:13" ht="15" customHeight="1" x14ac:dyDescent="0.25">
      <c r="M12458" s="274"/>
    </row>
    <row r="12459" spans="13:13" ht="15" customHeight="1" x14ac:dyDescent="0.25">
      <c r="M12459" s="274"/>
    </row>
    <row r="12460" spans="13:13" ht="15" customHeight="1" x14ac:dyDescent="0.25">
      <c r="M12460" s="274"/>
    </row>
    <row r="12461" spans="13:13" ht="15" customHeight="1" x14ac:dyDescent="0.25">
      <c r="M12461" s="274"/>
    </row>
    <row r="12462" spans="13:13" ht="15" customHeight="1" x14ac:dyDescent="0.25">
      <c r="M12462" s="274"/>
    </row>
    <row r="12463" spans="13:13" ht="15" customHeight="1" x14ac:dyDescent="0.25">
      <c r="M12463" s="274"/>
    </row>
    <row r="12464" spans="13:13" ht="15" customHeight="1" x14ac:dyDescent="0.25">
      <c r="M12464" s="274"/>
    </row>
    <row r="12465" spans="13:13" ht="15" customHeight="1" x14ac:dyDescent="0.25">
      <c r="M12465" s="274"/>
    </row>
    <row r="12466" spans="13:13" ht="15" customHeight="1" x14ac:dyDescent="0.25">
      <c r="M12466" s="274"/>
    </row>
    <row r="12467" spans="13:13" ht="15" customHeight="1" x14ac:dyDescent="0.25">
      <c r="M12467" s="274"/>
    </row>
    <row r="12468" spans="13:13" ht="15" customHeight="1" x14ac:dyDescent="0.25">
      <c r="M12468" s="274"/>
    </row>
    <row r="12469" spans="13:13" ht="15" customHeight="1" x14ac:dyDescent="0.25">
      <c r="M12469" s="274"/>
    </row>
    <row r="12470" spans="13:13" ht="15" customHeight="1" x14ac:dyDescent="0.25">
      <c r="M12470" s="274"/>
    </row>
    <row r="12471" spans="13:13" ht="15" customHeight="1" x14ac:dyDescent="0.25">
      <c r="M12471" s="274"/>
    </row>
    <row r="12472" spans="13:13" ht="15" customHeight="1" x14ac:dyDescent="0.25">
      <c r="M12472" s="274"/>
    </row>
    <row r="12473" spans="13:13" ht="15" customHeight="1" x14ac:dyDescent="0.25">
      <c r="M12473" s="274"/>
    </row>
    <row r="12474" spans="13:13" ht="15" customHeight="1" x14ac:dyDescent="0.25">
      <c r="M12474" s="274"/>
    </row>
    <row r="12475" spans="13:13" ht="15" customHeight="1" x14ac:dyDescent="0.25">
      <c r="M12475" s="274"/>
    </row>
    <row r="12476" spans="13:13" ht="15" customHeight="1" x14ac:dyDescent="0.25">
      <c r="M12476" s="274"/>
    </row>
    <row r="12477" spans="13:13" ht="15" customHeight="1" x14ac:dyDescent="0.25">
      <c r="M12477" s="274"/>
    </row>
    <row r="12478" spans="13:13" ht="15" customHeight="1" x14ac:dyDescent="0.25">
      <c r="M12478" s="274"/>
    </row>
    <row r="12479" spans="13:13" ht="15" customHeight="1" x14ac:dyDescent="0.25">
      <c r="M12479" s="274"/>
    </row>
    <row r="12480" spans="13:13" ht="15" customHeight="1" x14ac:dyDescent="0.25">
      <c r="M12480" s="274"/>
    </row>
    <row r="12481" spans="13:13" ht="15" customHeight="1" x14ac:dyDescent="0.25">
      <c r="M12481" s="274"/>
    </row>
    <row r="12482" spans="13:13" ht="15" customHeight="1" x14ac:dyDescent="0.25">
      <c r="M12482" s="274"/>
    </row>
    <row r="12483" spans="13:13" ht="15" customHeight="1" x14ac:dyDescent="0.25">
      <c r="M12483" s="274"/>
    </row>
    <row r="12484" spans="13:13" ht="15" customHeight="1" x14ac:dyDescent="0.25">
      <c r="M12484" s="274"/>
    </row>
    <row r="12485" spans="13:13" ht="15" customHeight="1" x14ac:dyDescent="0.25">
      <c r="M12485" s="274"/>
    </row>
    <row r="12486" spans="13:13" ht="15" customHeight="1" x14ac:dyDescent="0.25">
      <c r="M12486" s="274"/>
    </row>
    <row r="12487" spans="13:13" ht="15" customHeight="1" x14ac:dyDescent="0.25">
      <c r="M12487" s="274"/>
    </row>
    <row r="12488" spans="13:13" ht="15" customHeight="1" x14ac:dyDescent="0.25">
      <c r="M12488" s="274"/>
    </row>
    <row r="12489" spans="13:13" ht="15" customHeight="1" x14ac:dyDescent="0.25">
      <c r="M12489" s="274"/>
    </row>
    <row r="12490" spans="13:13" ht="15" customHeight="1" x14ac:dyDescent="0.25">
      <c r="M12490" s="274"/>
    </row>
    <row r="12491" spans="13:13" ht="15" customHeight="1" x14ac:dyDescent="0.25">
      <c r="M12491" s="274"/>
    </row>
    <row r="12492" spans="13:13" ht="15" customHeight="1" x14ac:dyDescent="0.25">
      <c r="M12492" s="274"/>
    </row>
    <row r="12493" spans="13:13" ht="15" customHeight="1" x14ac:dyDescent="0.25">
      <c r="M12493" s="274"/>
    </row>
    <row r="12494" spans="13:13" ht="15" customHeight="1" x14ac:dyDescent="0.25">
      <c r="M12494" s="274"/>
    </row>
    <row r="12495" spans="13:13" ht="15" customHeight="1" x14ac:dyDescent="0.25">
      <c r="M12495" s="274"/>
    </row>
    <row r="12496" spans="13:13" ht="15" customHeight="1" x14ac:dyDescent="0.25">
      <c r="M12496" s="274"/>
    </row>
    <row r="12497" spans="13:13" ht="15" customHeight="1" x14ac:dyDescent="0.25">
      <c r="M12497" s="274"/>
    </row>
    <row r="12498" spans="13:13" ht="15" customHeight="1" x14ac:dyDescent="0.25">
      <c r="M12498" s="274"/>
    </row>
    <row r="12499" spans="13:13" ht="15" customHeight="1" x14ac:dyDescent="0.25">
      <c r="M12499" s="274"/>
    </row>
    <row r="12500" spans="13:13" ht="15" customHeight="1" x14ac:dyDescent="0.25">
      <c r="M12500" s="274"/>
    </row>
    <row r="12501" spans="13:13" ht="15" customHeight="1" x14ac:dyDescent="0.25">
      <c r="M12501" s="274"/>
    </row>
    <row r="12502" spans="13:13" ht="15" customHeight="1" x14ac:dyDescent="0.25">
      <c r="M12502" s="274"/>
    </row>
    <row r="12503" spans="13:13" ht="15" customHeight="1" x14ac:dyDescent="0.25">
      <c r="M12503" s="274"/>
    </row>
    <row r="12504" spans="13:13" ht="15" customHeight="1" x14ac:dyDescent="0.25">
      <c r="M12504" s="274"/>
    </row>
    <row r="12505" spans="13:13" ht="15" customHeight="1" x14ac:dyDescent="0.25">
      <c r="M12505" s="274"/>
    </row>
    <row r="12506" spans="13:13" ht="15" customHeight="1" x14ac:dyDescent="0.25">
      <c r="M12506" s="274"/>
    </row>
    <row r="12507" spans="13:13" ht="15" customHeight="1" x14ac:dyDescent="0.25">
      <c r="M12507" s="274"/>
    </row>
    <row r="12508" spans="13:13" ht="15" customHeight="1" x14ac:dyDescent="0.25">
      <c r="M12508" s="274"/>
    </row>
    <row r="12509" spans="13:13" ht="15" customHeight="1" x14ac:dyDescent="0.25">
      <c r="M12509" s="274"/>
    </row>
    <row r="12510" spans="13:13" ht="15" customHeight="1" x14ac:dyDescent="0.25">
      <c r="M12510" s="274"/>
    </row>
    <row r="12511" spans="13:13" ht="15" customHeight="1" x14ac:dyDescent="0.25">
      <c r="M12511" s="274"/>
    </row>
    <row r="12512" spans="13:13" ht="15" customHeight="1" x14ac:dyDescent="0.25">
      <c r="M12512" s="274"/>
    </row>
    <row r="12513" spans="13:13" ht="15" customHeight="1" x14ac:dyDescent="0.25">
      <c r="M12513" s="274"/>
    </row>
    <row r="12514" spans="13:13" ht="15" customHeight="1" x14ac:dyDescent="0.25">
      <c r="M12514" s="274"/>
    </row>
    <row r="12515" spans="13:13" ht="15" customHeight="1" x14ac:dyDescent="0.25">
      <c r="M12515" s="274"/>
    </row>
    <row r="12516" spans="13:13" ht="15" customHeight="1" x14ac:dyDescent="0.25">
      <c r="M12516" s="274"/>
    </row>
    <row r="12517" spans="13:13" ht="15" customHeight="1" x14ac:dyDescent="0.25">
      <c r="M12517" s="274"/>
    </row>
    <row r="12518" spans="13:13" ht="15" customHeight="1" x14ac:dyDescent="0.25">
      <c r="M12518" s="274"/>
    </row>
    <row r="12519" spans="13:13" ht="15" customHeight="1" x14ac:dyDescent="0.25">
      <c r="M12519" s="274"/>
    </row>
    <row r="12520" spans="13:13" ht="15" customHeight="1" x14ac:dyDescent="0.25">
      <c r="M12520" s="274"/>
    </row>
    <row r="12521" spans="13:13" ht="15" customHeight="1" x14ac:dyDescent="0.25">
      <c r="M12521" s="274"/>
    </row>
    <row r="12522" spans="13:13" ht="15" customHeight="1" x14ac:dyDescent="0.25">
      <c r="M12522" s="274"/>
    </row>
    <row r="12523" spans="13:13" ht="15" customHeight="1" x14ac:dyDescent="0.25">
      <c r="M12523" s="274"/>
    </row>
    <row r="12524" spans="13:13" ht="15" customHeight="1" x14ac:dyDescent="0.25">
      <c r="M12524" s="274"/>
    </row>
    <row r="12525" spans="13:13" ht="15" customHeight="1" x14ac:dyDescent="0.25">
      <c r="M12525" s="274"/>
    </row>
    <row r="12526" spans="13:13" ht="15" customHeight="1" x14ac:dyDescent="0.25">
      <c r="M12526" s="274"/>
    </row>
    <row r="12527" spans="13:13" ht="15" customHeight="1" x14ac:dyDescent="0.25">
      <c r="M12527" s="274"/>
    </row>
    <row r="12528" spans="13:13" ht="15" customHeight="1" x14ac:dyDescent="0.25">
      <c r="M12528" s="274"/>
    </row>
    <row r="12529" spans="13:13" ht="15" customHeight="1" x14ac:dyDescent="0.25">
      <c r="M12529" s="274"/>
    </row>
    <row r="12530" spans="13:13" ht="15" customHeight="1" x14ac:dyDescent="0.25">
      <c r="M12530" s="274"/>
    </row>
    <row r="12531" spans="13:13" ht="15" customHeight="1" x14ac:dyDescent="0.25">
      <c r="M12531" s="274"/>
    </row>
    <row r="12532" spans="13:13" ht="15" customHeight="1" x14ac:dyDescent="0.25">
      <c r="M12532" s="274"/>
    </row>
    <row r="12533" spans="13:13" ht="15" customHeight="1" x14ac:dyDescent="0.25">
      <c r="M12533" s="274"/>
    </row>
    <row r="12534" spans="13:13" ht="15" customHeight="1" x14ac:dyDescent="0.25">
      <c r="M12534" s="274"/>
    </row>
    <row r="12535" spans="13:13" ht="15" customHeight="1" x14ac:dyDescent="0.25">
      <c r="M12535" s="274"/>
    </row>
    <row r="12536" spans="13:13" ht="15" customHeight="1" x14ac:dyDescent="0.25">
      <c r="M12536" s="274"/>
    </row>
    <row r="12537" spans="13:13" ht="15" customHeight="1" x14ac:dyDescent="0.25">
      <c r="M12537" s="274"/>
    </row>
    <row r="12538" spans="13:13" ht="15" customHeight="1" x14ac:dyDescent="0.25">
      <c r="M12538" s="274"/>
    </row>
    <row r="12539" spans="13:13" ht="15" customHeight="1" x14ac:dyDescent="0.25">
      <c r="M12539" s="274"/>
    </row>
    <row r="12540" spans="13:13" ht="15" customHeight="1" x14ac:dyDescent="0.25">
      <c r="M12540" s="274"/>
    </row>
    <row r="12541" spans="13:13" ht="15" customHeight="1" x14ac:dyDescent="0.25">
      <c r="M12541" s="274"/>
    </row>
    <row r="12542" spans="13:13" ht="15" customHeight="1" x14ac:dyDescent="0.25">
      <c r="M12542" s="274"/>
    </row>
    <row r="12543" spans="13:13" ht="15" customHeight="1" x14ac:dyDescent="0.25">
      <c r="M12543" s="274"/>
    </row>
    <row r="12544" spans="13:13" ht="15" customHeight="1" x14ac:dyDescent="0.25">
      <c r="M12544" s="274"/>
    </row>
    <row r="12545" spans="13:13" ht="15" customHeight="1" x14ac:dyDescent="0.25">
      <c r="M12545" s="274"/>
    </row>
    <row r="12546" spans="13:13" ht="15" customHeight="1" x14ac:dyDescent="0.25">
      <c r="M12546" s="274"/>
    </row>
    <row r="12547" spans="13:13" ht="15" customHeight="1" x14ac:dyDescent="0.25">
      <c r="M12547" s="274"/>
    </row>
    <row r="12548" spans="13:13" ht="15" customHeight="1" x14ac:dyDescent="0.25">
      <c r="M12548" s="274"/>
    </row>
    <row r="12549" spans="13:13" ht="15" customHeight="1" x14ac:dyDescent="0.25">
      <c r="M12549" s="274"/>
    </row>
    <row r="12550" spans="13:13" ht="15" customHeight="1" x14ac:dyDescent="0.25">
      <c r="M12550" s="274"/>
    </row>
    <row r="12551" spans="13:13" ht="15" customHeight="1" x14ac:dyDescent="0.25">
      <c r="M12551" s="274"/>
    </row>
    <row r="12552" spans="13:13" ht="15" customHeight="1" x14ac:dyDescent="0.25">
      <c r="M12552" s="274"/>
    </row>
    <row r="12553" spans="13:13" ht="15" customHeight="1" x14ac:dyDescent="0.25">
      <c r="M12553" s="274"/>
    </row>
    <row r="12554" spans="13:13" ht="15" customHeight="1" x14ac:dyDescent="0.25">
      <c r="M12554" s="274"/>
    </row>
    <row r="12555" spans="13:13" ht="15" customHeight="1" x14ac:dyDescent="0.25">
      <c r="M12555" s="274"/>
    </row>
    <row r="12556" spans="13:13" ht="15" customHeight="1" x14ac:dyDescent="0.25">
      <c r="M12556" s="274"/>
    </row>
    <row r="12557" spans="13:13" ht="15" customHeight="1" x14ac:dyDescent="0.25">
      <c r="M12557" s="274"/>
    </row>
    <row r="12558" spans="13:13" ht="15" customHeight="1" x14ac:dyDescent="0.25">
      <c r="M12558" s="274"/>
    </row>
    <row r="12559" spans="13:13" ht="15" customHeight="1" x14ac:dyDescent="0.25">
      <c r="M12559" s="274"/>
    </row>
    <row r="12560" spans="13:13" ht="15" customHeight="1" x14ac:dyDescent="0.25">
      <c r="M12560" s="274"/>
    </row>
    <row r="12561" spans="13:13" ht="15" customHeight="1" x14ac:dyDescent="0.25">
      <c r="M12561" s="274"/>
    </row>
    <row r="12562" spans="13:13" ht="15" customHeight="1" x14ac:dyDescent="0.25">
      <c r="M12562" s="274"/>
    </row>
    <row r="12563" spans="13:13" ht="15" customHeight="1" x14ac:dyDescent="0.25">
      <c r="M12563" s="274"/>
    </row>
    <row r="12564" spans="13:13" ht="15" customHeight="1" x14ac:dyDescent="0.25">
      <c r="M12564" s="274"/>
    </row>
    <row r="12565" spans="13:13" ht="15" customHeight="1" x14ac:dyDescent="0.25">
      <c r="M12565" s="274"/>
    </row>
    <row r="12566" spans="13:13" ht="15" customHeight="1" x14ac:dyDescent="0.25">
      <c r="M12566" s="274"/>
    </row>
    <row r="12567" spans="13:13" ht="15" customHeight="1" x14ac:dyDescent="0.25">
      <c r="M12567" s="274"/>
    </row>
    <row r="12568" spans="13:13" ht="15" customHeight="1" x14ac:dyDescent="0.25">
      <c r="M12568" s="274"/>
    </row>
    <row r="12569" spans="13:13" ht="15" customHeight="1" x14ac:dyDescent="0.25">
      <c r="M12569" s="274"/>
    </row>
    <row r="12570" spans="13:13" ht="15" customHeight="1" x14ac:dyDescent="0.25">
      <c r="M12570" s="274"/>
    </row>
    <row r="12571" spans="13:13" ht="15" customHeight="1" x14ac:dyDescent="0.25">
      <c r="M12571" s="274"/>
    </row>
    <row r="12572" spans="13:13" ht="15" customHeight="1" x14ac:dyDescent="0.25">
      <c r="M12572" s="274"/>
    </row>
    <row r="12573" spans="13:13" ht="15" customHeight="1" x14ac:dyDescent="0.25">
      <c r="M12573" s="274"/>
    </row>
    <row r="12574" spans="13:13" ht="15" customHeight="1" x14ac:dyDescent="0.25">
      <c r="M12574" s="274"/>
    </row>
    <row r="12575" spans="13:13" ht="15" customHeight="1" x14ac:dyDescent="0.25">
      <c r="M12575" s="274"/>
    </row>
    <row r="12576" spans="13:13" ht="15" customHeight="1" x14ac:dyDescent="0.25">
      <c r="M12576" s="274"/>
    </row>
    <row r="12577" spans="13:13" ht="15" customHeight="1" x14ac:dyDescent="0.25">
      <c r="M12577" s="274"/>
    </row>
    <row r="12578" spans="13:13" ht="15" customHeight="1" x14ac:dyDescent="0.25">
      <c r="M12578" s="274"/>
    </row>
    <row r="12579" spans="13:13" ht="15" customHeight="1" x14ac:dyDescent="0.25">
      <c r="M12579" s="274"/>
    </row>
    <row r="12580" spans="13:13" ht="15" customHeight="1" x14ac:dyDescent="0.25">
      <c r="M12580" s="274"/>
    </row>
    <row r="12581" spans="13:13" ht="15" customHeight="1" x14ac:dyDescent="0.25">
      <c r="M12581" s="274"/>
    </row>
    <row r="12582" spans="13:13" ht="15" customHeight="1" x14ac:dyDescent="0.25">
      <c r="M12582" s="274"/>
    </row>
    <row r="12583" spans="13:13" ht="15" customHeight="1" x14ac:dyDescent="0.25">
      <c r="M12583" s="274"/>
    </row>
    <row r="12584" spans="13:13" ht="15" customHeight="1" x14ac:dyDescent="0.25">
      <c r="M12584" s="274"/>
    </row>
    <row r="12585" spans="13:13" ht="15" customHeight="1" x14ac:dyDescent="0.25">
      <c r="M12585" s="274"/>
    </row>
    <row r="12586" spans="13:13" ht="15" customHeight="1" x14ac:dyDescent="0.25">
      <c r="M12586" s="274"/>
    </row>
    <row r="12587" spans="13:13" ht="15" customHeight="1" x14ac:dyDescent="0.25">
      <c r="M12587" s="274"/>
    </row>
    <row r="12588" spans="13:13" ht="15" customHeight="1" x14ac:dyDescent="0.25">
      <c r="M12588" s="274"/>
    </row>
    <row r="12589" spans="13:13" ht="15" customHeight="1" x14ac:dyDescent="0.25">
      <c r="M12589" s="274"/>
    </row>
    <row r="12590" spans="13:13" ht="15" customHeight="1" x14ac:dyDescent="0.25">
      <c r="M12590" s="274"/>
    </row>
    <row r="12591" spans="13:13" ht="15" customHeight="1" x14ac:dyDescent="0.25">
      <c r="M12591" s="274"/>
    </row>
    <row r="12592" spans="13:13" ht="15" customHeight="1" x14ac:dyDescent="0.25">
      <c r="M12592" s="274"/>
    </row>
    <row r="12593" spans="13:13" ht="15" customHeight="1" x14ac:dyDescent="0.25">
      <c r="M12593" s="274"/>
    </row>
    <row r="12594" spans="13:13" ht="15" customHeight="1" x14ac:dyDescent="0.25">
      <c r="M12594" s="274"/>
    </row>
    <row r="12595" spans="13:13" ht="15" customHeight="1" x14ac:dyDescent="0.25">
      <c r="M12595" s="274"/>
    </row>
    <row r="12596" spans="13:13" ht="15" customHeight="1" x14ac:dyDescent="0.25">
      <c r="M12596" s="274"/>
    </row>
    <row r="12597" spans="13:13" ht="15" customHeight="1" x14ac:dyDescent="0.25">
      <c r="M12597" s="274"/>
    </row>
    <row r="12598" spans="13:13" ht="15" customHeight="1" x14ac:dyDescent="0.25">
      <c r="M12598" s="274"/>
    </row>
    <row r="12599" spans="13:13" ht="15" customHeight="1" x14ac:dyDescent="0.25">
      <c r="M12599" s="274"/>
    </row>
    <row r="12600" spans="13:13" ht="15" customHeight="1" x14ac:dyDescent="0.25">
      <c r="M12600" s="274"/>
    </row>
    <row r="12601" spans="13:13" ht="15" customHeight="1" x14ac:dyDescent="0.25">
      <c r="M12601" s="274"/>
    </row>
    <row r="12602" spans="13:13" ht="15" customHeight="1" x14ac:dyDescent="0.25">
      <c r="M12602" s="274"/>
    </row>
    <row r="12603" spans="13:13" ht="15" customHeight="1" x14ac:dyDescent="0.25">
      <c r="M12603" s="274"/>
    </row>
    <row r="12604" spans="13:13" ht="15" customHeight="1" x14ac:dyDescent="0.25">
      <c r="M12604" s="274"/>
    </row>
    <row r="12605" spans="13:13" ht="15" customHeight="1" x14ac:dyDescent="0.25">
      <c r="M12605" s="274"/>
    </row>
    <row r="12606" spans="13:13" ht="15" customHeight="1" x14ac:dyDescent="0.25">
      <c r="M12606" s="274"/>
    </row>
    <row r="12607" spans="13:13" ht="15" customHeight="1" x14ac:dyDescent="0.25">
      <c r="M12607" s="274"/>
    </row>
    <row r="12608" spans="13:13" ht="15" customHeight="1" x14ac:dyDescent="0.25">
      <c r="M12608" s="274"/>
    </row>
    <row r="12609" spans="13:13" ht="15" customHeight="1" x14ac:dyDescent="0.25">
      <c r="M12609" s="274"/>
    </row>
    <row r="12610" spans="13:13" ht="15" customHeight="1" x14ac:dyDescent="0.25">
      <c r="M12610" s="274"/>
    </row>
    <row r="12611" spans="13:13" ht="15" customHeight="1" x14ac:dyDescent="0.25">
      <c r="M12611" s="274"/>
    </row>
    <row r="12612" spans="13:13" ht="15" customHeight="1" x14ac:dyDescent="0.25">
      <c r="M12612" s="274"/>
    </row>
    <row r="12613" spans="13:13" ht="15" customHeight="1" x14ac:dyDescent="0.25">
      <c r="M12613" s="274"/>
    </row>
    <row r="12614" spans="13:13" ht="15" customHeight="1" x14ac:dyDescent="0.25">
      <c r="M12614" s="274"/>
    </row>
    <row r="12615" spans="13:13" ht="15" customHeight="1" x14ac:dyDescent="0.25">
      <c r="M12615" s="274"/>
    </row>
    <row r="12616" spans="13:13" ht="15" customHeight="1" x14ac:dyDescent="0.25">
      <c r="M12616" s="274"/>
    </row>
    <row r="12617" spans="13:13" ht="15" customHeight="1" x14ac:dyDescent="0.25">
      <c r="M12617" s="274"/>
    </row>
    <row r="12618" spans="13:13" ht="15" customHeight="1" x14ac:dyDescent="0.25">
      <c r="M12618" s="274"/>
    </row>
    <row r="12619" spans="13:13" ht="15" customHeight="1" x14ac:dyDescent="0.25">
      <c r="M12619" s="274"/>
    </row>
    <row r="12620" spans="13:13" ht="15" customHeight="1" x14ac:dyDescent="0.25">
      <c r="M12620" s="274"/>
    </row>
    <row r="12621" spans="13:13" ht="15" customHeight="1" x14ac:dyDescent="0.25">
      <c r="M12621" s="274"/>
    </row>
    <row r="12622" spans="13:13" ht="15" customHeight="1" x14ac:dyDescent="0.25">
      <c r="M12622" s="274"/>
    </row>
    <row r="12623" spans="13:13" ht="15" customHeight="1" x14ac:dyDescent="0.25">
      <c r="M12623" s="274"/>
    </row>
    <row r="12624" spans="13:13" ht="15" customHeight="1" x14ac:dyDescent="0.25">
      <c r="M12624" s="274"/>
    </row>
    <row r="12625" spans="13:13" ht="15" customHeight="1" x14ac:dyDescent="0.25">
      <c r="M12625" s="274"/>
    </row>
    <row r="12626" spans="13:13" ht="15" customHeight="1" x14ac:dyDescent="0.25">
      <c r="M12626" s="274"/>
    </row>
    <row r="12627" spans="13:13" ht="15" customHeight="1" x14ac:dyDescent="0.25">
      <c r="M12627" s="274"/>
    </row>
    <row r="12628" spans="13:13" ht="15" customHeight="1" x14ac:dyDescent="0.25">
      <c r="M12628" s="274"/>
    </row>
    <row r="12629" spans="13:13" ht="15" customHeight="1" x14ac:dyDescent="0.25">
      <c r="M12629" s="274"/>
    </row>
    <row r="12630" spans="13:13" ht="15" customHeight="1" x14ac:dyDescent="0.25">
      <c r="M12630" s="274"/>
    </row>
    <row r="12631" spans="13:13" ht="15" customHeight="1" x14ac:dyDescent="0.25">
      <c r="M12631" s="274"/>
    </row>
    <row r="12632" spans="13:13" ht="15" customHeight="1" x14ac:dyDescent="0.25">
      <c r="M12632" s="274"/>
    </row>
    <row r="12633" spans="13:13" ht="15" customHeight="1" x14ac:dyDescent="0.25">
      <c r="M12633" s="274"/>
    </row>
    <row r="12634" spans="13:13" ht="15" customHeight="1" x14ac:dyDescent="0.25">
      <c r="M12634" s="274"/>
    </row>
    <row r="12635" spans="13:13" ht="15" customHeight="1" x14ac:dyDescent="0.25">
      <c r="M12635" s="274"/>
    </row>
    <row r="12636" spans="13:13" ht="15" customHeight="1" x14ac:dyDescent="0.25">
      <c r="M12636" s="274"/>
    </row>
    <row r="12637" spans="13:13" ht="15" customHeight="1" x14ac:dyDescent="0.25">
      <c r="M12637" s="274"/>
    </row>
    <row r="12638" spans="13:13" ht="15" customHeight="1" x14ac:dyDescent="0.25">
      <c r="M12638" s="274"/>
    </row>
    <row r="12639" spans="13:13" ht="15" customHeight="1" x14ac:dyDescent="0.25">
      <c r="M12639" s="274"/>
    </row>
    <row r="12640" spans="13:13" ht="15" customHeight="1" x14ac:dyDescent="0.25">
      <c r="M12640" s="274"/>
    </row>
    <row r="12641" spans="13:13" ht="15" customHeight="1" x14ac:dyDescent="0.25">
      <c r="M12641" s="274"/>
    </row>
    <row r="12642" spans="13:13" ht="15" customHeight="1" x14ac:dyDescent="0.25">
      <c r="M12642" s="274"/>
    </row>
    <row r="12643" spans="13:13" ht="15" customHeight="1" x14ac:dyDescent="0.25">
      <c r="M12643" s="274"/>
    </row>
    <row r="12644" spans="13:13" ht="15" customHeight="1" x14ac:dyDescent="0.25">
      <c r="M12644" s="274"/>
    </row>
    <row r="12645" spans="13:13" ht="15" customHeight="1" x14ac:dyDescent="0.25">
      <c r="M12645" s="274"/>
    </row>
    <row r="12646" spans="13:13" ht="15" customHeight="1" x14ac:dyDescent="0.25">
      <c r="M12646" s="274"/>
    </row>
    <row r="12647" spans="13:13" ht="15" customHeight="1" x14ac:dyDescent="0.25">
      <c r="M12647" s="274"/>
    </row>
    <row r="12648" spans="13:13" ht="15" customHeight="1" x14ac:dyDescent="0.25">
      <c r="M12648" s="274"/>
    </row>
    <row r="12649" spans="13:13" ht="15" customHeight="1" x14ac:dyDescent="0.25">
      <c r="M12649" s="274"/>
    </row>
    <row r="12650" spans="13:13" ht="15" customHeight="1" x14ac:dyDescent="0.25">
      <c r="M12650" s="274"/>
    </row>
    <row r="12651" spans="13:13" ht="15" customHeight="1" x14ac:dyDescent="0.25">
      <c r="M12651" s="274"/>
    </row>
    <row r="12652" spans="13:13" ht="15" customHeight="1" x14ac:dyDescent="0.25">
      <c r="M12652" s="274"/>
    </row>
    <row r="12653" spans="13:13" ht="15" customHeight="1" x14ac:dyDescent="0.25">
      <c r="M12653" s="274"/>
    </row>
    <row r="12654" spans="13:13" ht="15" customHeight="1" x14ac:dyDescent="0.25">
      <c r="M12654" s="274"/>
    </row>
    <row r="12655" spans="13:13" ht="15" customHeight="1" x14ac:dyDescent="0.25">
      <c r="M12655" s="274"/>
    </row>
    <row r="12656" spans="13:13" ht="15" customHeight="1" x14ac:dyDescent="0.25">
      <c r="M12656" s="274"/>
    </row>
    <row r="12657" spans="13:13" ht="15" customHeight="1" x14ac:dyDescent="0.25">
      <c r="M12657" s="274"/>
    </row>
    <row r="12658" spans="13:13" ht="15" customHeight="1" x14ac:dyDescent="0.25">
      <c r="M12658" s="274"/>
    </row>
    <row r="12659" spans="13:13" ht="15" customHeight="1" x14ac:dyDescent="0.25">
      <c r="M12659" s="274"/>
    </row>
    <row r="12660" spans="13:13" ht="15" customHeight="1" x14ac:dyDescent="0.25">
      <c r="M12660" s="274"/>
    </row>
    <row r="12661" spans="13:13" ht="15" customHeight="1" x14ac:dyDescent="0.25">
      <c r="M12661" s="274"/>
    </row>
    <row r="12662" spans="13:13" ht="15" customHeight="1" x14ac:dyDescent="0.25">
      <c r="M12662" s="274"/>
    </row>
    <row r="12663" spans="13:13" ht="15" customHeight="1" x14ac:dyDescent="0.25">
      <c r="M12663" s="274"/>
    </row>
    <row r="12664" spans="13:13" ht="15" customHeight="1" x14ac:dyDescent="0.25">
      <c r="M12664" s="274"/>
    </row>
    <row r="12665" spans="13:13" ht="15" customHeight="1" x14ac:dyDescent="0.25">
      <c r="M12665" s="274"/>
    </row>
    <row r="12666" spans="13:13" ht="15" customHeight="1" x14ac:dyDescent="0.25">
      <c r="M12666" s="274"/>
    </row>
    <row r="12667" spans="13:13" ht="15" customHeight="1" x14ac:dyDescent="0.25">
      <c r="M12667" s="274"/>
    </row>
    <row r="12668" spans="13:13" ht="15" customHeight="1" x14ac:dyDescent="0.25">
      <c r="M12668" s="274"/>
    </row>
    <row r="12669" spans="13:13" ht="15" customHeight="1" x14ac:dyDescent="0.25">
      <c r="M12669" s="274"/>
    </row>
    <row r="12670" spans="13:13" ht="15" customHeight="1" x14ac:dyDescent="0.25">
      <c r="M12670" s="274"/>
    </row>
    <row r="12671" spans="13:13" ht="15" customHeight="1" x14ac:dyDescent="0.25">
      <c r="M12671" s="274"/>
    </row>
    <row r="12672" spans="13:13" ht="15" customHeight="1" x14ac:dyDescent="0.25">
      <c r="M12672" s="274"/>
    </row>
    <row r="12673" spans="13:13" ht="15" customHeight="1" x14ac:dyDescent="0.25">
      <c r="M12673" s="274"/>
    </row>
    <row r="12674" spans="13:13" ht="15" customHeight="1" x14ac:dyDescent="0.25">
      <c r="M12674" s="274"/>
    </row>
    <row r="12675" spans="13:13" ht="15" customHeight="1" x14ac:dyDescent="0.25">
      <c r="M12675" s="274"/>
    </row>
    <row r="12676" spans="13:13" ht="15" customHeight="1" x14ac:dyDescent="0.25">
      <c r="M12676" s="274"/>
    </row>
    <row r="12677" spans="13:13" ht="15" customHeight="1" x14ac:dyDescent="0.25">
      <c r="M12677" s="274"/>
    </row>
    <row r="12678" spans="13:13" ht="15" customHeight="1" x14ac:dyDescent="0.25">
      <c r="M12678" s="274"/>
    </row>
    <row r="12679" spans="13:13" ht="15" customHeight="1" x14ac:dyDescent="0.25">
      <c r="M12679" s="274"/>
    </row>
    <row r="12680" spans="13:13" ht="15" customHeight="1" x14ac:dyDescent="0.25">
      <c r="M12680" s="274"/>
    </row>
    <row r="12681" spans="13:13" ht="15" customHeight="1" x14ac:dyDescent="0.25">
      <c r="M12681" s="274"/>
    </row>
    <row r="12682" spans="13:13" ht="15" customHeight="1" x14ac:dyDescent="0.25">
      <c r="M12682" s="274"/>
    </row>
    <row r="12683" spans="13:13" ht="15" customHeight="1" x14ac:dyDescent="0.25">
      <c r="M12683" s="274"/>
    </row>
    <row r="12684" spans="13:13" ht="15" customHeight="1" x14ac:dyDescent="0.25">
      <c r="M12684" s="274"/>
    </row>
    <row r="12685" spans="13:13" ht="15" customHeight="1" x14ac:dyDescent="0.25">
      <c r="M12685" s="274"/>
    </row>
    <row r="12686" spans="13:13" ht="15" customHeight="1" x14ac:dyDescent="0.25">
      <c r="M12686" s="274"/>
    </row>
    <row r="12687" spans="13:13" ht="15" customHeight="1" x14ac:dyDescent="0.25">
      <c r="M12687" s="274"/>
    </row>
    <row r="12688" spans="13:13" ht="15" customHeight="1" x14ac:dyDescent="0.25">
      <c r="M12688" s="274"/>
    </row>
    <row r="12689" spans="13:13" ht="15" customHeight="1" x14ac:dyDescent="0.25">
      <c r="M12689" s="274"/>
    </row>
    <row r="12690" spans="13:13" ht="15" customHeight="1" x14ac:dyDescent="0.25">
      <c r="M12690" s="274"/>
    </row>
    <row r="12691" spans="13:13" ht="15" customHeight="1" x14ac:dyDescent="0.25">
      <c r="M12691" s="274"/>
    </row>
    <row r="12692" spans="13:13" ht="15" customHeight="1" x14ac:dyDescent="0.25">
      <c r="M12692" s="274"/>
    </row>
    <row r="12693" spans="13:13" ht="15" customHeight="1" x14ac:dyDescent="0.25">
      <c r="M12693" s="274"/>
    </row>
    <row r="12694" spans="13:13" ht="15" customHeight="1" x14ac:dyDescent="0.25">
      <c r="M12694" s="274"/>
    </row>
    <row r="12695" spans="13:13" ht="15" customHeight="1" x14ac:dyDescent="0.25">
      <c r="M12695" s="274"/>
    </row>
    <row r="12696" spans="13:13" ht="15" customHeight="1" x14ac:dyDescent="0.25">
      <c r="M12696" s="274"/>
    </row>
    <row r="12697" spans="13:13" ht="15" customHeight="1" x14ac:dyDescent="0.25">
      <c r="M12697" s="274"/>
    </row>
    <row r="12698" spans="13:13" ht="15" customHeight="1" x14ac:dyDescent="0.25">
      <c r="M12698" s="274"/>
    </row>
    <row r="12699" spans="13:13" ht="15" customHeight="1" x14ac:dyDescent="0.25">
      <c r="M12699" s="274"/>
    </row>
    <row r="12700" spans="13:13" ht="15" customHeight="1" x14ac:dyDescent="0.25">
      <c r="M12700" s="274"/>
    </row>
    <row r="12701" spans="13:13" ht="15" customHeight="1" x14ac:dyDescent="0.25">
      <c r="M12701" s="274"/>
    </row>
    <row r="12702" spans="13:13" ht="15" customHeight="1" x14ac:dyDescent="0.25">
      <c r="M12702" s="274"/>
    </row>
    <row r="12703" spans="13:13" ht="15" customHeight="1" x14ac:dyDescent="0.25">
      <c r="M12703" s="274"/>
    </row>
    <row r="12704" spans="13:13" ht="15" customHeight="1" x14ac:dyDescent="0.25">
      <c r="M12704" s="274"/>
    </row>
    <row r="12705" spans="13:13" ht="15" customHeight="1" x14ac:dyDescent="0.25">
      <c r="M12705" s="274"/>
    </row>
    <row r="12706" spans="13:13" ht="15" customHeight="1" x14ac:dyDescent="0.25">
      <c r="M12706" s="274"/>
    </row>
    <row r="12707" spans="13:13" ht="15" customHeight="1" x14ac:dyDescent="0.25">
      <c r="M12707" s="274"/>
    </row>
    <row r="12708" spans="13:13" ht="15" customHeight="1" x14ac:dyDescent="0.25">
      <c r="M12708" s="274"/>
    </row>
    <row r="12709" spans="13:13" ht="15" customHeight="1" x14ac:dyDescent="0.25">
      <c r="M12709" s="274"/>
    </row>
    <row r="12710" spans="13:13" ht="15" customHeight="1" x14ac:dyDescent="0.25">
      <c r="M12710" s="274"/>
    </row>
    <row r="12711" spans="13:13" ht="15" customHeight="1" x14ac:dyDescent="0.25">
      <c r="M12711" s="274"/>
    </row>
    <row r="12712" spans="13:13" ht="15" customHeight="1" x14ac:dyDescent="0.25">
      <c r="M12712" s="274"/>
    </row>
    <row r="12713" spans="13:13" ht="15" customHeight="1" x14ac:dyDescent="0.25">
      <c r="M12713" s="274"/>
    </row>
    <row r="12714" spans="13:13" ht="15" customHeight="1" x14ac:dyDescent="0.25">
      <c r="M12714" s="274"/>
    </row>
    <row r="12715" spans="13:13" ht="15" customHeight="1" x14ac:dyDescent="0.25">
      <c r="M12715" s="274"/>
    </row>
    <row r="12716" spans="13:13" ht="15" customHeight="1" x14ac:dyDescent="0.25">
      <c r="M12716" s="274"/>
    </row>
    <row r="12717" spans="13:13" ht="15" customHeight="1" x14ac:dyDescent="0.25">
      <c r="M12717" s="274"/>
    </row>
    <row r="12718" spans="13:13" ht="15" customHeight="1" x14ac:dyDescent="0.25">
      <c r="M12718" s="274"/>
    </row>
    <row r="12719" spans="13:13" ht="15" customHeight="1" x14ac:dyDescent="0.25">
      <c r="M12719" s="274"/>
    </row>
    <row r="12720" spans="13:13" ht="15" customHeight="1" x14ac:dyDescent="0.25">
      <c r="M12720" s="274"/>
    </row>
    <row r="12721" spans="13:13" ht="15" customHeight="1" x14ac:dyDescent="0.25">
      <c r="M12721" s="274"/>
    </row>
    <row r="12722" spans="13:13" ht="15" customHeight="1" x14ac:dyDescent="0.25">
      <c r="M12722" s="274"/>
    </row>
    <row r="12723" spans="13:13" ht="15" customHeight="1" x14ac:dyDescent="0.25">
      <c r="M12723" s="274"/>
    </row>
    <row r="12724" spans="13:13" ht="15" customHeight="1" x14ac:dyDescent="0.25">
      <c r="M12724" s="274"/>
    </row>
    <row r="12725" spans="13:13" ht="15" customHeight="1" x14ac:dyDescent="0.25">
      <c r="M12725" s="274"/>
    </row>
    <row r="12726" spans="13:13" ht="15" customHeight="1" x14ac:dyDescent="0.25">
      <c r="M12726" s="274"/>
    </row>
    <row r="12727" spans="13:13" ht="15" customHeight="1" x14ac:dyDescent="0.25">
      <c r="M12727" s="274"/>
    </row>
    <row r="12728" spans="13:13" ht="15" customHeight="1" x14ac:dyDescent="0.25">
      <c r="M12728" s="274"/>
    </row>
    <row r="12729" spans="13:13" ht="15" customHeight="1" x14ac:dyDescent="0.25">
      <c r="M12729" s="274"/>
    </row>
    <row r="12730" spans="13:13" ht="15" customHeight="1" x14ac:dyDescent="0.25">
      <c r="M12730" s="274"/>
    </row>
    <row r="12731" spans="13:13" ht="15" customHeight="1" x14ac:dyDescent="0.25">
      <c r="M12731" s="274"/>
    </row>
    <row r="12732" spans="13:13" ht="15" customHeight="1" x14ac:dyDescent="0.25">
      <c r="M12732" s="274"/>
    </row>
    <row r="12733" spans="13:13" ht="15" customHeight="1" x14ac:dyDescent="0.25">
      <c r="M12733" s="274"/>
    </row>
    <row r="12734" spans="13:13" ht="15" customHeight="1" x14ac:dyDescent="0.25">
      <c r="M12734" s="274"/>
    </row>
    <row r="12735" spans="13:13" ht="15" customHeight="1" x14ac:dyDescent="0.25">
      <c r="M12735" s="274"/>
    </row>
    <row r="12736" spans="13:13" ht="15" customHeight="1" x14ac:dyDescent="0.25">
      <c r="M12736" s="274"/>
    </row>
    <row r="12737" spans="13:13" ht="15" customHeight="1" x14ac:dyDescent="0.25">
      <c r="M12737" s="274"/>
    </row>
    <row r="12738" spans="13:13" ht="15" customHeight="1" x14ac:dyDescent="0.25">
      <c r="M12738" s="274"/>
    </row>
    <row r="12739" spans="13:13" ht="15" customHeight="1" x14ac:dyDescent="0.25">
      <c r="M12739" s="274"/>
    </row>
    <row r="12740" spans="13:13" ht="15" customHeight="1" x14ac:dyDescent="0.25">
      <c r="M12740" s="274"/>
    </row>
    <row r="12741" spans="13:13" ht="15" customHeight="1" x14ac:dyDescent="0.25">
      <c r="M12741" s="274"/>
    </row>
    <row r="12742" spans="13:13" ht="15" customHeight="1" x14ac:dyDescent="0.25">
      <c r="M12742" s="274"/>
    </row>
    <row r="12743" spans="13:13" ht="15" customHeight="1" x14ac:dyDescent="0.25">
      <c r="M12743" s="274"/>
    </row>
    <row r="12744" spans="13:13" ht="15" customHeight="1" x14ac:dyDescent="0.25">
      <c r="M12744" s="274"/>
    </row>
    <row r="12745" spans="13:13" ht="15" customHeight="1" x14ac:dyDescent="0.25">
      <c r="M12745" s="274"/>
    </row>
    <row r="12746" spans="13:13" ht="15" customHeight="1" x14ac:dyDescent="0.25">
      <c r="M12746" s="274"/>
    </row>
    <row r="12747" spans="13:13" ht="15" customHeight="1" x14ac:dyDescent="0.25">
      <c r="M12747" s="274"/>
    </row>
    <row r="12748" spans="13:13" ht="15" customHeight="1" x14ac:dyDescent="0.25">
      <c r="M12748" s="274"/>
    </row>
    <row r="12749" spans="13:13" ht="15" customHeight="1" x14ac:dyDescent="0.25">
      <c r="M12749" s="274"/>
    </row>
    <row r="12750" spans="13:13" ht="15" customHeight="1" x14ac:dyDescent="0.25">
      <c r="M12750" s="274"/>
    </row>
    <row r="12751" spans="13:13" ht="15" customHeight="1" x14ac:dyDescent="0.25">
      <c r="M12751" s="274"/>
    </row>
    <row r="12752" spans="13:13" ht="15" customHeight="1" x14ac:dyDescent="0.25">
      <c r="M12752" s="274"/>
    </row>
    <row r="12753" spans="13:13" ht="15" customHeight="1" x14ac:dyDescent="0.25">
      <c r="M12753" s="274"/>
    </row>
    <row r="12754" spans="13:13" ht="15" customHeight="1" x14ac:dyDescent="0.25">
      <c r="M12754" s="274"/>
    </row>
    <row r="12755" spans="13:13" ht="15" customHeight="1" x14ac:dyDescent="0.25">
      <c r="M12755" s="274"/>
    </row>
    <row r="12756" spans="13:13" ht="15" customHeight="1" x14ac:dyDescent="0.25">
      <c r="M12756" s="274"/>
    </row>
    <row r="12757" spans="13:13" ht="15" customHeight="1" x14ac:dyDescent="0.25">
      <c r="M12757" s="274"/>
    </row>
    <row r="12758" spans="13:13" ht="15" customHeight="1" x14ac:dyDescent="0.25">
      <c r="M12758" s="274"/>
    </row>
    <row r="12759" spans="13:13" ht="15" customHeight="1" x14ac:dyDescent="0.25">
      <c r="M12759" s="274"/>
    </row>
    <row r="12760" spans="13:13" ht="15" customHeight="1" x14ac:dyDescent="0.25">
      <c r="M12760" s="274"/>
    </row>
    <row r="12761" spans="13:13" ht="15" customHeight="1" x14ac:dyDescent="0.25">
      <c r="M12761" s="274"/>
    </row>
    <row r="12762" spans="13:13" ht="15" customHeight="1" x14ac:dyDescent="0.25">
      <c r="M12762" s="274"/>
    </row>
    <row r="12763" spans="13:13" ht="15" customHeight="1" x14ac:dyDescent="0.25">
      <c r="M12763" s="274"/>
    </row>
    <row r="12764" spans="13:13" ht="15" customHeight="1" x14ac:dyDescent="0.25">
      <c r="M12764" s="274"/>
    </row>
    <row r="12765" spans="13:13" ht="15" customHeight="1" x14ac:dyDescent="0.25">
      <c r="M12765" s="274"/>
    </row>
    <row r="12766" spans="13:13" ht="15" customHeight="1" x14ac:dyDescent="0.25">
      <c r="M12766" s="274"/>
    </row>
    <row r="12767" spans="13:13" ht="15" customHeight="1" x14ac:dyDescent="0.25">
      <c r="M12767" s="274"/>
    </row>
    <row r="12768" spans="13:13" ht="15" customHeight="1" x14ac:dyDescent="0.25">
      <c r="M12768" s="274"/>
    </row>
    <row r="12769" spans="13:13" ht="15" customHeight="1" x14ac:dyDescent="0.25">
      <c r="M12769" s="274"/>
    </row>
    <row r="12770" spans="13:13" ht="15" customHeight="1" x14ac:dyDescent="0.25">
      <c r="M12770" s="274"/>
    </row>
    <row r="12771" spans="13:13" ht="15" customHeight="1" x14ac:dyDescent="0.25">
      <c r="M12771" s="274"/>
    </row>
    <row r="12772" spans="13:13" ht="15" customHeight="1" x14ac:dyDescent="0.25">
      <c r="M12772" s="274"/>
    </row>
    <row r="12773" spans="13:13" ht="15" customHeight="1" x14ac:dyDescent="0.25">
      <c r="M12773" s="274"/>
    </row>
    <row r="12774" spans="13:13" ht="15" customHeight="1" x14ac:dyDescent="0.25">
      <c r="M12774" s="274"/>
    </row>
    <row r="12775" spans="13:13" ht="15" customHeight="1" x14ac:dyDescent="0.25">
      <c r="M12775" s="274"/>
    </row>
    <row r="12776" spans="13:13" ht="15" customHeight="1" x14ac:dyDescent="0.25">
      <c r="M12776" s="274"/>
    </row>
    <row r="12777" spans="13:13" ht="15" customHeight="1" x14ac:dyDescent="0.25">
      <c r="M12777" s="274"/>
    </row>
    <row r="12778" spans="13:13" ht="15" customHeight="1" x14ac:dyDescent="0.25">
      <c r="M12778" s="274"/>
    </row>
    <row r="12779" spans="13:13" ht="15" customHeight="1" x14ac:dyDescent="0.25">
      <c r="M12779" s="274"/>
    </row>
    <row r="12780" spans="13:13" ht="15" customHeight="1" x14ac:dyDescent="0.25">
      <c r="M12780" s="274"/>
    </row>
    <row r="12781" spans="13:13" ht="15" customHeight="1" x14ac:dyDescent="0.25">
      <c r="M12781" s="274"/>
    </row>
    <row r="12782" spans="13:13" ht="15" customHeight="1" x14ac:dyDescent="0.25">
      <c r="M12782" s="274"/>
    </row>
    <row r="12783" spans="13:13" ht="15" customHeight="1" x14ac:dyDescent="0.25">
      <c r="M12783" s="274"/>
    </row>
    <row r="12784" spans="13:13" ht="15" customHeight="1" x14ac:dyDescent="0.25">
      <c r="M12784" s="274"/>
    </row>
    <row r="12785" spans="13:13" ht="15" customHeight="1" x14ac:dyDescent="0.25">
      <c r="M12785" s="274"/>
    </row>
    <row r="12786" spans="13:13" ht="15" customHeight="1" x14ac:dyDescent="0.25">
      <c r="M12786" s="274"/>
    </row>
    <row r="12787" spans="13:13" ht="15" customHeight="1" x14ac:dyDescent="0.25">
      <c r="M12787" s="274"/>
    </row>
    <row r="12788" spans="13:13" ht="15" customHeight="1" x14ac:dyDescent="0.25">
      <c r="M12788" s="274"/>
    </row>
    <row r="12789" spans="13:13" ht="15" customHeight="1" x14ac:dyDescent="0.25">
      <c r="M12789" s="274"/>
    </row>
    <row r="12790" spans="13:13" ht="15" customHeight="1" x14ac:dyDescent="0.25">
      <c r="M12790" s="274"/>
    </row>
    <row r="12791" spans="13:13" ht="15" customHeight="1" x14ac:dyDescent="0.25">
      <c r="M12791" s="274"/>
    </row>
    <row r="12792" spans="13:13" ht="15" customHeight="1" x14ac:dyDescent="0.25">
      <c r="M12792" s="274"/>
    </row>
    <row r="12793" spans="13:13" ht="15" customHeight="1" x14ac:dyDescent="0.25">
      <c r="M12793" s="274"/>
    </row>
    <row r="12794" spans="13:13" ht="15" customHeight="1" x14ac:dyDescent="0.25">
      <c r="M12794" s="274"/>
    </row>
    <row r="12795" spans="13:13" ht="15" customHeight="1" x14ac:dyDescent="0.25">
      <c r="M12795" s="274"/>
    </row>
    <row r="12796" spans="13:13" ht="15" customHeight="1" x14ac:dyDescent="0.25">
      <c r="M12796" s="274"/>
    </row>
    <row r="12797" spans="13:13" ht="15" customHeight="1" x14ac:dyDescent="0.25">
      <c r="M12797" s="274"/>
    </row>
    <row r="12798" spans="13:13" ht="15" customHeight="1" x14ac:dyDescent="0.25">
      <c r="M12798" s="274"/>
    </row>
    <row r="12799" spans="13:13" ht="15" customHeight="1" x14ac:dyDescent="0.25">
      <c r="M12799" s="274"/>
    </row>
    <row r="12800" spans="13:13" ht="15" customHeight="1" x14ac:dyDescent="0.25">
      <c r="M12800" s="274"/>
    </row>
    <row r="12801" spans="13:13" ht="15" customHeight="1" x14ac:dyDescent="0.25">
      <c r="M12801" s="274"/>
    </row>
    <row r="12802" spans="13:13" ht="15" customHeight="1" x14ac:dyDescent="0.25">
      <c r="M12802" s="274"/>
    </row>
    <row r="12803" spans="13:13" ht="15" customHeight="1" x14ac:dyDescent="0.25">
      <c r="M12803" s="274"/>
    </row>
    <row r="12804" spans="13:13" ht="15" customHeight="1" x14ac:dyDescent="0.25">
      <c r="M12804" s="274"/>
    </row>
    <row r="12805" spans="13:13" ht="15" customHeight="1" x14ac:dyDescent="0.25">
      <c r="M12805" s="274"/>
    </row>
    <row r="12806" spans="13:13" ht="15" customHeight="1" x14ac:dyDescent="0.25">
      <c r="M12806" s="274"/>
    </row>
    <row r="12807" spans="13:13" ht="15" customHeight="1" x14ac:dyDescent="0.25">
      <c r="M12807" s="274"/>
    </row>
    <row r="12808" spans="13:13" ht="15" customHeight="1" x14ac:dyDescent="0.25">
      <c r="M12808" s="274"/>
    </row>
    <row r="12809" spans="13:13" ht="15" customHeight="1" x14ac:dyDescent="0.25">
      <c r="M12809" s="274"/>
    </row>
    <row r="12810" spans="13:13" ht="15" customHeight="1" x14ac:dyDescent="0.25">
      <c r="M12810" s="274"/>
    </row>
    <row r="12811" spans="13:13" ht="15" customHeight="1" x14ac:dyDescent="0.25">
      <c r="M12811" s="274"/>
    </row>
    <row r="12812" spans="13:13" ht="15" customHeight="1" x14ac:dyDescent="0.25">
      <c r="M12812" s="274"/>
    </row>
    <row r="12813" spans="13:13" ht="15" customHeight="1" x14ac:dyDescent="0.25">
      <c r="M12813" s="274"/>
    </row>
    <row r="12814" spans="13:13" ht="15" customHeight="1" x14ac:dyDescent="0.25">
      <c r="M12814" s="274"/>
    </row>
    <row r="12815" spans="13:13" ht="15" customHeight="1" x14ac:dyDescent="0.25">
      <c r="M12815" s="274"/>
    </row>
    <row r="12816" spans="13:13" ht="15" customHeight="1" x14ac:dyDescent="0.25">
      <c r="M12816" s="274"/>
    </row>
    <row r="12817" spans="13:13" ht="15" customHeight="1" x14ac:dyDescent="0.25">
      <c r="M12817" s="274"/>
    </row>
    <row r="12818" spans="13:13" ht="15" customHeight="1" x14ac:dyDescent="0.25">
      <c r="M12818" s="274"/>
    </row>
    <row r="12819" spans="13:13" ht="15" customHeight="1" x14ac:dyDescent="0.25">
      <c r="M12819" s="274"/>
    </row>
    <row r="12820" spans="13:13" ht="15" customHeight="1" x14ac:dyDescent="0.25">
      <c r="M12820" s="274"/>
    </row>
    <row r="12821" spans="13:13" ht="15" customHeight="1" x14ac:dyDescent="0.25">
      <c r="M12821" s="274"/>
    </row>
    <row r="12822" spans="13:13" ht="15" customHeight="1" x14ac:dyDescent="0.25">
      <c r="M12822" s="274"/>
    </row>
    <row r="12823" spans="13:13" ht="15" customHeight="1" x14ac:dyDescent="0.25">
      <c r="M12823" s="274"/>
    </row>
    <row r="12824" spans="13:13" ht="15" customHeight="1" x14ac:dyDescent="0.25">
      <c r="M12824" s="274"/>
    </row>
    <row r="12825" spans="13:13" ht="15" customHeight="1" x14ac:dyDescent="0.25">
      <c r="M12825" s="274"/>
    </row>
    <row r="12826" spans="13:13" ht="15" customHeight="1" x14ac:dyDescent="0.25">
      <c r="M12826" s="274"/>
    </row>
    <row r="12827" spans="13:13" ht="15" customHeight="1" x14ac:dyDescent="0.25">
      <c r="M12827" s="274"/>
    </row>
    <row r="12828" spans="13:13" ht="15" customHeight="1" x14ac:dyDescent="0.25">
      <c r="M12828" s="274"/>
    </row>
    <row r="12829" spans="13:13" ht="15" customHeight="1" x14ac:dyDescent="0.25">
      <c r="M12829" s="274"/>
    </row>
    <row r="12830" spans="13:13" ht="15" customHeight="1" x14ac:dyDescent="0.25">
      <c r="M12830" s="274"/>
    </row>
    <row r="12831" spans="13:13" ht="15" customHeight="1" x14ac:dyDescent="0.25">
      <c r="M12831" s="274"/>
    </row>
    <row r="12832" spans="13:13" ht="15" customHeight="1" x14ac:dyDescent="0.25">
      <c r="M12832" s="274"/>
    </row>
    <row r="12833" spans="13:13" ht="15" customHeight="1" x14ac:dyDescent="0.25">
      <c r="M12833" s="274"/>
    </row>
    <row r="12834" spans="13:13" ht="15" customHeight="1" x14ac:dyDescent="0.25">
      <c r="M12834" s="274"/>
    </row>
    <row r="12835" spans="13:13" ht="15" customHeight="1" x14ac:dyDescent="0.25">
      <c r="M12835" s="274"/>
    </row>
    <row r="12836" spans="13:13" ht="15" customHeight="1" x14ac:dyDescent="0.25">
      <c r="M12836" s="274"/>
    </row>
    <row r="12837" spans="13:13" ht="15" customHeight="1" x14ac:dyDescent="0.25">
      <c r="M12837" s="274"/>
    </row>
    <row r="12838" spans="13:13" ht="15" customHeight="1" x14ac:dyDescent="0.25">
      <c r="M12838" s="274"/>
    </row>
    <row r="12839" spans="13:13" ht="15" customHeight="1" x14ac:dyDescent="0.25">
      <c r="M12839" s="274"/>
    </row>
    <row r="12840" spans="13:13" ht="15" customHeight="1" x14ac:dyDescent="0.25">
      <c r="M12840" s="274"/>
    </row>
    <row r="12841" spans="13:13" ht="15" customHeight="1" x14ac:dyDescent="0.25">
      <c r="M12841" s="274"/>
    </row>
    <row r="12842" spans="13:13" ht="15" customHeight="1" x14ac:dyDescent="0.25">
      <c r="M12842" s="274"/>
    </row>
    <row r="12843" spans="13:13" ht="15" customHeight="1" x14ac:dyDescent="0.25">
      <c r="M12843" s="274"/>
    </row>
    <row r="12844" spans="13:13" ht="15" customHeight="1" x14ac:dyDescent="0.25">
      <c r="M12844" s="274"/>
    </row>
    <row r="12845" spans="13:13" ht="15" customHeight="1" x14ac:dyDescent="0.25">
      <c r="M12845" s="274"/>
    </row>
    <row r="12846" spans="13:13" ht="15" customHeight="1" x14ac:dyDescent="0.25">
      <c r="M12846" s="274"/>
    </row>
    <row r="12847" spans="13:13" ht="15" customHeight="1" x14ac:dyDescent="0.25">
      <c r="M12847" s="274"/>
    </row>
    <row r="12848" spans="13:13" ht="15" customHeight="1" x14ac:dyDescent="0.25">
      <c r="M12848" s="274"/>
    </row>
    <row r="12849" spans="13:13" ht="15" customHeight="1" x14ac:dyDescent="0.25">
      <c r="M12849" s="274"/>
    </row>
    <row r="12850" spans="13:13" ht="15" customHeight="1" x14ac:dyDescent="0.25">
      <c r="M12850" s="274"/>
    </row>
    <row r="12851" spans="13:13" ht="15" customHeight="1" x14ac:dyDescent="0.25">
      <c r="M12851" s="274"/>
    </row>
    <row r="12852" spans="13:13" ht="15" customHeight="1" x14ac:dyDescent="0.25">
      <c r="M12852" s="274"/>
    </row>
    <row r="12853" spans="13:13" ht="15" customHeight="1" x14ac:dyDescent="0.25">
      <c r="M12853" s="274"/>
    </row>
    <row r="12854" spans="13:13" ht="15" customHeight="1" x14ac:dyDescent="0.25">
      <c r="M12854" s="274"/>
    </row>
    <row r="12855" spans="13:13" ht="15" customHeight="1" x14ac:dyDescent="0.25">
      <c r="M12855" s="274"/>
    </row>
    <row r="12856" spans="13:13" ht="15" customHeight="1" x14ac:dyDescent="0.25">
      <c r="M12856" s="274"/>
    </row>
    <row r="12857" spans="13:13" ht="15" customHeight="1" x14ac:dyDescent="0.25">
      <c r="M12857" s="274"/>
    </row>
    <row r="12858" spans="13:13" ht="15" customHeight="1" x14ac:dyDescent="0.25">
      <c r="M12858" s="274"/>
    </row>
    <row r="12859" spans="13:13" ht="15" customHeight="1" x14ac:dyDescent="0.25">
      <c r="M12859" s="274"/>
    </row>
    <row r="12860" spans="13:13" ht="15" customHeight="1" x14ac:dyDescent="0.25">
      <c r="M12860" s="274"/>
    </row>
    <row r="12861" spans="13:13" ht="15" customHeight="1" x14ac:dyDescent="0.25">
      <c r="M12861" s="274"/>
    </row>
    <row r="12862" spans="13:13" ht="15" customHeight="1" x14ac:dyDescent="0.25">
      <c r="M12862" s="274"/>
    </row>
    <row r="12863" spans="13:13" ht="15" customHeight="1" x14ac:dyDescent="0.25">
      <c r="M12863" s="274"/>
    </row>
    <row r="12864" spans="13:13" ht="15" customHeight="1" x14ac:dyDescent="0.25">
      <c r="M12864" s="274"/>
    </row>
    <row r="12865" spans="13:13" ht="15" customHeight="1" x14ac:dyDescent="0.25">
      <c r="M12865" s="274"/>
    </row>
    <row r="12866" spans="13:13" ht="15" customHeight="1" x14ac:dyDescent="0.25">
      <c r="M12866" s="274"/>
    </row>
    <row r="12867" spans="13:13" ht="15" customHeight="1" x14ac:dyDescent="0.25">
      <c r="M12867" s="274"/>
    </row>
    <row r="12868" spans="13:13" ht="15" customHeight="1" x14ac:dyDescent="0.25">
      <c r="M12868" s="274"/>
    </row>
    <row r="12869" spans="13:13" ht="15" customHeight="1" x14ac:dyDescent="0.25">
      <c r="M12869" s="274"/>
    </row>
    <row r="12870" spans="13:13" ht="15" customHeight="1" x14ac:dyDescent="0.25">
      <c r="M12870" s="274"/>
    </row>
    <row r="12871" spans="13:13" ht="15" customHeight="1" x14ac:dyDescent="0.25">
      <c r="M12871" s="274"/>
    </row>
    <row r="12872" spans="13:13" ht="15" customHeight="1" x14ac:dyDescent="0.25">
      <c r="M12872" s="274"/>
    </row>
    <row r="12873" spans="13:13" ht="15" customHeight="1" x14ac:dyDescent="0.25">
      <c r="M12873" s="274"/>
    </row>
    <row r="12874" spans="13:13" ht="15" customHeight="1" x14ac:dyDescent="0.25">
      <c r="M12874" s="274"/>
    </row>
    <row r="12875" spans="13:13" ht="15" customHeight="1" x14ac:dyDescent="0.25">
      <c r="M12875" s="274"/>
    </row>
    <row r="12876" spans="13:13" ht="15" customHeight="1" x14ac:dyDescent="0.25">
      <c r="M12876" s="274"/>
    </row>
    <row r="12877" spans="13:13" ht="15" customHeight="1" x14ac:dyDescent="0.25">
      <c r="M12877" s="274"/>
    </row>
    <row r="12878" spans="13:13" ht="15" customHeight="1" x14ac:dyDescent="0.25">
      <c r="M12878" s="274"/>
    </row>
    <row r="12879" spans="13:13" ht="15" customHeight="1" x14ac:dyDescent="0.25">
      <c r="M12879" s="274"/>
    </row>
    <row r="12880" spans="13:13" ht="15" customHeight="1" x14ac:dyDescent="0.25">
      <c r="M12880" s="274"/>
    </row>
    <row r="12881" spans="13:13" ht="15" customHeight="1" x14ac:dyDescent="0.25">
      <c r="M12881" s="274"/>
    </row>
    <row r="12882" spans="13:13" ht="15" customHeight="1" x14ac:dyDescent="0.25">
      <c r="M12882" s="274"/>
    </row>
    <row r="12883" spans="13:13" ht="15" customHeight="1" x14ac:dyDescent="0.25">
      <c r="M12883" s="274"/>
    </row>
    <row r="12884" spans="13:13" ht="15" customHeight="1" x14ac:dyDescent="0.25">
      <c r="M12884" s="274"/>
    </row>
    <row r="12885" spans="13:13" ht="15" customHeight="1" x14ac:dyDescent="0.25">
      <c r="M12885" s="274"/>
    </row>
    <row r="12886" spans="13:13" ht="15" customHeight="1" x14ac:dyDescent="0.25">
      <c r="M12886" s="274"/>
    </row>
    <row r="12887" spans="13:13" ht="15" customHeight="1" x14ac:dyDescent="0.25">
      <c r="M12887" s="274"/>
    </row>
    <row r="12888" spans="13:13" ht="15" customHeight="1" x14ac:dyDescent="0.25">
      <c r="M12888" s="274"/>
    </row>
    <row r="12889" spans="13:13" ht="15" customHeight="1" x14ac:dyDescent="0.25">
      <c r="M12889" s="274"/>
    </row>
    <row r="12890" spans="13:13" ht="15" customHeight="1" x14ac:dyDescent="0.25">
      <c r="M12890" s="274"/>
    </row>
    <row r="12891" spans="13:13" ht="15" customHeight="1" x14ac:dyDescent="0.25">
      <c r="M12891" s="274"/>
    </row>
    <row r="12892" spans="13:13" ht="15" customHeight="1" x14ac:dyDescent="0.25">
      <c r="M12892" s="274"/>
    </row>
    <row r="12893" spans="13:13" ht="15" customHeight="1" x14ac:dyDescent="0.25">
      <c r="M12893" s="274"/>
    </row>
    <row r="12894" spans="13:13" ht="15" customHeight="1" x14ac:dyDescent="0.25">
      <c r="M12894" s="274"/>
    </row>
    <row r="12895" spans="13:13" ht="15" customHeight="1" x14ac:dyDescent="0.25">
      <c r="M12895" s="274"/>
    </row>
    <row r="12896" spans="13:13" ht="15" customHeight="1" x14ac:dyDescent="0.25">
      <c r="M12896" s="274"/>
    </row>
    <row r="12897" spans="13:13" ht="15" customHeight="1" x14ac:dyDescent="0.25">
      <c r="M12897" s="274"/>
    </row>
    <row r="12898" spans="13:13" ht="15" customHeight="1" x14ac:dyDescent="0.25">
      <c r="M12898" s="274"/>
    </row>
    <row r="12899" spans="13:13" ht="15" customHeight="1" x14ac:dyDescent="0.25">
      <c r="M12899" s="274"/>
    </row>
    <row r="12900" spans="13:13" ht="15" customHeight="1" x14ac:dyDescent="0.25">
      <c r="M12900" s="274"/>
    </row>
    <row r="12901" spans="13:13" ht="15" customHeight="1" x14ac:dyDescent="0.25">
      <c r="M12901" s="274"/>
    </row>
    <row r="12902" spans="13:13" ht="15" customHeight="1" x14ac:dyDescent="0.25">
      <c r="M12902" s="274"/>
    </row>
    <row r="12903" spans="13:13" ht="15" customHeight="1" x14ac:dyDescent="0.25">
      <c r="M12903" s="274"/>
    </row>
    <row r="12904" spans="13:13" ht="15" customHeight="1" x14ac:dyDescent="0.25">
      <c r="M12904" s="274"/>
    </row>
    <row r="12905" spans="13:13" ht="15" customHeight="1" x14ac:dyDescent="0.25">
      <c r="M12905" s="274"/>
    </row>
    <row r="12906" spans="13:13" ht="15" customHeight="1" x14ac:dyDescent="0.25">
      <c r="M12906" s="274"/>
    </row>
    <row r="12907" spans="13:13" ht="15" customHeight="1" x14ac:dyDescent="0.25">
      <c r="M12907" s="274"/>
    </row>
    <row r="12908" spans="13:13" ht="15" customHeight="1" x14ac:dyDescent="0.25">
      <c r="M12908" s="274"/>
    </row>
    <row r="12909" spans="13:13" ht="15" customHeight="1" x14ac:dyDescent="0.25">
      <c r="M12909" s="274"/>
    </row>
    <row r="12910" spans="13:13" ht="15" customHeight="1" x14ac:dyDescent="0.25">
      <c r="M12910" s="274"/>
    </row>
    <row r="12911" spans="13:13" ht="15" customHeight="1" x14ac:dyDescent="0.25">
      <c r="M12911" s="274"/>
    </row>
    <row r="12912" spans="13:13" ht="15" customHeight="1" x14ac:dyDescent="0.25">
      <c r="M12912" s="274"/>
    </row>
    <row r="12913" spans="13:13" ht="15" customHeight="1" x14ac:dyDescent="0.25">
      <c r="M12913" s="274"/>
    </row>
    <row r="12914" spans="13:13" ht="15" customHeight="1" x14ac:dyDescent="0.25">
      <c r="M12914" s="274"/>
    </row>
    <row r="12915" spans="13:13" ht="15" customHeight="1" x14ac:dyDescent="0.25">
      <c r="M12915" s="274"/>
    </row>
    <row r="12916" spans="13:13" ht="15" customHeight="1" x14ac:dyDescent="0.25">
      <c r="M12916" s="274"/>
    </row>
    <row r="12917" spans="13:13" ht="15" customHeight="1" x14ac:dyDescent="0.25">
      <c r="M12917" s="274"/>
    </row>
    <row r="12918" spans="13:13" ht="15" customHeight="1" x14ac:dyDescent="0.25">
      <c r="M12918" s="274"/>
    </row>
    <row r="12919" spans="13:13" ht="15" customHeight="1" x14ac:dyDescent="0.25">
      <c r="M12919" s="274"/>
    </row>
    <row r="12920" spans="13:13" ht="15" customHeight="1" x14ac:dyDescent="0.25">
      <c r="M12920" s="274"/>
    </row>
    <row r="12921" spans="13:13" ht="15" customHeight="1" x14ac:dyDescent="0.25">
      <c r="M12921" s="274"/>
    </row>
    <row r="12922" spans="13:13" ht="15" customHeight="1" x14ac:dyDescent="0.25">
      <c r="M12922" s="274"/>
    </row>
    <row r="12923" spans="13:13" ht="15" customHeight="1" x14ac:dyDescent="0.25">
      <c r="M12923" s="274"/>
    </row>
    <row r="12924" spans="13:13" ht="15" customHeight="1" x14ac:dyDescent="0.25">
      <c r="M12924" s="274"/>
    </row>
    <row r="12925" spans="13:13" ht="15" customHeight="1" x14ac:dyDescent="0.25">
      <c r="M12925" s="274"/>
    </row>
    <row r="12926" spans="13:13" ht="15" customHeight="1" x14ac:dyDescent="0.25">
      <c r="M12926" s="274"/>
    </row>
    <row r="12927" spans="13:13" ht="15" customHeight="1" x14ac:dyDescent="0.25">
      <c r="M12927" s="274"/>
    </row>
    <row r="12928" spans="13:13" ht="15" customHeight="1" x14ac:dyDescent="0.25">
      <c r="M12928" s="274"/>
    </row>
    <row r="12929" spans="13:13" ht="15" customHeight="1" x14ac:dyDescent="0.25">
      <c r="M12929" s="274"/>
    </row>
    <row r="12930" spans="13:13" ht="15" customHeight="1" x14ac:dyDescent="0.25">
      <c r="M12930" s="274"/>
    </row>
    <row r="12931" spans="13:13" ht="15" customHeight="1" x14ac:dyDescent="0.25">
      <c r="M12931" s="274"/>
    </row>
    <row r="12932" spans="13:13" ht="15" customHeight="1" x14ac:dyDescent="0.25">
      <c r="M12932" s="274"/>
    </row>
    <row r="12933" spans="13:13" ht="15" customHeight="1" x14ac:dyDescent="0.25">
      <c r="M12933" s="274"/>
    </row>
    <row r="12934" spans="13:13" ht="15" customHeight="1" x14ac:dyDescent="0.25">
      <c r="M12934" s="274"/>
    </row>
    <row r="12935" spans="13:13" ht="15" customHeight="1" x14ac:dyDescent="0.25">
      <c r="M12935" s="274"/>
    </row>
    <row r="12936" spans="13:13" ht="15" customHeight="1" x14ac:dyDescent="0.25">
      <c r="M12936" s="274"/>
    </row>
    <row r="12937" spans="13:13" ht="15" customHeight="1" x14ac:dyDescent="0.25">
      <c r="M12937" s="274"/>
    </row>
    <row r="12938" spans="13:13" ht="15" customHeight="1" x14ac:dyDescent="0.25">
      <c r="M12938" s="274"/>
    </row>
    <row r="12939" spans="13:13" ht="15" customHeight="1" x14ac:dyDescent="0.25">
      <c r="M12939" s="274"/>
    </row>
    <row r="12940" spans="13:13" ht="15" customHeight="1" x14ac:dyDescent="0.25">
      <c r="M12940" s="274"/>
    </row>
    <row r="12941" spans="13:13" ht="15" customHeight="1" x14ac:dyDescent="0.25">
      <c r="M12941" s="274"/>
    </row>
    <row r="12942" spans="13:13" ht="15" customHeight="1" x14ac:dyDescent="0.25">
      <c r="M12942" s="274"/>
    </row>
    <row r="12943" spans="13:13" ht="15" customHeight="1" x14ac:dyDescent="0.25">
      <c r="M12943" s="274"/>
    </row>
    <row r="12944" spans="13:13" ht="15" customHeight="1" x14ac:dyDescent="0.25">
      <c r="M12944" s="274"/>
    </row>
    <row r="12945" spans="13:13" ht="15" customHeight="1" x14ac:dyDescent="0.25">
      <c r="M12945" s="274"/>
    </row>
    <row r="12946" spans="13:13" ht="15" customHeight="1" x14ac:dyDescent="0.25">
      <c r="M12946" s="274"/>
    </row>
    <row r="12947" spans="13:13" ht="15" customHeight="1" x14ac:dyDescent="0.25">
      <c r="M12947" s="274"/>
    </row>
    <row r="12948" spans="13:13" ht="15" customHeight="1" x14ac:dyDescent="0.25">
      <c r="M12948" s="274"/>
    </row>
    <row r="12949" spans="13:13" ht="15" customHeight="1" x14ac:dyDescent="0.25">
      <c r="M12949" s="274"/>
    </row>
    <row r="12950" spans="13:13" ht="15" customHeight="1" x14ac:dyDescent="0.25">
      <c r="M12950" s="274"/>
    </row>
    <row r="12951" spans="13:13" ht="15" customHeight="1" x14ac:dyDescent="0.25">
      <c r="M12951" s="274"/>
    </row>
    <row r="12952" spans="13:13" ht="15" customHeight="1" x14ac:dyDescent="0.25">
      <c r="M12952" s="274"/>
    </row>
    <row r="12953" spans="13:13" ht="15" customHeight="1" x14ac:dyDescent="0.25">
      <c r="M12953" s="274"/>
    </row>
    <row r="12954" spans="13:13" ht="15" customHeight="1" x14ac:dyDescent="0.25">
      <c r="M12954" s="274"/>
    </row>
    <row r="12955" spans="13:13" ht="15" customHeight="1" x14ac:dyDescent="0.25">
      <c r="M12955" s="274"/>
    </row>
    <row r="12956" spans="13:13" ht="15" customHeight="1" x14ac:dyDescent="0.25">
      <c r="M12956" s="274"/>
    </row>
    <row r="12957" spans="13:13" ht="15" customHeight="1" x14ac:dyDescent="0.25">
      <c r="M12957" s="274"/>
    </row>
    <row r="12958" spans="13:13" ht="15" customHeight="1" x14ac:dyDescent="0.25">
      <c r="M12958" s="274"/>
    </row>
    <row r="12959" spans="13:13" ht="15" customHeight="1" x14ac:dyDescent="0.25">
      <c r="M12959" s="274"/>
    </row>
    <row r="12960" spans="13:13" ht="15" customHeight="1" x14ac:dyDescent="0.25">
      <c r="M12960" s="274"/>
    </row>
    <row r="12961" spans="13:13" ht="15" customHeight="1" x14ac:dyDescent="0.25">
      <c r="M12961" s="274"/>
    </row>
    <row r="12962" spans="13:13" ht="15" customHeight="1" x14ac:dyDescent="0.25">
      <c r="M12962" s="274"/>
    </row>
    <row r="12963" spans="13:13" ht="15" customHeight="1" x14ac:dyDescent="0.25">
      <c r="M12963" s="274"/>
    </row>
    <row r="12964" spans="13:13" ht="15" customHeight="1" x14ac:dyDescent="0.25">
      <c r="M12964" s="274"/>
    </row>
    <row r="12965" spans="13:13" ht="15" customHeight="1" x14ac:dyDescent="0.25">
      <c r="M12965" s="274"/>
    </row>
    <row r="12966" spans="13:13" ht="15" customHeight="1" x14ac:dyDescent="0.25">
      <c r="M12966" s="274"/>
    </row>
    <row r="12967" spans="13:13" ht="15" customHeight="1" x14ac:dyDescent="0.25">
      <c r="M12967" s="274"/>
    </row>
    <row r="12968" spans="13:13" ht="15" customHeight="1" x14ac:dyDescent="0.25">
      <c r="M12968" s="274"/>
    </row>
    <row r="12969" spans="13:13" ht="15" customHeight="1" x14ac:dyDescent="0.25">
      <c r="M12969" s="274"/>
    </row>
    <row r="12970" spans="13:13" ht="15" customHeight="1" x14ac:dyDescent="0.25">
      <c r="M12970" s="274"/>
    </row>
    <row r="12971" spans="13:13" ht="15" customHeight="1" x14ac:dyDescent="0.25">
      <c r="M12971" s="274"/>
    </row>
    <row r="12972" spans="13:13" ht="15" customHeight="1" x14ac:dyDescent="0.25">
      <c r="M12972" s="274"/>
    </row>
    <row r="12973" spans="13:13" ht="15" customHeight="1" x14ac:dyDescent="0.25">
      <c r="M12973" s="274"/>
    </row>
    <row r="12974" spans="13:13" ht="15" customHeight="1" x14ac:dyDescent="0.25">
      <c r="M12974" s="274"/>
    </row>
    <row r="12975" spans="13:13" ht="15" customHeight="1" x14ac:dyDescent="0.25">
      <c r="M12975" s="274"/>
    </row>
    <row r="12976" spans="13:13" ht="15" customHeight="1" x14ac:dyDescent="0.25">
      <c r="M12976" s="274"/>
    </row>
    <row r="12977" spans="13:13" ht="15" customHeight="1" x14ac:dyDescent="0.25">
      <c r="M12977" s="274"/>
    </row>
    <row r="12978" spans="13:13" ht="15" customHeight="1" x14ac:dyDescent="0.25">
      <c r="M12978" s="274"/>
    </row>
    <row r="12979" spans="13:13" ht="15" customHeight="1" x14ac:dyDescent="0.25">
      <c r="M12979" s="274"/>
    </row>
    <row r="12980" spans="13:13" ht="15" customHeight="1" x14ac:dyDescent="0.25">
      <c r="M12980" s="274"/>
    </row>
    <row r="12981" spans="13:13" ht="15" customHeight="1" x14ac:dyDescent="0.25">
      <c r="M12981" s="274"/>
    </row>
    <row r="12982" spans="13:13" ht="15" customHeight="1" x14ac:dyDescent="0.25">
      <c r="M12982" s="274"/>
    </row>
    <row r="12983" spans="13:13" ht="15" customHeight="1" x14ac:dyDescent="0.25">
      <c r="M12983" s="274"/>
    </row>
    <row r="12984" spans="13:13" ht="15" customHeight="1" x14ac:dyDescent="0.25">
      <c r="M12984" s="274"/>
    </row>
    <row r="12985" spans="13:13" ht="15" customHeight="1" x14ac:dyDescent="0.25">
      <c r="M12985" s="274"/>
    </row>
    <row r="12986" spans="13:13" ht="15" customHeight="1" x14ac:dyDescent="0.25">
      <c r="M12986" s="274"/>
    </row>
    <row r="12987" spans="13:13" ht="15" customHeight="1" x14ac:dyDescent="0.25">
      <c r="M12987" s="274"/>
    </row>
    <row r="12988" spans="13:13" ht="15" customHeight="1" x14ac:dyDescent="0.25">
      <c r="M12988" s="274"/>
    </row>
    <row r="12989" spans="13:13" ht="15" customHeight="1" x14ac:dyDescent="0.25">
      <c r="M12989" s="274"/>
    </row>
    <row r="12990" spans="13:13" ht="15" customHeight="1" x14ac:dyDescent="0.25">
      <c r="M12990" s="274"/>
    </row>
    <row r="12991" spans="13:13" ht="15" customHeight="1" x14ac:dyDescent="0.25">
      <c r="M12991" s="274"/>
    </row>
    <row r="12992" spans="13:13" ht="15" customHeight="1" x14ac:dyDescent="0.25">
      <c r="M12992" s="274"/>
    </row>
    <row r="12993" spans="13:13" ht="15" customHeight="1" x14ac:dyDescent="0.25">
      <c r="M12993" s="274"/>
    </row>
    <row r="12994" spans="13:13" ht="15" customHeight="1" x14ac:dyDescent="0.25">
      <c r="M12994" s="274"/>
    </row>
    <row r="12995" spans="13:13" ht="15" customHeight="1" x14ac:dyDescent="0.25">
      <c r="M12995" s="274"/>
    </row>
    <row r="12996" spans="13:13" ht="15" customHeight="1" x14ac:dyDescent="0.25">
      <c r="M12996" s="274"/>
    </row>
    <row r="12997" spans="13:13" ht="15" customHeight="1" x14ac:dyDescent="0.25">
      <c r="M12997" s="274"/>
    </row>
    <row r="12998" spans="13:13" ht="15" customHeight="1" x14ac:dyDescent="0.25">
      <c r="M12998" s="274"/>
    </row>
    <row r="12999" spans="13:13" ht="15" customHeight="1" x14ac:dyDescent="0.25">
      <c r="M12999" s="274"/>
    </row>
    <row r="13000" spans="13:13" ht="15" customHeight="1" x14ac:dyDescent="0.25">
      <c r="M13000" s="274"/>
    </row>
    <row r="13001" spans="13:13" ht="15" customHeight="1" x14ac:dyDescent="0.25">
      <c r="M13001" s="274"/>
    </row>
    <row r="13002" spans="13:13" ht="15" customHeight="1" x14ac:dyDescent="0.25">
      <c r="M13002" s="274"/>
    </row>
    <row r="13003" spans="13:13" ht="15" customHeight="1" x14ac:dyDescent="0.25">
      <c r="M13003" s="274"/>
    </row>
    <row r="13004" spans="13:13" ht="15" customHeight="1" x14ac:dyDescent="0.25">
      <c r="M13004" s="274"/>
    </row>
    <row r="13005" spans="13:13" ht="15" customHeight="1" x14ac:dyDescent="0.25">
      <c r="M13005" s="274"/>
    </row>
    <row r="13006" spans="13:13" ht="15" customHeight="1" x14ac:dyDescent="0.25">
      <c r="M13006" s="274"/>
    </row>
    <row r="13007" spans="13:13" ht="15" customHeight="1" x14ac:dyDescent="0.25">
      <c r="M13007" s="274"/>
    </row>
    <row r="13008" spans="13:13" ht="15" customHeight="1" x14ac:dyDescent="0.25">
      <c r="M13008" s="274"/>
    </row>
    <row r="13009" spans="13:13" ht="15" customHeight="1" x14ac:dyDescent="0.25">
      <c r="M13009" s="274"/>
    </row>
    <row r="13010" spans="13:13" ht="15" customHeight="1" x14ac:dyDescent="0.25">
      <c r="M13010" s="274"/>
    </row>
    <row r="13011" spans="13:13" ht="15" customHeight="1" x14ac:dyDescent="0.25">
      <c r="M13011" s="274"/>
    </row>
    <row r="13012" spans="13:13" ht="15" customHeight="1" x14ac:dyDescent="0.25">
      <c r="M13012" s="274"/>
    </row>
    <row r="13013" spans="13:13" ht="15" customHeight="1" x14ac:dyDescent="0.25">
      <c r="M13013" s="274"/>
    </row>
    <row r="13014" spans="13:13" ht="15" customHeight="1" x14ac:dyDescent="0.25">
      <c r="M13014" s="274"/>
    </row>
    <row r="13015" spans="13:13" ht="15" customHeight="1" x14ac:dyDescent="0.25">
      <c r="M13015" s="274"/>
    </row>
    <row r="13016" spans="13:13" ht="15" customHeight="1" x14ac:dyDescent="0.25">
      <c r="M13016" s="274"/>
    </row>
    <row r="13017" spans="13:13" ht="15" customHeight="1" x14ac:dyDescent="0.25">
      <c r="M13017" s="274"/>
    </row>
    <row r="13018" spans="13:13" ht="15" customHeight="1" x14ac:dyDescent="0.25">
      <c r="M13018" s="274"/>
    </row>
    <row r="13019" spans="13:13" ht="15" customHeight="1" x14ac:dyDescent="0.25">
      <c r="M13019" s="274"/>
    </row>
    <row r="13020" spans="13:13" ht="15" customHeight="1" x14ac:dyDescent="0.25">
      <c r="M13020" s="274"/>
    </row>
    <row r="13021" spans="13:13" ht="15" customHeight="1" x14ac:dyDescent="0.25">
      <c r="M13021" s="274"/>
    </row>
    <row r="13022" spans="13:13" ht="15" customHeight="1" x14ac:dyDescent="0.25">
      <c r="M13022" s="274"/>
    </row>
    <row r="13023" spans="13:13" ht="15" customHeight="1" x14ac:dyDescent="0.25">
      <c r="M13023" s="274"/>
    </row>
    <row r="13024" spans="13:13" ht="15" customHeight="1" x14ac:dyDescent="0.25">
      <c r="M13024" s="274"/>
    </row>
    <row r="13025" spans="13:13" ht="15" customHeight="1" x14ac:dyDescent="0.25">
      <c r="M13025" s="274"/>
    </row>
    <row r="13026" spans="13:13" ht="15" customHeight="1" x14ac:dyDescent="0.25">
      <c r="M13026" s="274"/>
    </row>
    <row r="13027" spans="13:13" ht="15" customHeight="1" x14ac:dyDescent="0.25">
      <c r="M13027" s="274"/>
    </row>
    <row r="13028" spans="13:13" ht="15" customHeight="1" x14ac:dyDescent="0.25">
      <c r="M13028" s="274"/>
    </row>
    <row r="13029" spans="13:13" ht="15" customHeight="1" x14ac:dyDescent="0.25">
      <c r="M13029" s="274"/>
    </row>
    <row r="13030" spans="13:13" ht="15" customHeight="1" x14ac:dyDescent="0.25">
      <c r="M13030" s="274"/>
    </row>
    <row r="13031" spans="13:13" ht="15" customHeight="1" x14ac:dyDescent="0.25">
      <c r="M13031" s="274"/>
    </row>
    <row r="13032" spans="13:13" ht="15" customHeight="1" x14ac:dyDescent="0.25">
      <c r="M13032" s="274"/>
    </row>
    <row r="13033" spans="13:13" ht="15" customHeight="1" x14ac:dyDescent="0.25">
      <c r="M13033" s="274"/>
    </row>
    <row r="13034" spans="13:13" ht="15" customHeight="1" x14ac:dyDescent="0.25">
      <c r="M13034" s="274"/>
    </row>
    <row r="13035" spans="13:13" ht="15" customHeight="1" x14ac:dyDescent="0.25">
      <c r="M13035" s="274"/>
    </row>
    <row r="13036" spans="13:13" ht="15" customHeight="1" x14ac:dyDescent="0.25">
      <c r="M13036" s="274"/>
    </row>
    <row r="13037" spans="13:13" ht="15" customHeight="1" x14ac:dyDescent="0.25">
      <c r="M13037" s="274"/>
    </row>
    <row r="13038" spans="13:13" ht="15" customHeight="1" x14ac:dyDescent="0.25">
      <c r="M13038" s="274"/>
    </row>
    <row r="13039" spans="13:13" ht="15" customHeight="1" x14ac:dyDescent="0.25">
      <c r="M13039" s="274"/>
    </row>
    <row r="13040" spans="13:13" ht="15" customHeight="1" x14ac:dyDescent="0.25">
      <c r="M13040" s="274"/>
    </row>
    <row r="13041" spans="13:13" ht="15" customHeight="1" x14ac:dyDescent="0.25">
      <c r="M13041" s="274"/>
    </row>
    <row r="13042" spans="13:13" ht="15" customHeight="1" x14ac:dyDescent="0.25">
      <c r="M13042" s="274"/>
    </row>
    <row r="13043" spans="13:13" ht="15" customHeight="1" x14ac:dyDescent="0.25">
      <c r="M13043" s="274"/>
    </row>
    <row r="13044" spans="13:13" ht="15" customHeight="1" x14ac:dyDescent="0.25">
      <c r="M13044" s="274"/>
    </row>
    <row r="13045" spans="13:13" ht="15" customHeight="1" x14ac:dyDescent="0.25">
      <c r="M13045" s="274"/>
    </row>
    <row r="13046" spans="13:13" ht="15" customHeight="1" x14ac:dyDescent="0.25">
      <c r="M13046" s="274"/>
    </row>
    <row r="13047" spans="13:13" ht="15" customHeight="1" x14ac:dyDescent="0.25">
      <c r="M13047" s="274"/>
    </row>
    <row r="13048" spans="13:13" ht="15" customHeight="1" x14ac:dyDescent="0.25">
      <c r="M13048" s="274"/>
    </row>
    <row r="13049" spans="13:13" ht="15" customHeight="1" x14ac:dyDescent="0.25">
      <c r="M13049" s="274"/>
    </row>
    <row r="13050" spans="13:13" ht="15" customHeight="1" x14ac:dyDescent="0.25">
      <c r="M13050" s="274"/>
    </row>
    <row r="13051" spans="13:13" ht="15" customHeight="1" x14ac:dyDescent="0.25">
      <c r="M13051" s="274"/>
    </row>
    <row r="13052" spans="13:13" ht="15" customHeight="1" x14ac:dyDescent="0.25">
      <c r="M13052" s="274"/>
    </row>
    <row r="13053" spans="13:13" ht="15" customHeight="1" x14ac:dyDescent="0.25">
      <c r="M13053" s="274"/>
    </row>
    <row r="13054" spans="13:13" ht="15" customHeight="1" x14ac:dyDescent="0.25">
      <c r="M13054" s="274"/>
    </row>
    <row r="13055" spans="13:13" ht="15" customHeight="1" x14ac:dyDescent="0.25">
      <c r="M13055" s="274"/>
    </row>
    <row r="13056" spans="13:13" ht="15" customHeight="1" x14ac:dyDescent="0.25">
      <c r="M13056" s="274"/>
    </row>
    <row r="13057" spans="13:13" ht="15" customHeight="1" x14ac:dyDescent="0.25">
      <c r="M13057" s="274"/>
    </row>
    <row r="13058" spans="13:13" ht="15" customHeight="1" x14ac:dyDescent="0.25">
      <c r="M13058" s="274"/>
    </row>
    <row r="13059" spans="13:13" ht="15" customHeight="1" x14ac:dyDescent="0.25">
      <c r="M13059" s="274"/>
    </row>
    <row r="13060" spans="13:13" ht="15" customHeight="1" x14ac:dyDescent="0.25">
      <c r="M13060" s="274"/>
    </row>
    <row r="13061" spans="13:13" ht="15" customHeight="1" x14ac:dyDescent="0.25">
      <c r="M13061" s="274"/>
    </row>
    <row r="13062" spans="13:13" ht="15" customHeight="1" x14ac:dyDescent="0.25">
      <c r="M13062" s="274"/>
    </row>
    <row r="13063" spans="13:13" ht="15" customHeight="1" x14ac:dyDescent="0.25">
      <c r="M13063" s="274"/>
    </row>
    <row r="13064" spans="13:13" ht="15" customHeight="1" x14ac:dyDescent="0.25">
      <c r="M13064" s="274"/>
    </row>
    <row r="13065" spans="13:13" ht="15" customHeight="1" x14ac:dyDescent="0.25">
      <c r="M13065" s="274"/>
    </row>
    <row r="13066" spans="13:13" ht="15" customHeight="1" x14ac:dyDescent="0.25">
      <c r="M13066" s="274"/>
    </row>
    <row r="13067" spans="13:13" ht="15" customHeight="1" x14ac:dyDescent="0.25">
      <c r="M13067" s="274"/>
    </row>
    <row r="13068" spans="13:13" ht="15" customHeight="1" x14ac:dyDescent="0.25">
      <c r="M13068" s="274"/>
    </row>
    <row r="13069" spans="13:13" ht="15" customHeight="1" x14ac:dyDescent="0.25">
      <c r="M13069" s="274"/>
    </row>
    <row r="13070" spans="13:13" ht="15" customHeight="1" x14ac:dyDescent="0.25">
      <c r="M13070" s="274"/>
    </row>
    <row r="13071" spans="13:13" ht="15" customHeight="1" x14ac:dyDescent="0.25">
      <c r="M13071" s="274"/>
    </row>
    <row r="13072" spans="13:13" ht="15" customHeight="1" x14ac:dyDescent="0.25">
      <c r="M13072" s="274"/>
    </row>
    <row r="13073" spans="13:13" ht="15" customHeight="1" x14ac:dyDescent="0.25">
      <c r="M13073" s="274"/>
    </row>
    <row r="13074" spans="13:13" ht="15" customHeight="1" x14ac:dyDescent="0.25">
      <c r="M13074" s="274"/>
    </row>
    <row r="13075" spans="13:13" ht="15" customHeight="1" x14ac:dyDescent="0.25">
      <c r="M13075" s="274"/>
    </row>
    <row r="13076" spans="13:13" ht="15" customHeight="1" x14ac:dyDescent="0.25">
      <c r="M13076" s="274"/>
    </row>
    <row r="13077" spans="13:13" ht="15" customHeight="1" x14ac:dyDescent="0.25">
      <c r="M13077" s="274"/>
    </row>
    <row r="13078" spans="13:13" ht="15" customHeight="1" x14ac:dyDescent="0.25">
      <c r="M13078" s="274"/>
    </row>
    <row r="13079" spans="13:13" ht="15" customHeight="1" x14ac:dyDescent="0.25">
      <c r="M13079" s="274"/>
    </row>
    <row r="13080" spans="13:13" ht="15" customHeight="1" x14ac:dyDescent="0.25">
      <c r="M13080" s="274"/>
    </row>
    <row r="13081" spans="13:13" ht="15" customHeight="1" x14ac:dyDescent="0.25">
      <c r="M13081" s="274"/>
    </row>
    <row r="13082" spans="13:13" ht="15" customHeight="1" x14ac:dyDescent="0.25">
      <c r="M13082" s="274"/>
    </row>
    <row r="13083" spans="13:13" ht="15" customHeight="1" x14ac:dyDescent="0.25">
      <c r="M13083" s="274"/>
    </row>
    <row r="13084" spans="13:13" ht="15" customHeight="1" x14ac:dyDescent="0.25">
      <c r="M13084" s="274"/>
    </row>
    <row r="13085" spans="13:13" ht="15" customHeight="1" x14ac:dyDescent="0.25">
      <c r="M13085" s="274"/>
    </row>
    <row r="13086" spans="13:13" ht="15" customHeight="1" x14ac:dyDescent="0.25">
      <c r="M13086" s="274"/>
    </row>
    <row r="13087" spans="13:13" ht="15" customHeight="1" x14ac:dyDescent="0.25">
      <c r="M13087" s="274"/>
    </row>
    <row r="13088" spans="13:13" ht="15" customHeight="1" x14ac:dyDescent="0.25">
      <c r="M13088" s="274"/>
    </row>
    <row r="13089" spans="13:13" ht="15" customHeight="1" x14ac:dyDescent="0.25">
      <c r="M13089" s="274"/>
    </row>
    <row r="13090" spans="13:13" ht="15" customHeight="1" x14ac:dyDescent="0.25">
      <c r="M13090" s="274"/>
    </row>
    <row r="13091" spans="13:13" ht="15" customHeight="1" x14ac:dyDescent="0.25">
      <c r="M13091" s="274"/>
    </row>
    <row r="13092" spans="13:13" ht="15" customHeight="1" x14ac:dyDescent="0.25">
      <c r="M13092" s="274"/>
    </row>
    <row r="13093" spans="13:13" ht="15" customHeight="1" x14ac:dyDescent="0.25">
      <c r="M13093" s="274"/>
    </row>
    <row r="13094" spans="13:13" ht="15" customHeight="1" x14ac:dyDescent="0.25">
      <c r="M13094" s="274"/>
    </row>
    <row r="13095" spans="13:13" ht="15" customHeight="1" x14ac:dyDescent="0.25">
      <c r="M13095" s="274"/>
    </row>
    <row r="13096" spans="13:13" ht="15" customHeight="1" x14ac:dyDescent="0.25">
      <c r="M13096" s="274"/>
    </row>
    <row r="13097" spans="13:13" ht="15" customHeight="1" x14ac:dyDescent="0.25">
      <c r="M13097" s="274"/>
    </row>
    <row r="13098" spans="13:13" ht="15" customHeight="1" x14ac:dyDescent="0.25">
      <c r="M13098" s="274"/>
    </row>
    <row r="13099" spans="13:13" ht="15" customHeight="1" x14ac:dyDescent="0.25">
      <c r="M13099" s="274"/>
    </row>
    <row r="13100" spans="13:13" ht="15" customHeight="1" x14ac:dyDescent="0.25">
      <c r="M13100" s="274"/>
    </row>
    <row r="13101" spans="13:13" ht="15" customHeight="1" x14ac:dyDescent="0.25">
      <c r="M13101" s="274"/>
    </row>
    <row r="13102" spans="13:13" ht="15" customHeight="1" x14ac:dyDescent="0.25">
      <c r="M13102" s="274"/>
    </row>
    <row r="13103" spans="13:13" ht="15" customHeight="1" x14ac:dyDescent="0.25">
      <c r="M13103" s="274"/>
    </row>
    <row r="13104" spans="13:13" ht="15" customHeight="1" x14ac:dyDescent="0.25">
      <c r="M13104" s="274"/>
    </row>
    <row r="13105" spans="13:13" ht="15" customHeight="1" x14ac:dyDescent="0.25">
      <c r="M13105" s="274"/>
    </row>
    <row r="13106" spans="13:13" ht="15" customHeight="1" x14ac:dyDescent="0.25">
      <c r="M13106" s="274"/>
    </row>
    <row r="13107" spans="13:13" ht="15" customHeight="1" x14ac:dyDescent="0.25">
      <c r="M13107" s="274"/>
    </row>
    <row r="13108" spans="13:13" ht="15" customHeight="1" x14ac:dyDescent="0.25">
      <c r="M13108" s="274"/>
    </row>
    <row r="13109" spans="13:13" ht="15" customHeight="1" x14ac:dyDescent="0.25">
      <c r="M13109" s="274"/>
    </row>
    <row r="13110" spans="13:13" ht="15" customHeight="1" x14ac:dyDescent="0.25">
      <c r="M13110" s="274"/>
    </row>
    <row r="13111" spans="13:13" ht="15" customHeight="1" x14ac:dyDescent="0.25">
      <c r="M13111" s="274"/>
    </row>
    <row r="13112" spans="13:13" ht="15" customHeight="1" x14ac:dyDescent="0.25">
      <c r="M13112" s="274"/>
    </row>
    <row r="13113" spans="13:13" ht="15" customHeight="1" x14ac:dyDescent="0.25">
      <c r="M13113" s="274"/>
    </row>
    <row r="13114" spans="13:13" ht="15" customHeight="1" x14ac:dyDescent="0.25">
      <c r="M13114" s="274"/>
    </row>
    <row r="13115" spans="13:13" ht="15" customHeight="1" x14ac:dyDescent="0.25">
      <c r="M13115" s="274"/>
    </row>
    <row r="13116" spans="13:13" ht="15" customHeight="1" x14ac:dyDescent="0.25">
      <c r="M13116" s="274"/>
    </row>
    <row r="13117" spans="13:13" ht="15" customHeight="1" x14ac:dyDescent="0.25">
      <c r="M13117" s="274"/>
    </row>
    <row r="13118" spans="13:13" ht="15" customHeight="1" x14ac:dyDescent="0.25">
      <c r="M13118" s="274"/>
    </row>
    <row r="13119" spans="13:13" ht="15" customHeight="1" x14ac:dyDescent="0.25">
      <c r="M13119" s="274"/>
    </row>
    <row r="13120" spans="13:13" ht="15" customHeight="1" x14ac:dyDescent="0.25">
      <c r="M13120" s="274"/>
    </row>
    <row r="13121" spans="13:13" ht="15" customHeight="1" x14ac:dyDescent="0.25">
      <c r="M13121" s="274"/>
    </row>
    <row r="13122" spans="13:13" ht="15" customHeight="1" x14ac:dyDescent="0.25">
      <c r="M13122" s="274"/>
    </row>
    <row r="13123" spans="13:13" ht="15" customHeight="1" x14ac:dyDescent="0.25">
      <c r="M13123" s="274"/>
    </row>
    <row r="13124" spans="13:13" ht="15" customHeight="1" x14ac:dyDescent="0.25">
      <c r="M13124" s="274"/>
    </row>
    <row r="13125" spans="13:13" ht="15" customHeight="1" x14ac:dyDescent="0.25">
      <c r="M13125" s="274"/>
    </row>
    <row r="13126" spans="13:13" ht="15" customHeight="1" x14ac:dyDescent="0.25">
      <c r="M13126" s="274"/>
    </row>
    <row r="13127" spans="13:13" ht="15" customHeight="1" x14ac:dyDescent="0.25">
      <c r="M13127" s="274"/>
    </row>
    <row r="13128" spans="13:13" ht="15" customHeight="1" x14ac:dyDescent="0.25">
      <c r="M13128" s="274"/>
    </row>
    <row r="13129" spans="13:13" ht="15" customHeight="1" x14ac:dyDescent="0.25">
      <c r="M13129" s="274"/>
    </row>
    <row r="13130" spans="13:13" ht="15" customHeight="1" x14ac:dyDescent="0.25">
      <c r="M13130" s="274"/>
    </row>
    <row r="13131" spans="13:13" ht="15" customHeight="1" x14ac:dyDescent="0.25">
      <c r="M13131" s="274"/>
    </row>
    <row r="13132" spans="13:13" ht="15" customHeight="1" x14ac:dyDescent="0.25">
      <c r="M13132" s="274"/>
    </row>
    <row r="13133" spans="13:13" ht="15" customHeight="1" x14ac:dyDescent="0.25">
      <c r="M13133" s="274"/>
    </row>
    <row r="13134" spans="13:13" ht="15" customHeight="1" x14ac:dyDescent="0.25">
      <c r="M13134" s="274"/>
    </row>
    <row r="13135" spans="13:13" ht="15" customHeight="1" x14ac:dyDescent="0.25">
      <c r="M13135" s="274"/>
    </row>
    <row r="13136" spans="13:13" ht="15" customHeight="1" x14ac:dyDescent="0.25">
      <c r="M13136" s="274"/>
    </row>
    <row r="13137" spans="13:13" ht="15" customHeight="1" x14ac:dyDescent="0.25">
      <c r="M13137" s="274"/>
    </row>
    <row r="13138" spans="13:13" ht="15" customHeight="1" x14ac:dyDescent="0.25">
      <c r="M13138" s="274"/>
    </row>
    <row r="13139" spans="13:13" ht="15" customHeight="1" x14ac:dyDescent="0.25">
      <c r="M13139" s="274"/>
    </row>
    <row r="13140" spans="13:13" ht="15" customHeight="1" x14ac:dyDescent="0.25">
      <c r="M13140" s="274"/>
    </row>
    <row r="13141" spans="13:13" ht="15" customHeight="1" x14ac:dyDescent="0.25">
      <c r="M13141" s="274"/>
    </row>
    <row r="13142" spans="13:13" ht="15" customHeight="1" x14ac:dyDescent="0.25">
      <c r="M13142" s="274"/>
    </row>
    <row r="13143" spans="13:13" ht="15" customHeight="1" x14ac:dyDescent="0.25">
      <c r="M13143" s="274"/>
    </row>
    <row r="13144" spans="13:13" ht="15" customHeight="1" x14ac:dyDescent="0.25">
      <c r="M13144" s="274"/>
    </row>
    <row r="13145" spans="13:13" ht="15" customHeight="1" x14ac:dyDescent="0.25">
      <c r="M13145" s="274"/>
    </row>
    <row r="13146" spans="13:13" ht="15" customHeight="1" x14ac:dyDescent="0.25">
      <c r="M13146" s="274"/>
    </row>
    <row r="13147" spans="13:13" ht="15" customHeight="1" x14ac:dyDescent="0.25">
      <c r="M13147" s="274"/>
    </row>
    <row r="13148" spans="13:13" ht="15" customHeight="1" x14ac:dyDescent="0.25">
      <c r="M13148" s="274"/>
    </row>
    <row r="13149" spans="13:13" ht="15" customHeight="1" x14ac:dyDescent="0.25">
      <c r="M13149" s="274"/>
    </row>
    <row r="13150" spans="13:13" ht="15" customHeight="1" x14ac:dyDescent="0.25">
      <c r="M13150" s="274"/>
    </row>
    <row r="13151" spans="13:13" ht="15" customHeight="1" x14ac:dyDescent="0.25">
      <c r="M13151" s="274"/>
    </row>
    <row r="13152" spans="13:13" ht="15" customHeight="1" x14ac:dyDescent="0.25">
      <c r="M13152" s="274"/>
    </row>
    <row r="13153" spans="13:13" ht="15" customHeight="1" x14ac:dyDescent="0.25">
      <c r="M13153" s="274"/>
    </row>
    <row r="13154" spans="13:13" ht="15" customHeight="1" x14ac:dyDescent="0.25">
      <c r="M13154" s="274"/>
    </row>
    <row r="13155" spans="13:13" ht="15" customHeight="1" x14ac:dyDescent="0.25">
      <c r="M13155" s="274"/>
    </row>
    <row r="13156" spans="13:13" ht="15" customHeight="1" x14ac:dyDescent="0.25">
      <c r="M13156" s="274"/>
    </row>
    <row r="13157" spans="13:13" ht="15" customHeight="1" x14ac:dyDescent="0.25">
      <c r="M13157" s="274"/>
    </row>
    <row r="13158" spans="13:13" ht="15" customHeight="1" x14ac:dyDescent="0.25">
      <c r="M13158" s="274"/>
    </row>
    <row r="13159" spans="13:13" ht="15" customHeight="1" x14ac:dyDescent="0.25">
      <c r="M13159" s="274"/>
    </row>
    <row r="13160" spans="13:13" ht="15" customHeight="1" x14ac:dyDescent="0.25">
      <c r="M13160" s="274"/>
    </row>
    <row r="13161" spans="13:13" ht="15" customHeight="1" x14ac:dyDescent="0.25">
      <c r="M13161" s="274"/>
    </row>
    <row r="13162" spans="13:13" ht="15" customHeight="1" x14ac:dyDescent="0.25">
      <c r="M13162" s="274"/>
    </row>
    <row r="13163" spans="13:13" ht="15" customHeight="1" x14ac:dyDescent="0.25">
      <c r="M13163" s="274"/>
    </row>
    <row r="13164" spans="13:13" ht="15" customHeight="1" x14ac:dyDescent="0.25">
      <c r="M13164" s="274"/>
    </row>
    <row r="13165" spans="13:13" ht="15" customHeight="1" x14ac:dyDescent="0.25">
      <c r="M13165" s="274"/>
    </row>
    <row r="13166" spans="13:13" ht="15" customHeight="1" x14ac:dyDescent="0.25">
      <c r="M13166" s="274"/>
    </row>
    <row r="13167" spans="13:13" ht="15" customHeight="1" x14ac:dyDescent="0.25">
      <c r="M13167" s="274"/>
    </row>
    <row r="13168" spans="13:13" ht="15" customHeight="1" x14ac:dyDescent="0.25">
      <c r="M13168" s="274"/>
    </row>
    <row r="13169" spans="13:13" ht="15" customHeight="1" x14ac:dyDescent="0.25">
      <c r="M13169" s="274"/>
    </row>
    <row r="13170" spans="13:13" ht="15" customHeight="1" x14ac:dyDescent="0.25">
      <c r="M13170" s="274"/>
    </row>
    <row r="13171" spans="13:13" ht="15" customHeight="1" x14ac:dyDescent="0.25">
      <c r="M13171" s="274"/>
    </row>
    <row r="13172" spans="13:13" ht="15" customHeight="1" x14ac:dyDescent="0.25">
      <c r="M13172" s="274"/>
    </row>
    <row r="13173" spans="13:13" ht="15" customHeight="1" x14ac:dyDescent="0.25">
      <c r="M13173" s="274"/>
    </row>
    <row r="13174" spans="13:13" ht="15" customHeight="1" x14ac:dyDescent="0.25">
      <c r="M13174" s="274"/>
    </row>
    <row r="13175" spans="13:13" ht="15" customHeight="1" x14ac:dyDescent="0.25">
      <c r="M13175" s="274"/>
    </row>
    <row r="13176" spans="13:13" ht="15" customHeight="1" x14ac:dyDescent="0.25">
      <c r="M13176" s="274"/>
    </row>
    <row r="13177" spans="13:13" ht="15" customHeight="1" x14ac:dyDescent="0.25">
      <c r="M13177" s="274"/>
    </row>
    <row r="13178" spans="13:13" ht="15" customHeight="1" x14ac:dyDescent="0.25">
      <c r="M13178" s="274"/>
    </row>
    <row r="13179" spans="13:13" ht="15" customHeight="1" x14ac:dyDescent="0.25">
      <c r="M13179" s="274"/>
    </row>
    <row r="13180" spans="13:13" ht="15" customHeight="1" x14ac:dyDescent="0.25">
      <c r="M13180" s="274"/>
    </row>
    <row r="13181" spans="13:13" ht="15" customHeight="1" x14ac:dyDescent="0.25">
      <c r="M13181" s="274"/>
    </row>
    <row r="13182" spans="13:13" ht="15" customHeight="1" x14ac:dyDescent="0.25">
      <c r="M13182" s="274"/>
    </row>
    <row r="13183" spans="13:13" ht="15" customHeight="1" x14ac:dyDescent="0.25">
      <c r="M13183" s="274"/>
    </row>
    <row r="13184" spans="13:13" ht="15" customHeight="1" x14ac:dyDescent="0.25">
      <c r="M13184" s="274"/>
    </row>
    <row r="13185" spans="13:13" ht="15" customHeight="1" x14ac:dyDescent="0.25">
      <c r="M13185" s="274"/>
    </row>
    <row r="13186" spans="13:13" ht="15" customHeight="1" x14ac:dyDescent="0.25">
      <c r="M13186" s="274"/>
    </row>
    <row r="13187" spans="13:13" ht="15" customHeight="1" x14ac:dyDescent="0.25">
      <c r="M13187" s="274"/>
    </row>
    <row r="13188" spans="13:13" ht="15" customHeight="1" x14ac:dyDescent="0.25">
      <c r="M13188" s="274"/>
    </row>
    <row r="13189" spans="13:13" ht="15" customHeight="1" x14ac:dyDescent="0.25">
      <c r="M13189" s="274"/>
    </row>
    <row r="13190" spans="13:13" ht="15" customHeight="1" x14ac:dyDescent="0.25">
      <c r="M13190" s="274"/>
    </row>
    <row r="13191" spans="13:13" ht="15" customHeight="1" x14ac:dyDescent="0.25">
      <c r="M13191" s="274"/>
    </row>
    <row r="13192" spans="13:13" ht="15" customHeight="1" x14ac:dyDescent="0.25">
      <c r="M13192" s="274"/>
    </row>
    <row r="13193" spans="13:13" ht="15" customHeight="1" x14ac:dyDescent="0.25">
      <c r="M13193" s="274"/>
    </row>
    <row r="13194" spans="13:13" ht="15" customHeight="1" x14ac:dyDescent="0.25">
      <c r="M13194" s="274"/>
    </row>
    <row r="13195" spans="13:13" ht="15" customHeight="1" x14ac:dyDescent="0.25">
      <c r="M13195" s="274"/>
    </row>
    <row r="13196" spans="13:13" ht="15" customHeight="1" x14ac:dyDescent="0.25">
      <c r="M13196" s="274"/>
    </row>
    <row r="13197" spans="13:13" ht="15" customHeight="1" x14ac:dyDescent="0.25">
      <c r="M13197" s="274"/>
    </row>
    <row r="13198" spans="13:13" ht="15" customHeight="1" x14ac:dyDescent="0.25">
      <c r="M13198" s="274"/>
    </row>
    <row r="13199" spans="13:13" ht="15" customHeight="1" x14ac:dyDescent="0.25">
      <c r="M13199" s="274"/>
    </row>
    <row r="13200" spans="13:13" ht="15" customHeight="1" x14ac:dyDescent="0.25">
      <c r="M13200" s="274"/>
    </row>
    <row r="13201" spans="13:13" ht="15" customHeight="1" x14ac:dyDescent="0.25">
      <c r="M13201" s="274"/>
    </row>
    <row r="13202" spans="13:13" ht="15" customHeight="1" x14ac:dyDescent="0.25">
      <c r="M13202" s="274"/>
    </row>
    <row r="13203" spans="13:13" ht="15" customHeight="1" x14ac:dyDescent="0.25">
      <c r="M13203" s="274"/>
    </row>
    <row r="13204" spans="13:13" ht="15" customHeight="1" x14ac:dyDescent="0.25">
      <c r="M13204" s="274"/>
    </row>
    <row r="13205" spans="13:13" ht="15" customHeight="1" x14ac:dyDescent="0.25">
      <c r="M13205" s="274"/>
    </row>
    <row r="13206" spans="13:13" ht="15" customHeight="1" x14ac:dyDescent="0.25">
      <c r="M13206" s="274"/>
    </row>
    <row r="13207" spans="13:13" ht="15" customHeight="1" x14ac:dyDescent="0.25">
      <c r="M13207" s="274"/>
    </row>
    <row r="13208" spans="13:13" ht="15" customHeight="1" x14ac:dyDescent="0.25">
      <c r="M13208" s="274"/>
    </row>
    <row r="13209" spans="13:13" ht="15" customHeight="1" x14ac:dyDescent="0.25">
      <c r="M13209" s="274"/>
    </row>
    <row r="13210" spans="13:13" ht="15" customHeight="1" x14ac:dyDescent="0.25">
      <c r="M13210" s="274"/>
    </row>
    <row r="13211" spans="13:13" ht="15" customHeight="1" x14ac:dyDescent="0.25">
      <c r="M13211" s="274"/>
    </row>
    <row r="13212" spans="13:13" ht="15" customHeight="1" x14ac:dyDescent="0.25">
      <c r="M13212" s="274"/>
    </row>
    <row r="13213" spans="13:13" ht="15" customHeight="1" x14ac:dyDescent="0.25">
      <c r="M13213" s="274"/>
    </row>
    <row r="13214" spans="13:13" ht="15" customHeight="1" x14ac:dyDescent="0.25">
      <c r="M13214" s="274"/>
    </row>
    <row r="13215" spans="13:13" ht="15" customHeight="1" x14ac:dyDescent="0.25">
      <c r="M13215" s="274"/>
    </row>
    <row r="13216" spans="13:13" ht="15" customHeight="1" x14ac:dyDescent="0.25">
      <c r="M13216" s="274"/>
    </row>
    <row r="13217" spans="13:13" ht="15" customHeight="1" x14ac:dyDescent="0.25">
      <c r="M13217" s="274"/>
    </row>
    <row r="13218" spans="13:13" ht="15" customHeight="1" x14ac:dyDescent="0.25">
      <c r="M13218" s="274"/>
    </row>
    <row r="13219" spans="13:13" ht="15" customHeight="1" x14ac:dyDescent="0.25">
      <c r="M13219" s="274"/>
    </row>
    <row r="13220" spans="13:13" ht="15" customHeight="1" x14ac:dyDescent="0.25">
      <c r="M13220" s="274"/>
    </row>
    <row r="13221" spans="13:13" ht="15" customHeight="1" x14ac:dyDescent="0.25">
      <c r="M13221" s="274"/>
    </row>
    <row r="13222" spans="13:13" ht="15" customHeight="1" x14ac:dyDescent="0.25">
      <c r="M13222" s="274"/>
    </row>
    <row r="13223" spans="13:13" ht="15" customHeight="1" x14ac:dyDescent="0.25">
      <c r="M13223" s="274"/>
    </row>
    <row r="13224" spans="13:13" ht="15" customHeight="1" x14ac:dyDescent="0.25">
      <c r="M13224" s="274"/>
    </row>
    <row r="13225" spans="13:13" ht="15" customHeight="1" x14ac:dyDescent="0.25">
      <c r="M13225" s="274"/>
    </row>
    <row r="13226" spans="13:13" ht="15" customHeight="1" x14ac:dyDescent="0.25">
      <c r="M13226" s="274"/>
    </row>
    <row r="13227" spans="13:13" ht="15" customHeight="1" x14ac:dyDescent="0.25">
      <c r="M13227" s="274"/>
    </row>
    <row r="13228" spans="13:13" ht="15" customHeight="1" x14ac:dyDescent="0.25">
      <c r="M13228" s="274"/>
    </row>
    <row r="13229" spans="13:13" ht="15" customHeight="1" x14ac:dyDescent="0.25">
      <c r="M13229" s="274"/>
    </row>
    <row r="13230" spans="13:13" ht="15" customHeight="1" x14ac:dyDescent="0.25">
      <c r="M13230" s="274"/>
    </row>
    <row r="13231" spans="13:13" ht="15" customHeight="1" x14ac:dyDescent="0.25">
      <c r="M13231" s="274"/>
    </row>
    <row r="13232" spans="13:13" ht="15" customHeight="1" x14ac:dyDescent="0.25">
      <c r="M13232" s="274"/>
    </row>
    <row r="13233" spans="13:13" ht="15" customHeight="1" x14ac:dyDescent="0.25">
      <c r="M13233" s="274"/>
    </row>
    <row r="13234" spans="13:13" ht="15" customHeight="1" x14ac:dyDescent="0.25">
      <c r="M13234" s="274"/>
    </row>
    <row r="13235" spans="13:13" ht="15" customHeight="1" x14ac:dyDescent="0.25">
      <c r="M13235" s="274"/>
    </row>
    <row r="13236" spans="13:13" ht="15" customHeight="1" x14ac:dyDescent="0.25">
      <c r="M13236" s="274"/>
    </row>
    <row r="13237" spans="13:13" ht="15" customHeight="1" x14ac:dyDescent="0.25">
      <c r="M13237" s="274"/>
    </row>
    <row r="13238" spans="13:13" ht="15" customHeight="1" x14ac:dyDescent="0.25">
      <c r="M13238" s="274"/>
    </row>
    <row r="13239" spans="13:13" ht="15" customHeight="1" x14ac:dyDescent="0.25">
      <c r="M13239" s="274"/>
    </row>
    <row r="13240" spans="13:13" ht="15" customHeight="1" x14ac:dyDescent="0.25">
      <c r="M13240" s="274"/>
    </row>
    <row r="13241" spans="13:13" ht="15" customHeight="1" x14ac:dyDescent="0.25">
      <c r="M13241" s="274"/>
    </row>
    <row r="13242" spans="13:13" ht="15" customHeight="1" x14ac:dyDescent="0.25">
      <c r="M13242" s="274"/>
    </row>
    <row r="13243" spans="13:13" ht="15" customHeight="1" x14ac:dyDescent="0.25">
      <c r="M13243" s="274"/>
    </row>
    <row r="13244" spans="13:13" ht="15" customHeight="1" x14ac:dyDescent="0.25">
      <c r="M13244" s="274"/>
    </row>
    <row r="13245" spans="13:13" ht="15" customHeight="1" x14ac:dyDescent="0.25">
      <c r="M13245" s="274"/>
    </row>
    <row r="13246" spans="13:13" ht="15" customHeight="1" x14ac:dyDescent="0.25">
      <c r="M13246" s="274"/>
    </row>
    <row r="13247" spans="13:13" ht="15" customHeight="1" x14ac:dyDescent="0.25">
      <c r="M13247" s="274"/>
    </row>
    <row r="13248" spans="13:13" ht="15" customHeight="1" x14ac:dyDescent="0.25">
      <c r="M13248" s="274"/>
    </row>
    <row r="13249" spans="13:13" ht="15" customHeight="1" x14ac:dyDescent="0.25">
      <c r="M13249" s="274"/>
    </row>
    <row r="13250" spans="13:13" ht="15" customHeight="1" x14ac:dyDescent="0.25">
      <c r="M13250" s="274"/>
    </row>
    <row r="13251" spans="13:13" ht="15" customHeight="1" x14ac:dyDescent="0.25">
      <c r="M13251" s="274"/>
    </row>
    <row r="13252" spans="13:13" ht="15" customHeight="1" x14ac:dyDescent="0.25">
      <c r="M13252" s="274"/>
    </row>
    <row r="13253" spans="13:13" ht="15" customHeight="1" x14ac:dyDescent="0.25">
      <c r="M13253" s="274"/>
    </row>
    <row r="13254" spans="13:13" ht="15" customHeight="1" x14ac:dyDescent="0.25">
      <c r="M13254" s="274"/>
    </row>
    <row r="13255" spans="13:13" ht="15" customHeight="1" x14ac:dyDescent="0.25">
      <c r="M13255" s="274"/>
    </row>
    <row r="13256" spans="13:13" ht="15" customHeight="1" x14ac:dyDescent="0.25">
      <c r="M13256" s="274"/>
    </row>
    <row r="13257" spans="13:13" ht="15" customHeight="1" x14ac:dyDescent="0.25">
      <c r="M13257" s="274"/>
    </row>
    <row r="13258" spans="13:13" ht="15" customHeight="1" x14ac:dyDescent="0.25">
      <c r="M13258" s="274"/>
    </row>
    <row r="13259" spans="13:13" ht="15" customHeight="1" x14ac:dyDescent="0.25">
      <c r="M13259" s="274"/>
    </row>
    <row r="13260" spans="13:13" ht="15" customHeight="1" x14ac:dyDescent="0.25">
      <c r="M13260" s="274"/>
    </row>
    <row r="13261" spans="13:13" ht="15" customHeight="1" x14ac:dyDescent="0.25">
      <c r="M13261" s="274"/>
    </row>
    <row r="13262" spans="13:13" ht="15" customHeight="1" x14ac:dyDescent="0.25">
      <c r="M13262" s="274"/>
    </row>
    <row r="13263" spans="13:13" ht="15" customHeight="1" x14ac:dyDescent="0.25">
      <c r="M13263" s="274"/>
    </row>
    <row r="13264" spans="13:13" ht="15" customHeight="1" x14ac:dyDescent="0.25">
      <c r="M13264" s="274"/>
    </row>
    <row r="13265" spans="13:13" ht="15" customHeight="1" x14ac:dyDescent="0.25">
      <c r="M13265" s="274"/>
    </row>
    <row r="13266" spans="13:13" ht="15" customHeight="1" x14ac:dyDescent="0.25">
      <c r="M13266" s="274"/>
    </row>
    <row r="13267" spans="13:13" ht="15" customHeight="1" x14ac:dyDescent="0.25">
      <c r="M13267" s="274"/>
    </row>
    <row r="13268" spans="13:13" ht="15" customHeight="1" x14ac:dyDescent="0.25">
      <c r="M13268" s="274"/>
    </row>
    <row r="13269" spans="13:13" ht="15" customHeight="1" x14ac:dyDescent="0.25">
      <c r="M13269" s="274"/>
    </row>
    <row r="13270" spans="13:13" ht="15" customHeight="1" x14ac:dyDescent="0.25">
      <c r="M13270" s="274"/>
    </row>
    <row r="13271" spans="13:13" ht="15" customHeight="1" x14ac:dyDescent="0.25">
      <c r="M13271" s="274"/>
    </row>
    <row r="13272" spans="13:13" ht="15" customHeight="1" x14ac:dyDescent="0.25">
      <c r="M13272" s="274"/>
    </row>
    <row r="13273" spans="13:13" ht="15" customHeight="1" x14ac:dyDescent="0.25">
      <c r="M13273" s="274"/>
    </row>
    <row r="13274" spans="13:13" ht="15" customHeight="1" x14ac:dyDescent="0.25">
      <c r="M13274" s="274"/>
    </row>
    <row r="13275" spans="13:13" ht="15" customHeight="1" x14ac:dyDescent="0.25">
      <c r="M13275" s="274"/>
    </row>
    <row r="13276" spans="13:13" ht="15" customHeight="1" x14ac:dyDescent="0.25">
      <c r="M13276" s="274"/>
    </row>
    <row r="13277" spans="13:13" ht="15" customHeight="1" x14ac:dyDescent="0.25">
      <c r="M13277" s="274"/>
    </row>
    <row r="13278" spans="13:13" ht="15" customHeight="1" x14ac:dyDescent="0.25">
      <c r="M13278" s="274"/>
    </row>
    <row r="13279" spans="13:13" ht="15" customHeight="1" x14ac:dyDescent="0.25">
      <c r="M13279" s="274"/>
    </row>
    <row r="13280" spans="13:13" ht="15" customHeight="1" x14ac:dyDescent="0.25">
      <c r="M13280" s="274"/>
    </row>
    <row r="13281" spans="13:13" ht="15" customHeight="1" x14ac:dyDescent="0.25">
      <c r="M13281" s="274"/>
    </row>
    <row r="13282" spans="13:13" ht="15" customHeight="1" x14ac:dyDescent="0.25">
      <c r="M13282" s="274"/>
    </row>
    <row r="13283" spans="13:13" ht="15" customHeight="1" x14ac:dyDescent="0.25">
      <c r="M13283" s="274"/>
    </row>
    <row r="13284" spans="13:13" ht="15" customHeight="1" x14ac:dyDescent="0.25">
      <c r="M13284" s="274"/>
    </row>
    <row r="13285" spans="13:13" ht="15" customHeight="1" x14ac:dyDescent="0.25">
      <c r="M13285" s="274"/>
    </row>
    <row r="13286" spans="13:13" ht="15" customHeight="1" x14ac:dyDescent="0.25">
      <c r="M13286" s="274"/>
    </row>
    <row r="13287" spans="13:13" ht="15" customHeight="1" x14ac:dyDescent="0.25">
      <c r="M13287" s="274"/>
    </row>
    <row r="13288" spans="13:13" ht="15" customHeight="1" x14ac:dyDescent="0.25">
      <c r="M13288" s="274"/>
    </row>
    <row r="13289" spans="13:13" ht="15" customHeight="1" x14ac:dyDescent="0.25">
      <c r="M13289" s="274"/>
    </row>
    <row r="13290" spans="13:13" ht="15" customHeight="1" x14ac:dyDescent="0.25">
      <c r="M13290" s="274"/>
    </row>
    <row r="13291" spans="13:13" ht="15" customHeight="1" x14ac:dyDescent="0.25">
      <c r="M13291" s="274"/>
    </row>
    <row r="13292" spans="13:13" ht="15" customHeight="1" x14ac:dyDescent="0.25">
      <c r="M13292" s="274"/>
    </row>
    <row r="13293" spans="13:13" ht="15" customHeight="1" x14ac:dyDescent="0.25">
      <c r="M13293" s="274"/>
    </row>
    <row r="13294" spans="13:13" ht="15" customHeight="1" x14ac:dyDescent="0.25">
      <c r="M13294" s="274"/>
    </row>
    <row r="13295" spans="13:13" ht="15" customHeight="1" x14ac:dyDescent="0.25">
      <c r="M13295" s="274"/>
    </row>
    <row r="13296" spans="13:13" ht="15" customHeight="1" x14ac:dyDescent="0.25">
      <c r="M13296" s="274"/>
    </row>
    <row r="13297" spans="13:13" ht="15" customHeight="1" x14ac:dyDescent="0.25">
      <c r="M13297" s="274"/>
    </row>
    <row r="13298" spans="13:13" ht="15" customHeight="1" x14ac:dyDescent="0.25">
      <c r="M13298" s="274"/>
    </row>
    <row r="13299" spans="13:13" ht="15" customHeight="1" x14ac:dyDescent="0.25">
      <c r="M13299" s="274"/>
    </row>
    <row r="13300" spans="13:13" ht="15" customHeight="1" x14ac:dyDescent="0.25">
      <c r="M13300" s="274"/>
    </row>
    <row r="13301" spans="13:13" ht="15" customHeight="1" x14ac:dyDescent="0.25">
      <c r="M13301" s="274"/>
    </row>
    <row r="13302" spans="13:13" ht="15" customHeight="1" x14ac:dyDescent="0.25">
      <c r="M13302" s="274"/>
    </row>
    <row r="13303" spans="13:13" ht="15" customHeight="1" x14ac:dyDescent="0.25">
      <c r="M13303" s="274"/>
    </row>
    <row r="13304" spans="13:13" ht="15" customHeight="1" x14ac:dyDescent="0.25">
      <c r="M13304" s="274"/>
    </row>
    <row r="13305" spans="13:13" ht="15" customHeight="1" x14ac:dyDescent="0.25">
      <c r="M13305" s="274"/>
    </row>
    <row r="13306" spans="13:13" ht="15" customHeight="1" x14ac:dyDescent="0.25">
      <c r="M13306" s="274"/>
    </row>
    <row r="13307" spans="13:13" ht="15" customHeight="1" x14ac:dyDescent="0.25">
      <c r="M13307" s="274"/>
    </row>
    <row r="13308" spans="13:13" ht="15" customHeight="1" x14ac:dyDescent="0.25">
      <c r="M13308" s="274"/>
    </row>
    <row r="13309" spans="13:13" ht="15" customHeight="1" x14ac:dyDescent="0.25">
      <c r="M13309" s="274"/>
    </row>
    <row r="13310" spans="13:13" ht="15" customHeight="1" x14ac:dyDescent="0.25">
      <c r="M13310" s="274"/>
    </row>
    <row r="13311" spans="13:13" ht="15" customHeight="1" x14ac:dyDescent="0.25">
      <c r="M13311" s="274"/>
    </row>
    <row r="13312" spans="13:13" ht="15" customHeight="1" x14ac:dyDescent="0.25">
      <c r="M13312" s="274"/>
    </row>
    <row r="13313" spans="13:13" ht="15" customHeight="1" x14ac:dyDescent="0.25">
      <c r="M13313" s="274"/>
    </row>
    <row r="13314" spans="13:13" ht="15" customHeight="1" x14ac:dyDescent="0.25">
      <c r="M13314" s="274"/>
    </row>
    <row r="13315" spans="13:13" ht="15" customHeight="1" x14ac:dyDescent="0.25">
      <c r="M13315" s="274"/>
    </row>
    <row r="13316" spans="13:13" ht="15" customHeight="1" x14ac:dyDescent="0.25">
      <c r="M13316" s="274"/>
    </row>
    <row r="13317" spans="13:13" ht="15" customHeight="1" x14ac:dyDescent="0.25">
      <c r="M13317" s="274"/>
    </row>
    <row r="13318" spans="13:13" ht="15" customHeight="1" x14ac:dyDescent="0.25">
      <c r="M13318" s="274"/>
    </row>
    <row r="13319" spans="13:13" ht="15" customHeight="1" x14ac:dyDescent="0.25">
      <c r="M13319" s="274"/>
    </row>
    <row r="13320" spans="13:13" ht="15" customHeight="1" x14ac:dyDescent="0.25">
      <c r="M13320" s="274"/>
    </row>
    <row r="13321" spans="13:13" ht="15" customHeight="1" x14ac:dyDescent="0.25">
      <c r="M13321" s="274"/>
    </row>
    <row r="13322" spans="13:13" ht="15" customHeight="1" x14ac:dyDescent="0.25">
      <c r="M13322" s="274"/>
    </row>
    <row r="13323" spans="13:13" ht="15" customHeight="1" x14ac:dyDescent="0.25">
      <c r="M13323" s="274"/>
    </row>
    <row r="13324" spans="13:13" ht="15" customHeight="1" x14ac:dyDescent="0.25">
      <c r="M13324" s="274"/>
    </row>
    <row r="13325" spans="13:13" ht="15" customHeight="1" x14ac:dyDescent="0.25">
      <c r="M13325" s="274"/>
    </row>
    <row r="13326" spans="13:13" ht="15" customHeight="1" x14ac:dyDescent="0.25">
      <c r="M13326" s="274"/>
    </row>
    <row r="13327" spans="13:13" ht="15" customHeight="1" x14ac:dyDescent="0.25">
      <c r="M13327" s="274"/>
    </row>
    <row r="13328" spans="13:13" ht="15" customHeight="1" x14ac:dyDescent="0.25">
      <c r="M13328" s="274"/>
    </row>
    <row r="13329" spans="13:13" ht="15" customHeight="1" x14ac:dyDescent="0.25">
      <c r="M13329" s="274"/>
    </row>
    <row r="13330" spans="13:13" ht="15" customHeight="1" x14ac:dyDescent="0.25">
      <c r="M13330" s="274"/>
    </row>
    <row r="13331" spans="13:13" ht="15" customHeight="1" x14ac:dyDescent="0.25">
      <c r="M13331" s="274"/>
    </row>
    <row r="13332" spans="13:13" ht="15" customHeight="1" x14ac:dyDescent="0.25">
      <c r="M13332" s="274"/>
    </row>
    <row r="13333" spans="13:13" ht="15" customHeight="1" x14ac:dyDescent="0.25">
      <c r="M13333" s="274"/>
    </row>
    <row r="13334" spans="13:13" ht="15" customHeight="1" x14ac:dyDescent="0.25">
      <c r="M13334" s="274"/>
    </row>
    <row r="13335" spans="13:13" ht="15" customHeight="1" x14ac:dyDescent="0.25">
      <c r="M13335" s="274"/>
    </row>
    <row r="13336" spans="13:13" ht="15" customHeight="1" x14ac:dyDescent="0.25">
      <c r="M13336" s="274"/>
    </row>
    <row r="13337" spans="13:13" ht="15" customHeight="1" x14ac:dyDescent="0.25">
      <c r="M13337" s="274"/>
    </row>
    <row r="13338" spans="13:13" ht="15" customHeight="1" x14ac:dyDescent="0.25">
      <c r="M13338" s="274"/>
    </row>
    <row r="13339" spans="13:13" ht="15" customHeight="1" x14ac:dyDescent="0.25">
      <c r="M13339" s="274"/>
    </row>
    <row r="13340" spans="13:13" ht="15" customHeight="1" x14ac:dyDescent="0.25">
      <c r="M13340" s="274"/>
    </row>
    <row r="13341" spans="13:13" ht="15" customHeight="1" x14ac:dyDescent="0.25">
      <c r="M13341" s="274"/>
    </row>
    <row r="13342" spans="13:13" ht="15" customHeight="1" x14ac:dyDescent="0.25">
      <c r="M13342" s="274"/>
    </row>
    <row r="13343" spans="13:13" ht="15" customHeight="1" x14ac:dyDescent="0.25">
      <c r="M13343" s="274"/>
    </row>
    <row r="13344" spans="13:13" ht="15" customHeight="1" x14ac:dyDescent="0.25">
      <c r="M13344" s="274"/>
    </row>
    <row r="13345" spans="13:13" ht="15" customHeight="1" x14ac:dyDescent="0.25">
      <c r="M13345" s="274"/>
    </row>
    <row r="13346" spans="13:13" ht="15" customHeight="1" x14ac:dyDescent="0.25">
      <c r="M13346" s="274"/>
    </row>
    <row r="13347" spans="13:13" ht="15" customHeight="1" x14ac:dyDescent="0.25">
      <c r="M13347" s="274"/>
    </row>
    <row r="13348" spans="13:13" ht="15" customHeight="1" x14ac:dyDescent="0.25">
      <c r="M13348" s="274"/>
    </row>
    <row r="13349" spans="13:13" ht="15" customHeight="1" x14ac:dyDescent="0.25">
      <c r="M13349" s="274"/>
    </row>
    <row r="13350" spans="13:13" ht="15" customHeight="1" x14ac:dyDescent="0.25">
      <c r="M13350" s="274"/>
    </row>
    <row r="13351" spans="13:13" ht="15" customHeight="1" x14ac:dyDescent="0.25">
      <c r="M13351" s="274"/>
    </row>
    <row r="13352" spans="13:13" ht="15" customHeight="1" x14ac:dyDescent="0.25">
      <c r="M13352" s="274"/>
    </row>
    <row r="13353" spans="13:13" ht="15" customHeight="1" x14ac:dyDescent="0.25">
      <c r="M13353" s="274"/>
    </row>
    <row r="13354" spans="13:13" ht="15" customHeight="1" x14ac:dyDescent="0.25">
      <c r="M13354" s="274"/>
    </row>
    <row r="13355" spans="13:13" ht="15" customHeight="1" x14ac:dyDescent="0.25">
      <c r="M13355" s="274"/>
    </row>
    <row r="13356" spans="13:13" ht="15" customHeight="1" x14ac:dyDescent="0.25">
      <c r="M13356" s="274"/>
    </row>
    <row r="13357" spans="13:13" ht="15" customHeight="1" x14ac:dyDescent="0.25">
      <c r="M13357" s="274"/>
    </row>
    <row r="13358" spans="13:13" ht="15" customHeight="1" x14ac:dyDescent="0.25">
      <c r="M13358" s="274"/>
    </row>
    <row r="13359" spans="13:13" ht="15" customHeight="1" x14ac:dyDescent="0.25">
      <c r="M13359" s="274"/>
    </row>
    <row r="13360" spans="13:13" ht="15" customHeight="1" x14ac:dyDescent="0.25">
      <c r="M13360" s="274"/>
    </row>
    <row r="13361" spans="13:13" ht="15" customHeight="1" x14ac:dyDescent="0.25">
      <c r="M13361" s="274"/>
    </row>
    <row r="13362" spans="13:13" ht="15" customHeight="1" x14ac:dyDescent="0.25">
      <c r="M13362" s="274"/>
    </row>
    <row r="13363" spans="13:13" ht="15" customHeight="1" x14ac:dyDescent="0.25">
      <c r="M13363" s="274"/>
    </row>
    <row r="13364" spans="13:13" ht="15" customHeight="1" x14ac:dyDescent="0.25">
      <c r="M13364" s="274"/>
    </row>
    <row r="13365" spans="13:13" ht="15" customHeight="1" x14ac:dyDescent="0.25">
      <c r="M13365" s="274"/>
    </row>
    <row r="13366" spans="13:13" ht="15" customHeight="1" x14ac:dyDescent="0.25">
      <c r="M13366" s="274"/>
    </row>
    <row r="13367" spans="13:13" ht="15" customHeight="1" x14ac:dyDescent="0.25">
      <c r="M13367" s="274"/>
    </row>
    <row r="13368" spans="13:13" ht="15" customHeight="1" x14ac:dyDescent="0.25">
      <c r="M13368" s="274"/>
    </row>
    <row r="13369" spans="13:13" ht="15" customHeight="1" x14ac:dyDescent="0.25">
      <c r="M13369" s="274"/>
    </row>
    <row r="13370" spans="13:13" ht="15" customHeight="1" x14ac:dyDescent="0.25">
      <c r="M13370" s="274"/>
    </row>
    <row r="13371" spans="13:13" ht="15" customHeight="1" x14ac:dyDescent="0.25">
      <c r="M13371" s="274"/>
    </row>
    <row r="13372" spans="13:13" ht="15" customHeight="1" x14ac:dyDescent="0.25">
      <c r="M13372" s="274"/>
    </row>
    <row r="13373" spans="13:13" ht="15" customHeight="1" x14ac:dyDescent="0.25">
      <c r="M13373" s="274"/>
    </row>
    <row r="13374" spans="13:13" ht="15" customHeight="1" x14ac:dyDescent="0.25">
      <c r="M13374" s="274"/>
    </row>
    <row r="13375" spans="13:13" ht="15" customHeight="1" x14ac:dyDescent="0.25">
      <c r="M13375" s="274"/>
    </row>
    <row r="13376" spans="13:13" ht="15" customHeight="1" x14ac:dyDescent="0.25">
      <c r="M13376" s="274"/>
    </row>
    <row r="13377" spans="13:13" ht="15" customHeight="1" x14ac:dyDescent="0.25">
      <c r="M13377" s="274"/>
    </row>
    <row r="13378" spans="13:13" ht="15" customHeight="1" x14ac:dyDescent="0.25">
      <c r="M13378" s="274"/>
    </row>
    <row r="13379" spans="13:13" ht="15" customHeight="1" x14ac:dyDescent="0.25">
      <c r="M13379" s="274"/>
    </row>
    <row r="13380" spans="13:13" ht="15" customHeight="1" x14ac:dyDescent="0.25">
      <c r="M13380" s="274"/>
    </row>
    <row r="13381" spans="13:13" ht="15" customHeight="1" x14ac:dyDescent="0.25">
      <c r="M13381" s="274"/>
    </row>
    <row r="13382" spans="13:13" ht="15" customHeight="1" x14ac:dyDescent="0.25">
      <c r="M13382" s="274"/>
    </row>
    <row r="13383" spans="13:13" ht="15" customHeight="1" x14ac:dyDescent="0.25">
      <c r="M13383" s="274"/>
    </row>
    <row r="13384" spans="13:13" ht="15" customHeight="1" x14ac:dyDescent="0.25">
      <c r="M13384" s="274"/>
    </row>
    <row r="13385" spans="13:13" ht="15" customHeight="1" x14ac:dyDescent="0.25">
      <c r="M13385" s="274"/>
    </row>
    <row r="13386" spans="13:13" ht="15" customHeight="1" x14ac:dyDescent="0.25">
      <c r="M13386" s="274"/>
    </row>
    <row r="13387" spans="13:13" ht="15" customHeight="1" x14ac:dyDescent="0.25">
      <c r="M13387" s="274"/>
    </row>
    <row r="13388" spans="13:13" ht="15" customHeight="1" x14ac:dyDescent="0.25">
      <c r="M13388" s="274"/>
    </row>
    <row r="13389" spans="13:13" ht="15" customHeight="1" x14ac:dyDescent="0.25">
      <c r="M13389" s="274"/>
    </row>
    <row r="13390" spans="13:13" ht="15" customHeight="1" x14ac:dyDescent="0.25">
      <c r="M13390" s="274"/>
    </row>
    <row r="13391" spans="13:13" ht="15" customHeight="1" x14ac:dyDescent="0.25">
      <c r="M13391" s="274"/>
    </row>
    <row r="13392" spans="13:13" ht="15" customHeight="1" x14ac:dyDescent="0.25">
      <c r="M13392" s="274"/>
    </row>
    <row r="13393" spans="13:13" ht="15" customHeight="1" x14ac:dyDescent="0.25">
      <c r="M13393" s="274"/>
    </row>
    <row r="13394" spans="13:13" ht="15" customHeight="1" x14ac:dyDescent="0.25">
      <c r="M13394" s="274"/>
    </row>
    <row r="13395" spans="13:13" ht="15" customHeight="1" x14ac:dyDescent="0.25">
      <c r="M13395" s="274"/>
    </row>
    <row r="13396" spans="13:13" ht="15" customHeight="1" x14ac:dyDescent="0.25">
      <c r="M13396" s="274"/>
    </row>
    <row r="13397" spans="13:13" ht="15" customHeight="1" x14ac:dyDescent="0.25">
      <c r="M13397" s="274"/>
    </row>
    <row r="13398" spans="13:13" ht="15" customHeight="1" x14ac:dyDescent="0.25">
      <c r="M13398" s="274"/>
    </row>
    <row r="13399" spans="13:13" ht="15" customHeight="1" x14ac:dyDescent="0.25">
      <c r="M13399" s="274"/>
    </row>
    <row r="13400" spans="13:13" ht="15" customHeight="1" x14ac:dyDescent="0.25">
      <c r="M13400" s="274"/>
    </row>
    <row r="13401" spans="13:13" ht="15" customHeight="1" x14ac:dyDescent="0.25">
      <c r="M13401" s="274"/>
    </row>
    <row r="13402" spans="13:13" ht="15" customHeight="1" x14ac:dyDescent="0.25">
      <c r="M13402" s="274"/>
    </row>
    <row r="13403" spans="13:13" ht="15" customHeight="1" x14ac:dyDescent="0.25">
      <c r="M13403" s="274"/>
    </row>
    <row r="13404" spans="13:13" ht="15" customHeight="1" x14ac:dyDescent="0.25">
      <c r="M13404" s="274"/>
    </row>
    <row r="13405" spans="13:13" ht="15" customHeight="1" x14ac:dyDescent="0.25">
      <c r="M13405" s="274"/>
    </row>
    <row r="13406" spans="13:13" ht="15" customHeight="1" x14ac:dyDescent="0.25">
      <c r="M13406" s="274"/>
    </row>
    <row r="13407" spans="13:13" ht="15" customHeight="1" x14ac:dyDescent="0.25">
      <c r="M13407" s="274"/>
    </row>
    <row r="13408" spans="13:13" ht="15" customHeight="1" x14ac:dyDescent="0.25">
      <c r="M13408" s="274"/>
    </row>
    <row r="13409" spans="13:13" ht="15" customHeight="1" x14ac:dyDescent="0.25">
      <c r="M13409" s="274"/>
    </row>
    <row r="13410" spans="13:13" ht="15" customHeight="1" x14ac:dyDescent="0.25">
      <c r="M13410" s="274"/>
    </row>
    <row r="13411" spans="13:13" ht="15" customHeight="1" x14ac:dyDescent="0.25">
      <c r="M13411" s="274"/>
    </row>
    <row r="13412" spans="13:13" ht="15" customHeight="1" x14ac:dyDescent="0.25">
      <c r="M13412" s="274"/>
    </row>
    <row r="13413" spans="13:13" ht="15" customHeight="1" x14ac:dyDescent="0.25">
      <c r="M13413" s="274"/>
    </row>
    <row r="13414" spans="13:13" ht="15" customHeight="1" x14ac:dyDescent="0.25">
      <c r="M13414" s="274"/>
    </row>
    <row r="13415" spans="13:13" ht="15" customHeight="1" x14ac:dyDescent="0.25">
      <c r="M13415" s="274"/>
    </row>
    <row r="13416" spans="13:13" ht="15" customHeight="1" x14ac:dyDescent="0.25">
      <c r="M13416" s="274"/>
    </row>
    <row r="13417" spans="13:13" ht="15" customHeight="1" x14ac:dyDescent="0.25">
      <c r="M13417" s="274"/>
    </row>
    <row r="13418" spans="13:13" ht="15" customHeight="1" x14ac:dyDescent="0.25">
      <c r="M13418" s="274"/>
    </row>
    <row r="13419" spans="13:13" ht="15" customHeight="1" x14ac:dyDescent="0.25">
      <c r="M13419" s="274"/>
    </row>
    <row r="13420" spans="13:13" ht="15" customHeight="1" x14ac:dyDescent="0.25">
      <c r="M13420" s="274"/>
    </row>
    <row r="13421" spans="13:13" ht="15" customHeight="1" x14ac:dyDescent="0.25">
      <c r="M13421" s="274"/>
    </row>
    <row r="13422" spans="13:13" ht="15" customHeight="1" x14ac:dyDescent="0.25">
      <c r="M13422" s="274"/>
    </row>
    <row r="13423" spans="13:13" ht="15" customHeight="1" x14ac:dyDescent="0.25">
      <c r="M13423" s="274"/>
    </row>
    <row r="13424" spans="13:13" ht="15" customHeight="1" x14ac:dyDescent="0.25">
      <c r="M13424" s="274"/>
    </row>
    <row r="13425" spans="13:13" ht="15" customHeight="1" x14ac:dyDescent="0.25">
      <c r="M13425" s="274"/>
    </row>
    <row r="13426" spans="13:13" ht="15" customHeight="1" x14ac:dyDescent="0.25">
      <c r="M13426" s="274"/>
    </row>
    <row r="13427" spans="13:13" ht="15" customHeight="1" x14ac:dyDescent="0.25">
      <c r="M13427" s="274"/>
    </row>
    <row r="13428" spans="13:13" ht="15" customHeight="1" x14ac:dyDescent="0.25">
      <c r="M13428" s="274"/>
    </row>
    <row r="13429" spans="13:13" ht="15" customHeight="1" x14ac:dyDescent="0.25">
      <c r="M13429" s="274"/>
    </row>
    <row r="13430" spans="13:13" ht="15" customHeight="1" x14ac:dyDescent="0.25">
      <c r="M13430" s="274"/>
    </row>
    <row r="13431" spans="13:13" ht="15" customHeight="1" x14ac:dyDescent="0.25">
      <c r="M13431" s="274"/>
    </row>
    <row r="13432" spans="13:13" ht="15" customHeight="1" x14ac:dyDescent="0.25">
      <c r="M13432" s="274"/>
    </row>
    <row r="13433" spans="13:13" ht="15" customHeight="1" x14ac:dyDescent="0.25">
      <c r="M13433" s="274"/>
    </row>
    <row r="13434" spans="13:13" ht="15" customHeight="1" x14ac:dyDescent="0.25">
      <c r="M13434" s="274"/>
    </row>
    <row r="13435" spans="13:13" ht="15" customHeight="1" x14ac:dyDescent="0.25">
      <c r="M13435" s="274"/>
    </row>
    <row r="13436" spans="13:13" ht="15" customHeight="1" x14ac:dyDescent="0.25">
      <c r="M13436" s="274"/>
    </row>
    <row r="13437" spans="13:13" ht="15" customHeight="1" x14ac:dyDescent="0.25">
      <c r="M13437" s="274"/>
    </row>
    <row r="13438" spans="13:13" ht="15" customHeight="1" x14ac:dyDescent="0.25">
      <c r="M13438" s="274"/>
    </row>
    <row r="13439" spans="13:13" ht="15" customHeight="1" x14ac:dyDescent="0.25">
      <c r="M13439" s="274"/>
    </row>
    <row r="13440" spans="13:13" ht="15" customHeight="1" x14ac:dyDescent="0.25">
      <c r="M13440" s="274"/>
    </row>
    <row r="13441" spans="13:13" ht="15" customHeight="1" x14ac:dyDescent="0.25">
      <c r="M13441" s="274"/>
    </row>
    <row r="13442" spans="13:13" ht="15" customHeight="1" x14ac:dyDescent="0.25">
      <c r="M13442" s="274"/>
    </row>
    <row r="13443" spans="13:13" ht="15" customHeight="1" x14ac:dyDescent="0.25">
      <c r="M13443" s="274"/>
    </row>
    <row r="13444" spans="13:13" ht="15" customHeight="1" x14ac:dyDescent="0.25">
      <c r="M13444" s="274"/>
    </row>
    <row r="13445" spans="13:13" ht="15" customHeight="1" x14ac:dyDescent="0.25">
      <c r="M13445" s="274"/>
    </row>
    <row r="13446" spans="13:13" ht="15" customHeight="1" x14ac:dyDescent="0.25">
      <c r="M13446" s="274"/>
    </row>
    <row r="13447" spans="13:13" ht="15" customHeight="1" x14ac:dyDescent="0.25">
      <c r="M13447" s="274"/>
    </row>
    <row r="13448" spans="13:13" ht="15" customHeight="1" x14ac:dyDescent="0.25">
      <c r="M13448" s="274"/>
    </row>
    <row r="13449" spans="13:13" ht="15" customHeight="1" x14ac:dyDescent="0.25">
      <c r="M13449" s="274"/>
    </row>
    <row r="13450" spans="13:13" ht="15" customHeight="1" x14ac:dyDescent="0.25">
      <c r="M13450" s="274"/>
    </row>
    <row r="13451" spans="13:13" ht="15" customHeight="1" x14ac:dyDescent="0.25">
      <c r="M13451" s="274"/>
    </row>
    <row r="13452" spans="13:13" ht="15" customHeight="1" x14ac:dyDescent="0.25">
      <c r="M13452" s="274"/>
    </row>
    <row r="13453" spans="13:13" ht="15" customHeight="1" x14ac:dyDescent="0.25">
      <c r="M13453" s="274"/>
    </row>
    <row r="13454" spans="13:13" ht="15" customHeight="1" x14ac:dyDescent="0.25">
      <c r="M13454" s="274"/>
    </row>
    <row r="13455" spans="13:13" ht="15" customHeight="1" x14ac:dyDescent="0.25">
      <c r="M13455" s="274"/>
    </row>
    <row r="13456" spans="13:13" ht="15" customHeight="1" x14ac:dyDescent="0.25">
      <c r="M13456" s="274"/>
    </row>
    <row r="13457" spans="13:13" ht="15" customHeight="1" x14ac:dyDescent="0.25">
      <c r="M13457" s="274"/>
    </row>
    <row r="13458" spans="13:13" ht="15" customHeight="1" x14ac:dyDescent="0.25">
      <c r="M13458" s="274"/>
    </row>
    <row r="13459" spans="13:13" ht="15" customHeight="1" x14ac:dyDescent="0.25">
      <c r="M13459" s="274"/>
    </row>
    <row r="13460" spans="13:13" ht="15" customHeight="1" x14ac:dyDescent="0.25">
      <c r="M13460" s="274"/>
    </row>
    <row r="13461" spans="13:13" ht="15" customHeight="1" x14ac:dyDescent="0.25">
      <c r="M13461" s="274"/>
    </row>
    <row r="13462" spans="13:13" ht="15" customHeight="1" x14ac:dyDescent="0.25">
      <c r="M13462" s="274"/>
    </row>
    <row r="13463" spans="13:13" ht="15" customHeight="1" x14ac:dyDescent="0.25">
      <c r="M13463" s="274"/>
    </row>
    <row r="13464" spans="13:13" ht="15" customHeight="1" x14ac:dyDescent="0.25">
      <c r="M13464" s="274"/>
    </row>
    <row r="13465" spans="13:13" ht="15" customHeight="1" x14ac:dyDescent="0.25">
      <c r="M13465" s="274"/>
    </row>
    <row r="13466" spans="13:13" ht="15" customHeight="1" x14ac:dyDescent="0.25">
      <c r="M13466" s="274"/>
    </row>
    <row r="13467" spans="13:13" ht="15" customHeight="1" x14ac:dyDescent="0.25">
      <c r="M13467" s="274"/>
    </row>
    <row r="13468" spans="13:13" ht="15" customHeight="1" x14ac:dyDescent="0.25">
      <c r="M13468" s="274"/>
    </row>
    <row r="13469" spans="13:13" ht="15" customHeight="1" x14ac:dyDescent="0.25">
      <c r="M13469" s="274"/>
    </row>
    <row r="13470" spans="13:13" ht="15" customHeight="1" x14ac:dyDescent="0.25">
      <c r="M13470" s="274"/>
    </row>
    <row r="13471" spans="13:13" ht="15" customHeight="1" x14ac:dyDescent="0.25">
      <c r="M13471" s="274"/>
    </row>
    <row r="13472" spans="13:13" ht="15" customHeight="1" x14ac:dyDescent="0.25">
      <c r="M13472" s="274"/>
    </row>
    <row r="13473" spans="13:13" ht="15" customHeight="1" x14ac:dyDescent="0.25">
      <c r="M13473" s="274"/>
    </row>
    <row r="13474" spans="13:13" ht="15" customHeight="1" x14ac:dyDescent="0.25">
      <c r="M13474" s="274"/>
    </row>
    <row r="13475" spans="13:13" ht="15" customHeight="1" x14ac:dyDescent="0.25">
      <c r="M13475" s="274"/>
    </row>
    <row r="13476" spans="13:13" ht="15" customHeight="1" x14ac:dyDescent="0.25">
      <c r="M13476" s="274"/>
    </row>
    <row r="13477" spans="13:13" ht="15" customHeight="1" x14ac:dyDescent="0.25">
      <c r="M13477" s="274"/>
    </row>
    <row r="13478" spans="13:13" ht="15" customHeight="1" x14ac:dyDescent="0.25">
      <c r="M13478" s="274"/>
    </row>
    <row r="13479" spans="13:13" ht="15" customHeight="1" x14ac:dyDescent="0.25">
      <c r="M13479" s="274"/>
    </row>
    <row r="13480" spans="13:13" ht="15" customHeight="1" x14ac:dyDescent="0.25">
      <c r="M13480" s="274"/>
    </row>
    <row r="13481" spans="13:13" ht="15" customHeight="1" x14ac:dyDescent="0.25">
      <c r="M13481" s="274"/>
    </row>
    <row r="13482" spans="13:13" ht="15" customHeight="1" x14ac:dyDescent="0.25">
      <c r="M13482" s="274"/>
    </row>
    <row r="13483" spans="13:13" ht="15" customHeight="1" x14ac:dyDescent="0.25">
      <c r="M13483" s="274"/>
    </row>
    <row r="13484" spans="13:13" ht="15" customHeight="1" x14ac:dyDescent="0.25">
      <c r="M13484" s="274"/>
    </row>
    <row r="13485" spans="13:13" ht="15" customHeight="1" x14ac:dyDescent="0.25">
      <c r="M13485" s="274"/>
    </row>
    <row r="13486" spans="13:13" ht="15" customHeight="1" x14ac:dyDescent="0.25">
      <c r="M13486" s="274"/>
    </row>
    <row r="13487" spans="13:13" ht="15" customHeight="1" x14ac:dyDescent="0.25">
      <c r="M13487" s="274"/>
    </row>
    <row r="13488" spans="13:13" ht="15" customHeight="1" x14ac:dyDescent="0.25">
      <c r="M13488" s="274"/>
    </row>
    <row r="13489" spans="13:13" ht="15" customHeight="1" x14ac:dyDescent="0.25">
      <c r="M13489" s="274"/>
    </row>
    <row r="13490" spans="13:13" ht="15" customHeight="1" x14ac:dyDescent="0.25">
      <c r="M13490" s="274"/>
    </row>
    <row r="13491" spans="13:13" ht="15" customHeight="1" x14ac:dyDescent="0.25">
      <c r="M13491" s="274"/>
    </row>
    <row r="13492" spans="13:13" ht="15" customHeight="1" x14ac:dyDescent="0.25">
      <c r="M13492" s="274"/>
    </row>
    <row r="13493" spans="13:13" ht="15" customHeight="1" x14ac:dyDescent="0.25">
      <c r="M13493" s="274"/>
    </row>
    <row r="13494" spans="13:13" ht="15" customHeight="1" x14ac:dyDescent="0.25">
      <c r="M13494" s="274"/>
    </row>
    <row r="13495" spans="13:13" ht="15" customHeight="1" x14ac:dyDescent="0.25">
      <c r="M13495" s="274"/>
    </row>
    <row r="13496" spans="13:13" ht="15" customHeight="1" x14ac:dyDescent="0.25">
      <c r="M13496" s="274"/>
    </row>
    <row r="13497" spans="13:13" ht="15" customHeight="1" x14ac:dyDescent="0.25">
      <c r="M13497" s="274"/>
    </row>
    <row r="13498" spans="13:13" ht="15" customHeight="1" x14ac:dyDescent="0.25">
      <c r="M13498" s="274"/>
    </row>
    <row r="13499" spans="13:13" ht="15" customHeight="1" x14ac:dyDescent="0.25">
      <c r="M13499" s="274"/>
    </row>
    <row r="13500" spans="13:13" ht="15" customHeight="1" x14ac:dyDescent="0.25">
      <c r="M13500" s="274"/>
    </row>
    <row r="13501" spans="13:13" ht="15" customHeight="1" x14ac:dyDescent="0.25">
      <c r="M13501" s="274"/>
    </row>
    <row r="13502" spans="13:13" ht="15" customHeight="1" x14ac:dyDescent="0.25">
      <c r="M13502" s="274"/>
    </row>
    <row r="13503" spans="13:13" ht="15" customHeight="1" x14ac:dyDescent="0.25">
      <c r="M13503" s="274"/>
    </row>
    <row r="13504" spans="13:13" ht="15" customHeight="1" x14ac:dyDescent="0.25">
      <c r="M13504" s="274"/>
    </row>
    <row r="13505" spans="13:13" ht="15" customHeight="1" x14ac:dyDescent="0.25">
      <c r="M13505" s="274"/>
    </row>
    <row r="13506" spans="13:13" ht="15" customHeight="1" x14ac:dyDescent="0.25">
      <c r="M13506" s="274"/>
    </row>
    <row r="13507" spans="13:13" ht="15" customHeight="1" x14ac:dyDescent="0.25">
      <c r="M13507" s="274"/>
    </row>
    <row r="13508" spans="13:13" ht="15" customHeight="1" x14ac:dyDescent="0.25">
      <c r="M13508" s="274"/>
    </row>
    <row r="13509" spans="13:13" ht="15" customHeight="1" x14ac:dyDescent="0.25">
      <c r="M13509" s="274"/>
    </row>
    <row r="13510" spans="13:13" ht="15" customHeight="1" x14ac:dyDescent="0.25">
      <c r="M13510" s="274"/>
    </row>
    <row r="13511" spans="13:13" ht="15" customHeight="1" x14ac:dyDescent="0.25">
      <c r="M13511" s="274"/>
    </row>
    <row r="13512" spans="13:13" ht="15" customHeight="1" x14ac:dyDescent="0.25">
      <c r="M13512" s="274"/>
    </row>
    <row r="13513" spans="13:13" ht="15" customHeight="1" x14ac:dyDescent="0.25">
      <c r="M13513" s="274"/>
    </row>
    <row r="13514" spans="13:13" ht="15" customHeight="1" x14ac:dyDescent="0.25">
      <c r="M13514" s="274"/>
    </row>
    <row r="13515" spans="13:13" ht="15" customHeight="1" x14ac:dyDescent="0.25">
      <c r="M13515" s="274"/>
    </row>
    <row r="13516" spans="13:13" ht="15" customHeight="1" x14ac:dyDescent="0.25">
      <c r="M13516" s="274"/>
    </row>
    <row r="13517" spans="13:13" ht="15" customHeight="1" x14ac:dyDescent="0.25">
      <c r="M13517" s="274"/>
    </row>
    <row r="13518" spans="13:13" ht="15" customHeight="1" x14ac:dyDescent="0.25">
      <c r="M13518" s="274"/>
    </row>
    <row r="13519" spans="13:13" ht="15" customHeight="1" x14ac:dyDescent="0.25">
      <c r="M13519" s="274"/>
    </row>
    <row r="13520" spans="13:13" ht="15" customHeight="1" x14ac:dyDescent="0.25">
      <c r="M13520" s="274"/>
    </row>
    <row r="13521" spans="13:13" ht="15" customHeight="1" x14ac:dyDescent="0.25">
      <c r="M13521" s="274"/>
    </row>
    <row r="13522" spans="13:13" ht="15" customHeight="1" x14ac:dyDescent="0.25">
      <c r="M13522" s="274"/>
    </row>
    <row r="13523" spans="13:13" ht="15" customHeight="1" x14ac:dyDescent="0.25">
      <c r="M13523" s="274"/>
    </row>
    <row r="13524" spans="13:13" ht="15" customHeight="1" x14ac:dyDescent="0.25">
      <c r="M13524" s="274"/>
    </row>
    <row r="13525" spans="13:13" ht="15" customHeight="1" x14ac:dyDescent="0.25">
      <c r="M13525" s="274"/>
    </row>
    <row r="13526" spans="13:13" ht="15" customHeight="1" x14ac:dyDescent="0.25">
      <c r="M13526" s="274"/>
    </row>
    <row r="13527" spans="13:13" ht="15" customHeight="1" x14ac:dyDescent="0.25">
      <c r="M13527" s="274"/>
    </row>
    <row r="13528" spans="13:13" ht="15" customHeight="1" x14ac:dyDescent="0.25">
      <c r="M13528" s="274"/>
    </row>
    <row r="13529" spans="13:13" ht="15" customHeight="1" x14ac:dyDescent="0.25">
      <c r="M13529" s="274"/>
    </row>
    <row r="13530" spans="13:13" ht="15" customHeight="1" x14ac:dyDescent="0.25">
      <c r="M13530" s="274"/>
    </row>
    <row r="13531" spans="13:13" ht="15" customHeight="1" x14ac:dyDescent="0.25">
      <c r="M13531" s="274"/>
    </row>
    <row r="13532" spans="13:13" ht="15" customHeight="1" x14ac:dyDescent="0.25">
      <c r="M13532" s="274"/>
    </row>
    <row r="13533" spans="13:13" ht="15" customHeight="1" x14ac:dyDescent="0.25">
      <c r="M13533" s="274"/>
    </row>
    <row r="13534" spans="13:13" ht="15" customHeight="1" x14ac:dyDescent="0.25">
      <c r="M13534" s="274"/>
    </row>
    <row r="13535" spans="13:13" ht="15" customHeight="1" x14ac:dyDescent="0.25">
      <c r="M13535" s="274"/>
    </row>
    <row r="13536" spans="13:13" ht="15" customHeight="1" x14ac:dyDescent="0.25">
      <c r="M13536" s="274"/>
    </row>
    <row r="13537" spans="13:13" ht="15" customHeight="1" x14ac:dyDescent="0.25">
      <c r="M13537" s="274"/>
    </row>
    <row r="13538" spans="13:13" ht="15" customHeight="1" x14ac:dyDescent="0.25">
      <c r="M13538" s="274"/>
    </row>
    <row r="13539" spans="13:13" ht="15" customHeight="1" x14ac:dyDescent="0.25">
      <c r="M13539" s="274"/>
    </row>
    <row r="13540" spans="13:13" ht="15" customHeight="1" x14ac:dyDescent="0.25">
      <c r="M13540" s="274"/>
    </row>
    <row r="13541" spans="13:13" ht="15" customHeight="1" x14ac:dyDescent="0.25">
      <c r="M13541" s="274"/>
    </row>
    <row r="13542" spans="13:13" ht="15" customHeight="1" x14ac:dyDescent="0.25">
      <c r="M13542" s="274"/>
    </row>
    <row r="13543" spans="13:13" ht="15" customHeight="1" x14ac:dyDescent="0.25">
      <c r="M13543" s="274"/>
    </row>
    <row r="13544" spans="13:13" ht="15" customHeight="1" x14ac:dyDescent="0.25">
      <c r="M13544" s="274"/>
    </row>
    <row r="13545" spans="13:13" ht="15" customHeight="1" x14ac:dyDescent="0.25">
      <c r="M13545" s="274"/>
    </row>
    <row r="13546" spans="13:13" ht="15" customHeight="1" x14ac:dyDescent="0.25">
      <c r="M13546" s="274"/>
    </row>
    <row r="13547" spans="13:13" ht="15" customHeight="1" x14ac:dyDescent="0.25">
      <c r="M13547" s="274"/>
    </row>
    <row r="13548" spans="13:13" ht="15" customHeight="1" x14ac:dyDescent="0.25">
      <c r="M13548" s="274"/>
    </row>
    <row r="13549" spans="13:13" ht="15" customHeight="1" x14ac:dyDescent="0.25">
      <c r="M13549" s="274"/>
    </row>
    <row r="13550" spans="13:13" ht="15" customHeight="1" x14ac:dyDescent="0.25">
      <c r="M13550" s="274"/>
    </row>
    <row r="13551" spans="13:13" ht="15" customHeight="1" x14ac:dyDescent="0.25">
      <c r="M13551" s="274"/>
    </row>
    <row r="13552" spans="13:13" ht="15" customHeight="1" x14ac:dyDescent="0.25">
      <c r="M13552" s="274"/>
    </row>
    <row r="13553" spans="13:13" ht="15" customHeight="1" x14ac:dyDescent="0.25">
      <c r="M13553" s="274"/>
    </row>
    <row r="13554" spans="13:13" ht="15" customHeight="1" x14ac:dyDescent="0.25">
      <c r="M13554" s="274"/>
    </row>
    <row r="13555" spans="13:13" ht="15" customHeight="1" x14ac:dyDescent="0.25">
      <c r="M13555" s="274"/>
    </row>
    <row r="13556" spans="13:13" ht="15" customHeight="1" x14ac:dyDescent="0.25">
      <c r="M13556" s="274"/>
    </row>
    <row r="13557" spans="13:13" ht="15" customHeight="1" x14ac:dyDescent="0.25">
      <c r="M13557" s="274"/>
    </row>
    <row r="13558" spans="13:13" ht="15" customHeight="1" x14ac:dyDescent="0.25">
      <c r="M13558" s="274"/>
    </row>
    <row r="13559" spans="13:13" ht="15" customHeight="1" x14ac:dyDescent="0.25">
      <c r="M13559" s="274"/>
    </row>
    <row r="13560" spans="13:13" ht="15" customHeight="1" x14ac:dyDescent="0.25">
      <c r="M13560" s="274"/>
    </row>
    <row r="13561" spans="13:13" ht="15" customHeight="1" x14ac:dyDescent="0.25">
      <c r="M13561" s="274"/>
    </row>
    <row r="13562" spans="13:13" ht="15" customHeight="1" x14ac:dyDescent="0.25">
      <c r="M13562" s="274"/>
    </row>
    <row r="13563" spans="13:13" ht="15" customHeight="1" x14ac:dyDescent="0.25">
      <c r="M13563" s="274"/>
    </row>
    <row r="13564" spans="13:13" ht="15" customHeight="1" x14ac:dyDescent="0.25">
      <c r="M13564" s="274"/>
    </row>
    <row r="13565" spans="13:13" ht="15" customHeight="1" x14ac:dyDescent="0.25">
      <c r="M13565" s="274"/>
    </row>
    <row r="13566" spans="13:13" ht="15" customHeight="1" x14ac:dyDescent="0.25">
      <c r="M13566" s="274"/>
    </row>
    <row r="13567" spans="13:13" ht="15" customHeight="1" x14ac:dyDescent="0.25">
      <c r="M13567" s="274"/>
    </row>
    <row r="13568" spans="13:13" ht="15" customHeight="1" x14ac:dyDescent="0.25">
      <c r="M13568" s="274"/>
    </row>
    <row r="13569" spans="13:13" ht="15" customHeight="1" x14ac:dyDescent="0.25">
      <c r="M13569" s="274"/>
    </row>
    <row r="13570" spans="13:13" ht="15" customHeight="1" x14ac:dyDescent="0.25">
      <c r="M13570" s="274"/>
    </row>
    <row r="13571" spans="13:13" ht="15" customHeight="1" x14ac:dyDescent="0.25">
      <c r="M13571" s="274"/>
    </row>
    <row r="13572" spans="13:13" ht="15" customHeight="1" x14ac:dyDescent="0.25">
      <c r="M13572" s="274"/>
    </row>
    <row r="13573" spans="13:13" ht="15" customHeight="1" x14ac:dyDescent="0.25">
      <c r="M13573" s="274"/>
    </row>
    <row r="13574" spans="13:13" ht="15" customHeight="1" x14ac:dyDescent="0.25">
      <c r="M13574" s="274"/>
    </row>
    <row r="13575" spans="13:13" ht="15" customHeight="1" x14ac:dyDescent="0.25">
      <c r="M13575" s="274"/>
    </row>
    <row r="13576" spans="13:13" ht="15" customHeight="1" x14ac:dyDescent="0.25">
      <c r="M13576" s="274"/>
    </row>
    <row r="13577" spans="13:13" ht="15" customHeight="1" x14ac:dyDescent="0.25">
      <c r="M13577" s="274"/>
    </row>
    <row r="13578" spans="13:13" ht="15" customHeight="1" x14ac:dyDescent="0.25">
      <c r="M13578" s="274"/>
    </row>
    <row r="13579" spans="13:13" ht="15" customHeight="1" x14ac:dyDescent="0.25">
      <c r="M13579" s="274"/>
    </row>
    <row r="13580" spans="13:13" ht="15" customHeight="1" x14ac:dyDescent="0.25">
      <c r="M13580" s="274"/>
    </row>
    <row r="13581" spans="13:13" ht="15" customHeight="1" x14ac:dyDescent="0.25">
      <c r="M13581" s="274"/>
    </row>
    <row r="13582" spans="13:13" ht="15" customHeight="1" x14ac:dyDescent="0.25">
      <c r="M13582" s="274"/>
    </row>
    <row r="13583" spans="13:13" ht="15" customHeight="1" x14ac:dyDescent="0.25">
      <c r="M13583" s="274"/>
    </row>
    <row r="13584" spans="13:13" ht="15" customHeight="1" x14ac:dyDescent="0.25">
      <c r="M13584" s="274"/>
    </row>
    <row r="13585" spans="13:13" ht="15" customHeight="1" x14ac:dyDescent="0.25">
      <c r="M13585" s="274"/>
    </row>
    <row r="13586" spans="13:13" ht="15" customHeight="1" x14ac:dyDescent="0.25">
      <c r="M13586" s="274"/>
    </row>
    <row r="13587" spans="13:13" ht="15" customHeight="1" x14ac:dyDescent="0.25">
      <c r="M13587" s="274"/>
    </row>
    <row r="13588" spans="13:13" ht="15" customHeight="1" x14ac:dyDescent="0.25">
      <c r="M13588" s="274"/>
    </row>
    <row r="13589" spans="13:13" ht="15" customHeight="1" x14ac:dyDescent="0.25">
      <c r="M13589" s="274"/>
    </row>
    <row r="13590" spans="13:13" ht="15" customHeight="1" x14ac:dyDescent="0.25">
      <c r="M13590" s="274"/>
    </row>
    <row r="13591" spans="13:13" ht="15" customHeight="1" x14ac:dyDescent="0.25">
      <c r="M13591" s="274"/>
    </row>
    <row r="13592" spans="13:13" ht="15" customHeight="1" x14ac:dyDescent="0.25">
      <c r="M13592" s="274"/>
    </row>
    <row r="13593" spans="13:13" ht="15" customHeight="1" x14ac:dyDescent="0.25">
      <c r="M13593" s="274"/>
    </row>
    <row r="13594" spans="13:13" ht="15" customHeight="1" x14ac:dyDescent="0.25">
      <c r="M13594" s="274"/>
    </row>
    <row r="13595" spans="13:13" ht="15" customHeight="1" x14ac:dyDescent="0.25">
      <c r="M13595" s="274"/>
    </row>
    <row r="13596" spans="13:13" ht="15" customHeight="1" x14ac:dyDescent="0.25">
      <c r="M13596" s="274"/>
    </row>
    <row r="13597" spans="13:13" ht="15" customHeight="1" x14ac:dyDescent="0.25">
      <c r="M13597" s="274"/>
    </row>
    <row r="13598" spans="13:13" ht="15" customHeight="1" x14ac:dyDescent="0.25">
      <c r="M13598" s="274"/>
    </row>
    <row r="13599" spans="13:13" ht="15" customHeight="1" x14ac:dyDescent="0.25">
      <c r="M13599" s="274"/>
    </row>
    <row r="13600" spans="13:13" ht="15" customHeight="1" x14ac:dyDescent="0.25">
      <c r="M13600" s="274"/>
    </row>
    <row r="13601" spans="13:13" ht="15" customHeight="1" x14ac:dyDescent="0.25">
      <c r="M13601" s="274"/>
    </row>
    <row r="13602" spans="13:13" ht="15" customHeight="1" x14ac:dyDescent="0.25">
      <c r="M13602" s="274"/>
    </row>
    <row r="13603" spans="13:13" ht="15" customHeight="1" x14ac:dyDescent="0.25">
      <c r="M13603" s="274"/>
    </row>
    <row r="13604" spans="13:13" ht="15" customHeight="1" x14ac:dyDescent="0.25">
      <c r="M13604" s="274"/>
    </row>
    <row r="13605" spans="13:13" ht="15" customHeight="1" x14ac:dyDescent="0.25">
      <c r="M13605" s="274"/>
    </row>
    <row r="13606" spans="13:13" ht="15" customHeight="1" x14ac:dyDescent="0.25">
      <c r="M13606" s="274"/>
    </row>
    <row r="13607" spans="13:13" ht="15" customHeight="1" x14ac:dyDescent="0.25">
      <c r="M13607" s="274"/>
    </row>
    <row r="13608" spans="13:13" ht="15" customHeight="1" x14ac:dyDescent="0.25">
      <c r="M13608" s="274"/>
    </row>
    <row r="13609" spans="13:13" ht="15" customHeight="1" x14ac:dyDescent="0.25">
      <c r="M13609" s="274"/>
    </row>
    <row r="13610" spans="13:13" ht="15" customHeight="1" x14ac:dyDescent="0.25">
      <c r="M13610" s="274"/>
    </row>
    <row r="13611" spans="13:13" ht="15" customHeight="1" x14ac:dyDescent="0.25">
      <c r="M13611" s="274"/>
    </row>
    <row r="13612" spans="13:13" ht="15" customHeight="1" x14ac:dyDescent="0.25">
      <c r="M13612" s="274"/>
    </row>
    <row r="13613" spans="13:13" ht="15" customHeight="1" x14ac:dyDescent="0.25">
      <c r="M13613" s="274"/>
    </row>
    <row r="13614" spans="13:13" ht="15" customHeight="1" x14ac:dyDescent="0.25">
      <c r="M13614" s="274"/>
    </row>
    <row r="13615" spans="13:13" ht="15" customHeight="1" x14ac:dyDescent="0.25">
      <c r="M13615" s="274"/>
    </row>
    <row r="13616" spans="13:13" ht="15" customHeight="1" x14ac:dyDescent="0.25">
      <c r="M13616" s="274"/>
    </row>
    <row r="13617" spans="13:13" ht="15" customHeight="1" x14ac:dyDescent="0.25">
      <c r="M13617" s="274"/>
    </row>
    <row r="13618" spans="13:13" ht="15" customHeight="1" x14ac:dyDescent="0.25">
      <c r="M13618" s="274"/>
    </row>
    <row r="13619" spans="13:13" ht="15" customHeight="1" x14ac:dyDescent="0.25">
      <c r="M13619" s="274"/>
    </row>
    <row r="13620" spans="13:13" ht="15" customHeight="1" x14ac:dyDescent="0.25">
      <c r="M13620" s="274"/>
    </row>
    <row r="13621" spans="13:13" ht="15" customHeight="1" x14ac:dyDescent="0.25">
      <c r="M13621" s="274"/>
    </row>
    <row r="13622" spans="13:13" ht="15" customHeight="1" x14ac:dyDescent="0.25">
      <c r="M13622" s="274"/>
    </row>
    <row r="13623" spans="13:13" ht="15" customHeight="1" x14ac:dyDescent="0.25">
      <c r="M13623" s="274"/>
    </row>
    <row r="13624" spans="13:13" ht="15" customHeight="1" x14ac:dyDescent="0.25">
      <c r="M13624" s="274"/>
    </row>
    <row r="13625" spans="13:13" ht="15" customHeight="1" x14ac:dyDescent="0.25">
      <c r="M13625" s="274"/>
    </row>
    <row r="13626" spans="13:13" ht="15" customHeight="1" x14ac:dyDescent="0.25">
      <c r="M13626" s="274"/>
    </row>
    <row r="13627" spans="13:13" ht="15" customHeight="1" x14ac:dyDescent="0.25">
      <c r="M13627" s="274"/>
    </row>
    <row r="13628" spans="13:13" ht="15" customHeight="1" x14ac:dyDescent="0.25">
      <c r="M13628" s="274"/>
    </row>
    <row r="13629" spans="13:13" ht="15" customHeight="1" x14ac:dyDescent="0.25">
      <c r="M13629" s="274"/>
    </row>
    <row r="13630" spans="13:13" ht="15" customHeight="1" x14ac:dyDescent="0.25">
      <c r="M13630" s="274"/>
    </row>
    <row r="13631" spans="13:13" ht="15" customHeight="1" x14ac:dyDescent="0.25">
      <c r="M13631" s="274"/>
    </row>
    <row r="13632" spans="13:13" ht="15" customHeight="1" x14ac:dyDescent="0.25">
      <c r="M13632" s="274"/>
    </row>
    <row r="13633" spans="13:13" ht="15" customHeight="1" x14ac:dyDescent="0.25">
      <c r="M13633" s="274"/>
    </row>
    <row r="13634" spans="13:13" ht="15" customHeight="1" x14ac:dyDescent="0.25">
      <c r="M13634" s="274"/>
    </row>
    <row r="13635" spans="13:13" ht="15" customHeight="1" x14ac:dyDescent="0.25">
      <c r="M13635" s="274"/>
    </row>
    <row r="13636" spans="13:13" ht="15" customHeight="1" x14ac:dyDescent="0.25">
      <c r="M13636" s="274"/>
    </row>
    <row r="13637" spans="13:13" ht="15" customHeight="1" x14ac:dyDescent="0.25">
      <c r="M13637" s="274"/>
    </row>
    <row r="13638" spans="13:13" ht="15" customHeight="1" x14ac:dyDescent="0.25">
      <c r="M13638" s="274"/>
    </row>
    <row r="13639" spans="13:13" ht="15" customHeight="1" x14ac:dyDescent="0.25">
      <c r="M13639" s="274"/>
    </row>
    <row r="13640" spans="13:13" ht="15" customHeight="1" x14ac:dyDescent="0.25">
      <c r="M13640" s="274"/>
    </row>
    <row r="13641" spans="13:13" ht="15" customHeight="1" x14ac:dyDescent="0.25">
      <c r="M13641" s="274"/>
    </row>
    <row r="13642" spans="13:13" ht="15" customHeight="1" x14ac:dyDescent="0.25">
      <c r="M13642" s="274"/>
    </row>
    <row r="13643" spans="13:13" ht="15" customHeight="1" x14ac:dyDescent="0.25">
      <c r="M13643" s="274"/>
    </row>
    <row r="13644" spans="13:13" ht="15" customHeight="1" x14ac:dyDescent="0.25">
      <c r="M13644" s="274"/>
    </row>
    <row r="13645" spans="13:13" ht="15" customHeight="1" x14ac:dyDescent="0.25">
      <c r="M13645" s="274"/>
    </row>
    <row r="13646" spans="13:13" ht="15" customHeight="1" x14ac:dyDescent="0.25">
      <c r="M13646" s="274"/>
    </row>
    <row r="13647" spans="13:13" ht="15" customHeight="1" x14ac:dyDescent="0.25">
      <c r="M13647" s="274"/>
    </row>
    <row r="13648" spans="13:13" ht="15" customHeight="1" x14ac:dyDescent="0.25">
      <c r="M13648" s="274"/>
    </row>
    <row r="13649" spans="13:13" ht="15" customHeight="1" x14ac:dyDescent="0.25">
      <c r="M13649" s="274"/>
    </row>
    <row r="13650" spans="13:13" ht="15" customHeight="1" x14ac:dyDescent="0.25">
      <c r="M13650" s="274"/>
    </row>
    <row r="13651" spans="13:13" ht="15" customHeight="1" x14ac:dyDescent="0.25">
      <c r="M13651" s="274"/>
    </row>
    <row r="13652" spans="13:13" ht="15" customHeight="1" x14ac:dyDescent="0.25">
      <c r="M13652" s="274"/>
    </row>
    <row r="13653" spans="13:13" ht="15" customHeight="1" x14ac:dyDescent="0.25">
      <c r="M13653" s="274"/>
    </row>
    <row r="13654" spans="13:13" ht="15" customHeight="1" x14ac:dyDescent="0.25">
      <c r="M13654" s="274"/>
    </row>
    <row r="13655" spans="13:13" ht="15" customHeight="1" x14ac:dyDescent="0.25">
      <c r="M13655" s="274"/>
    </row>
    <row r="13656" spans="13:13" ht="15" customHeight="1" x14ac:dyDescent="0.25">
      <c r="M13656" s="274"/>
    </row>
    <row r="13657" spans="13:13" ht="15" customHeight="1" x14ac:dyDescent="0.25">
      <c r="M13657" s="274"/>
    </row>
    <row r="13658" spans="13:13" ht="15" customHeight="1" x14ac:dyDescent="0.25">
      <c r="M13658" s="274"/>
    </row>
    <row r="13659" spans="13:13" ht="15" customHeight="1" x14ac:dyDescent="0.25">
      <c r="M13659" s="274"/>
    </row>
    <row r="13660" spans="13:13" ht="15" customHeight="1" x14ac:dyDescent="0.25">
      <c r="M13660" s="274"/>
    </row>
    <row r="13661" spans="13:13" ht="15" customHeight="1" x14ac:dyDescent="0.25">
      <c r="M13661" s="274"/>
    </row>
    <row r="13662" spans="13:13" ht="15" customHeight="1" x14ac:dyDescent="0.25">
      <c r="M13662" s="274"/>
    </row>
    <row r="13663" spans="13:13" ht="15" customHeight="1" x14ac:dyDescent="0.25">
      <c r="M13663" s="274"/>
    </row>
    <row r="13664" spans="13:13" ht="15" customHeight="1" x14ac:dyDescent="0.25">
      <c r="M13664" s="274"/>
    </row>
    <row r="13665" spans="13:13" ht="15" customHeight="1" x14ac:dyDescent="0.25">
      <c r="M13665" s="274"/>
    </row>
    <row r="13666" spans="13:13" ht="15" customHeight="1" x14ac:dyDescent="0.25">
      <c r="M13666" s="274"/>
    </row>
    <row r="13667" spans="13:13" ht="15" customHeight="1" x14ac:dyDescent="0.25">
      <c r="M13667" s="274"/>
    </row>
    <row r="13668" spans="13:13" ht="15" customHeight="1" x14ac:dyDescent="0.25">
      <c r="M13668" s="274"/>
    </row>
    <row r="13669" spans="13:13" ht="15" customHeight="1" x14ac:dyDescent="0.25">
      <c r="M13669" s="274"/>
    </row>
    <row r="13670" spans="13:13" ht="15" customHeight="1" x14ac:dyDescent="0.25">
      <c r="M13670" s="274"/>
    </row>
    <row r="13671" spans="13:13" ht="15" customHeight="1" x14ac:dyDescent="0.25">
      <c r="M13671" s="274"/>
    </row>
    <row r="13672" spans="13:13" ht="15" customHeight="1" x14ac:dyDescent="0.25">
      <c r="M13672" s="274"/>
    </row>
    <row r="13673" spans="13:13" ht="15" customHeight="1" x14ac:dyDescent="0.25">
      <c r="M13673" s="274"/>
    </row>
    <row r="13674" spans="13:13" ht="15" customHeight="1" x14ac:dyDescent="0.25">
      <c r="M13674" s="274"/>
    </row>
    <row r="13675" spans="13:13" ht="15" customHeight="1" x14ac:dyDescent="0.25">
      <c r="M13675" s="274"/>
    </row>
    <row r="13676" spans="13:13" ht="15" customHeight="1" x14ac:dyDescent="0.25">
      <c r="M13676" s="274"/>
    </row>
    <row r="13677" spans="13:13" ht="15" customHeight="1" x14ac:dyDescent="0.25">
      <c r="M13677" s="274"/>
    </row>
    <row r="13678" spans="13:13" ht="15" customHeight="1" x14ac:dyDescent="0.25">
      <c r="M13678" s="274"/>
    </row>
    <row r="13679" spans="13:13" ht="15" customHeight="1" x14ac:dyDescent="0.25">
      <c r="M13679" s="274"/>
    </row>
    <row r="13680" spans="13:13" ht="15" customHeight="1" x14ac:dyDescent="0.25">
      <c r="M13680" s="274"/>
    </row>
    <row r="13681" spans="13:13" ht="15" customHeight="1" x14ac:dyDescent="0.25">
      <c r="M13681" s="274"/>
    </row>
    <row r="13682" spans="13:13" ht="15" customHeight="1" x14ac:dyDescent="0.25">
      <c r="M13682" s="274"/>
    </row>
    <row r="13683" spans="13:13" ht="15" customHeight="1" x14ac:dyDescent="0.25">
      <c r="M13683" s="274"/>
    </row>
    <row r="13684" spans="13:13" ht="15" customHeight="1" x14ac:dyDescent="0.25">
      <c r="M13684" s="274"/>
    </row>
    <row r="13685" spans="13:13" ht="15" customHeight="1" x14ac:dyDescent="0.25">
      <c r="M13685" s="274"/>
    </row>
    <row r="13686" spans="13:13" ht="15" customHeight="1" x14ac:dyDescent="0.25">
      <c r="M13686" s="274"/>
    </row>
    <row r="13687" spans="13:13" ht="15" customHeight="1" x14ac:dyDescent="0.25">
      <c r="M13687" s="274"/>
    </row>
    <row r="13688" spans="13:13" ht="15" customHeight="1" x14ac:dyDescent="0.25">
      <c r="M13688" s="274"/>
    </row>
    <row r="13689" spans="13:13" ht="15" customHeight="1" x14ac:dyDescent="0.25">
      <c r="M13689" s="274"/>
    </row>
    <row r="13690" spans="13:13" ht="15" customHeight="1" x14ac:dyDescent="0.25">
      <c r="M13690" s="274"/>
    </row>
    <row r="13691" spans="13:13" ht="15" customHeight="1" x14ac:dyDescent="0.25">
      <c r="M13691" s="274"/>
    </row>
    <row r="13692" spans="13:13" ht="15" customHeight="1" x14ac:dyDescent="0.25">
      <c r="M13692" s="274"/>
    </row>
    <row r="13693" spans="13:13" ht="15" customHeight="1" x14ac:dyDescent="0.25">
      <c r="M13693" s="274"/>
    </row>
    <row r="13694" spans="13:13" ht="15" customHeight="1" x14ac:dyDescent="0.25">
      <c r="M13694" s="274"/>
    </row>
    <row r="13695" spans="13:13" ht="15" customHeight="1" x14ac:dyDescent="0.25">
      <c r="M13695" s="274"/>
    </row>
    <row r="13696" spans="13:13" ht="15" customHeight="1" x14ac:dyDescent="0.25">
      <c r="M13696" s="274"/>
    </row>
    <row r="13697" spans="13:13" ht="15" customHeight="1" x14ac:dyDescent="0.25">
      <c r="M13697" s="274"/>
    </row>
    <row r="13698" spans="13:13" ht="15" customHeight="1" x14ac:dyDescent="0.25">
      <c r="M13698" s="274"/>
    </row>
    <row r="13699" spans="13:13" ht="15" customHeight="1" x14ac:dyDescent="0.25">
      <c r="M13699" s="274"/>
    </row>
    <row r="13700" spans="13:13" ht="15" customHeight="1" x14ac:dyDescent="0.25">
      <c r="M13700" s="274"/>
    </row>
    <row r="13701" spans="13:13" ht="15" customHeight="1" x14ac:dyDescent="0.25">
      <c r="M13701" s="274"/>
    </row>
    <row r="13702" spans="13:13" ht="15" customHeight="1" x14ac:dyDescent="0.25">
      <c r="M13702" s="274"/>
    </row>
    <row r="13703" spans="13:13" ht="15" customHeight="1" x14ac:dyDescent="0.25">
      <c r="M13703" s="274"/>
    </row>
    <row r="13704" spans="13:13" ht="15" customHeight="1" x14ac:dyDescent="0.25">
      <c r="M13704" s="274"/>
    </row>
    <row r="13705" spans="13:13" ht="15" customHeight="1" x14ac:dyDescent="0.25">
      <c r="M13705" s="274"/>
    </row>
    <row r="13706" spans="13:13" ht="15" customHeight="1" x14ac:dyDescent="0.25">
      <c r="M13706" s="274"/>
    </row>
    <row r="13707" spans="13:13" ht="15" customHeight="1" x14ac:dyDescent="0.25">
      <c r="M13707" s="274"/>
    </row>
    <row r="13708" spans="13:13" ht="15" customHeight="1" x14ac:dyDescent="0.25">
      <c r="M13708" s="274"/>
    </row>
    <row r="13709" spans="13:13" ht="15" customHeight="1" x14ac:dyDescent="0.25">
      <c r="M13709" s="274"/>
    </row>
    <row r="13710" spans="13:13" ht="15" customHeight="1" x14ac:dyDescent="0.25">
      <c r="M13710" s="274"/>
    </row>
    <row r="13711" spans="13:13" ht="15" customHeight="1" x14ac:dyDescent="0.25">
      <c r="M13711" s="274"/>
    </row>
    <row r="13712" spans="13:13" ht="15" customHeight="1" x14ac:dyDescent="0.25">
      <c r="M13712" s="274"/>
    </row>
    <row r="13713" spans="13:13" ht="15" customHeight="1" x14ac:dyDescent="0.25">
      <c r="M13713" s="274"/>
    </row>
    <row r="13714" spans="13:13" ht="15" customHeight="1" x14ac:dyDescent="0.25">
      <c r="M13714" s="274"/>
    </row>
    <row r="13715" spans="13:13" ht="15" customHeight="1" x14ac:dyDescent="0.25">
      <c r="M13715" s="274"/>
    </row>
    <row r="13716" spans="13:13" ht="15" customHeight="1" x14ac:dyDescent="0.25">
      <c r="M13716" s="274"/>
    </row>
    <row r="13717" spans="13:13" ht="15" customHeight="1" x14ac:dyDescent="0.25">
      <c r="M13717" s="274"/>
    </row>
    <row r="13718" spans="13:13" ht="15" customHeight="1" x14ac:dyDescent="0.25">
      <c r="M13718" s="274"/>
    </row>
    <row r="13719" spans="13:13" ht="15" customHeight="1" x14ac:dyDescent="0.25">
      <c r="M13719" s="274"/>
    </row>
    <row r="13720" spans="13:13" ht="15" customHeight="1" x14ac:dyDescent="0.25">
      <c r="M13720" s="274"/>
    </row>
    <row r="13721" spans="13:13" ht="15" customHeight="1" x14ac:dyDescent="0.25">
      <c r="M13721" s="274"/>
    </row>
    <row r="13722" spans="13:13" ht="15" customHeight="1" x14ac:dyDescent="0.25">
      <c r="M13722" s="274"/>
    </row>
    <row r="13723" spans="13:13" ht="15" customHeight="1" x14ac:dyDescent="0.25">
      <c r="M13723" s="274"/>
    </row>
    <row r="13724" spans="13:13" ht="15" customHeight="1" x14ac:dyDescent="0.25">
      <c r="M13724" s="274"/>
    </row>
    <row r="13725" spans="13:13" ht="15" customHeight="1" x14ac:dyDescent="0.25">
      <c r="M13725" s="274"/>
    </row>
    <row r="13726" spans="13:13" ht="15" customHeight="1" x14ac:dyDescent="0.25">
      <c r="M13726" s="274"/>
    </row>
    <row r="13727" spans="13:13" ht="15" customHeight="1" x14ac:dyDescent="0.25">
      <c r="M13727" s="274"/>
    </row>
    <row r="13728" spans="13:13" ht="15" customHeight="1" x14ac:dyDescent="0.25">
      <c r="M13728" s="274"/>
    </row>
    <row r="13729" spans="13:13" ht="15" customHeight="1" x14ac:dyDescent="0.25">
      <c r="M13729" s="274"/>
    </row>
    <row r="13730" spans="13:13" ht="15" customHeight="1" x14ac:dyDescent="0.25">
      <c r="M13730" s="274"/>
    </row>
    <row r="13731" spans="13:13" ht="15" customHeight="1" x14ac:dyDescent="0.25">
      <c r="M13731" s="274"/>
    </row>
    <row r="13732" spans="13:13" ht="15" customHeight="1" x14ac:dyDescent="0.25">
      <c r="M13732" s="274"/>
    </row>
    <row r="13733" spans="13:13" ht="15" customHeight="1" x14ac:dyDescent="0.25">
      <c r="M13733" s="274"/>
    </row>
    <row r="13734" spans="13:13" ht="15" customHeight="1" x14ac:dyDescent="0.25">
      <c r="M13734" s="274"/>
    </row>
    <row r="13735" spans="13:13" ht="15" customHeight="1" x14ac:dyDescent="0.25">
      <c r="M13735" s="274"/>
    </row>
    <row r="13736" spans="13:13" ht="15" customHeight="1" x14ac:dyDescent="0.25">
      <c r="M13736" s="274"/>
    </row>
    <row r="13737" spans="13:13" ht="15" customHeight="1" x14ac:dyDescent="0.25">
      <c r="M13737" s="274"/>
    </row>
    <row r="13738" spans="13:13" ht="15" customHeight="1" x14ac:dyDescent="0.25">
      <c r="M13738" s="274"/>
    </row>
    <row r="13739" spans="13:13" ht="15" customHeight="1" x14ac:dyDescent="0.25">
      <c r="M13739" s="274"/>
    </row>
    <row r="13740" spans="13:13" ht="15" customHeight="1" x14ac:dyDescent="0.25">
      <c r="M13740" s="274"/>
    </row>
    <row r="13741" spans="13:13" ht="15" customHeight="1" x14ac:dyDescent="0.25">
      <c r="M13741" s="274"/>
    </row>
    <row r="13742" spans="13:13" ht="15" customHeight="1" x14ac:dyDescent="0.25">
      <c r="M13742" s="274"/>
    </row>
    <row r="13743" spans="13:13" ht="15" customHeight="1" x14ac:dyDescent="0.25">
      <c r="M13743" s="274"/>
    </row>
    <row r="13744" spans="13:13" ht="15" customHeight="1" x14ac:dyDescent="0.25">
      <c r="M13744" s="274"/>
    </row>
    <row r="13745" spans="13:13" ht="15" customHeight="1" x14ac:dyDescent="0.25">
      <c r="M13745" s="274"/>
    </row>
    <row r="13746" spans="13:13" ht="15" customHeight="1" x14ac:dyDescent="0.25">
      <c r="M13746" s="274"/>
    </row>
    <row r="13747" spans="13:13" ht="15" customHeight="1" x14ac:dyDescent="0.25">
      <c r="M13747" s="274"/>
    </row>
    <row r="13748" spans="13:13" ht="15" customHeight="1" x14ac:dyDescent="0.25">
      <c r="M13748" s="274"/>
    </row>
    <row r="13749" spans="13:13" ht="15" customHeight="1" x14ac:dyDescent="0.25">
      <c r="M13749" s="274"/>
    </row>
    <row r="13750" spans="13:13" ht="15" customHeight="1" x14ac:dyDescent="0.25">
      <c r="M13750" s="274"/>
    </row>
    <row r="13751" spans="13:13" ht="15" customHeight="1" x14ac:dyDescent="0.25">
      <c r="M13751" s="274"/>
    </row>
    <row r="13752" spans="13:13" ht="15" customHeight="1" x14ac:dyDescent="0.25">
      <c r="M13752" s="274"/>
    </row>
    <row r="13753" spans="13:13" ht="15" customHeight="1" x14ac:dyDescent="0.25">
      <c r="M13753" s="274"/>
    </row>
    <row r="13754" spans="13:13" ht="15" customHeight="1" x14ac:dyDescent="0.25">
      <c r="M13754" s="274"/>
    </row>
    <row r="13755" spans="13:13" ht="15" customHeight="1" x14ac:dyDescent="0.25">
      <c r="M13755" s="274"/>
    </row>
    <row r="13756" spans="13:13" ht="15" customHeight="1" x14ac:dyDescent="0.25">
      <c r="M13756" s="274"/>
    </row>
    <row r="13757" spans="13:13" ht="15" customHeight="1" x14ac:dyDescent="0.25">
      <c r="M13757" s="274"/>
    </row>
    <row r="13758" spans="13:13" ht="15" customHeight="1" x14ac:dyDescent="0.25">
      <c r="M13758" s="274"/>
    </row>
    <row r="13759" spans="13:13" ht="15" customHeight="1" x14ac:dyDescent="0.25">
      <c r="M13759" s="274"/>
    </row>
    <row r="13760" spans="13:13" ht="15" customHeight="1" x14ac:dyDescent="0.25">
      <c r="M13760" s="274"/>
    </row>
    <row r="13761" spans="13:13" ht="15" customHeight="1" x14ac:dyDescent="0.25">
      <c r="M13761" s="274"/>
    </row>
    <row r="13762" spans="13:13" ht="15" customHeight="1" x14ac:dyDescent="0.25">
      <c r="M13762" s="274"/>
    </row>
    <row r="13763" spans="13:13" ht="15" customHeight="1" x14ac:dyDescent="0.25">
      <c r="M13763" s="274"/>
    </row>
    <row r="13764" spans="13:13" ht="15" customHeight="1" x14ac:dyDescent="0.25">
      <c r="M13764" s="274"/>
    </row>
    <row r="13765" spans="13:13" ht="15" customHeight="1" x14ac:dyDescent="0.25">
      <c r="M13765" s="274"/>
    </row>
    <row r="13766" spans="13:13" ht="15" customHeight="1" x14ac:dyDescent="0.25">
      <c r="M13766" s="274"/>
    </row>
    <row r="13767" spans="13:13" ht="15" customHeight="1" x14ac:dyDescent="0.25">
      <c r="M13767" s="274"/>
    </row>
    <row r="13768" spans="13:13" ht="15" customHeight="1" x14ac:dyDescent="0.25">
      <c r="M13768" s="274"/>
    </row>
    <row r="13769" spans="13:13" ht="15" customHeight="1" x14ac:dyDescent="0.25">
      <c r="M13769" s="274"/>
    </row>
    <row r="13770" spans="13:13" ht="15" customHeight="1" x14ac:dyDescent="0.25">
      <c r="M13770" s="274"/>
    </row>
    <row r="13771" spans="13:13" ht="15" customHeight="1" x14ac:dyDescent="0.25">
      <c r="M13771" s="274"/>
    </row>
    <row r="13772" spans="13:13" ht="15" customHeight="1" x14ac:dyDescent="0.25">
      <c r="M13772" s="274"/>
    </row>
    <row r="13773" spans="13:13" ht="15" customHeight="1" x14ac:dyDescent="0.25">
      <c r="M13773" s="274"/>
    </row>
    <row r="13774" spans="13:13" ht="15" customHeight="1" x14ac:dyDescent="0.25">
      <c r="M13774" s="274"/>
    </row>
    <row r="13775" spans="13:13" ht="15" customHeight="1" x14ac:dyDescent="0.25">
      <c r="M13775" s="274"/>
    </row>
    <row r="13776" spans="13:13" ht="15" customHeight="1" x14ac:dyDescent="0.25">
      <c r="M13776" s="274"/>
    </row>
    <row r="13777" spans="13:13" ht="15" customHeight="1" x14ac:dyDescent="0.25">
      <c r="M13777" s="274"/>
    </row>
    <row r="13778" spans="13:13" ht="15" customHeight="1" x14ac:dyDescent="0.25">
      <c r="M13778" s="274"/>
    </row>
    <row r="13779" spans="13:13" ht="15" customHeight="1" x14ac:dyDescent="0.25">
      <c r="M13779" s="274"/>
    </row>
    <row r="13780" spans="13:13" ht="15" customHeight="1" x14ac:dyDescent="0.25">
      <c r="M13780" s="274"/>
    </row>
    <row r="13781" spans="13:13" ht="15" customHeight="1" x14ac:dyDescent="0.25">
      <c r="M13781" s="274"/>
    </row>
    <row r="13782" spans="13:13" ht="15" customHeight="1" x14ac:dyDescent="0.25">
      <c r="M13782" s="274"/>
    </row>
    <row r="13783" spans="13:13" ht="15" customHeight="1" x14ac:dyDescent="0.25">
      <c r="M13783" s="274"/>
    </row>
    <row r="13784" spans="13:13" ht="15" customHeight="1" x14ac:dyDescent="0.25">
      <c r="M13784" s="274"/>
    </row>
    <row r="13785" spans="13:13" ht="15" customHeight="1" x14ac:dyDescent="0.25">
      <c r="M13785" s="274"/>
    </row>
    <row r="13786" spans="13:13" ht="15" customHeight="1" x14ac:dyDescent="0.25">
      <c r="M13786" s="274"/>
    </row>
    <row r="13787" spans="13:13" ht="15" customHeight="1" x14ac:dyDescent="0.25">
      <c r="M13787" s="274"/>
    </row>
    <row r="13788" spans="13:13" ht="15" customHeight="1" x14ac:dyDescent="0.25">
      <c r="M13788" s="274"/>
    </row>
    <row r="13789" spans="13:13" ht="15" customHeight="1" x14ac:dyDescent="0.25">
      <c r="M13789" s="274"/>
    </row>
    <row r="13790" spans="13:13" ht="15" customHeight="1" x14ac:dyDescent="0.25">
      <c r="M13790" s="274"/>
    </row>
    <row r="13791" spans="13:13" ht="15" customHeight="1" x14ac:dyDescent="0.25">
      <c r="M13791" s="274"/>
    </row>
    <row r="13792" spans="13:13" ht="15" customHeight="1" x14ac:dyDescent="0.25">
      <c r="M13792" s="274"/>
    </row>
    <row r="13793" spans="13:13" ht="15" customHeight="1" x14ac:dyDescent="0.25">
      <c r="M13793" s="274"/>
    </row>
    <row r="13794" spans="13:13" ht="15" customHeight="1" x14ac:dyDescent="0.25">
      <c r="M13794" s="274"/>
    </row>
    <row r="13795" spans="13:13" ht="15" customHeight="1" x14ac:dyDescent="0.25">
      <c r="M13795" s="274"/>
    </row>
    <row r="13796" spans="13:13" ht="15" customHeight="1" x14ac:dyDescent="0.25">
      <c r="M13796" s="274"/>
    </row>
    <row r="13797" spans="13:13" ht="15" customHeight="1" x14ac:dyDescent="0.25">
      <c r="M13797" s="274"/>
    </row>
    <row r="13798" spans="13:13" ht="15" customHeight="1" x14ac:dyDescent="0.25">
      <c r="M13798" s="274"/>
    </row>
    <row r="13799" spans="13:13" ht="15" customHeight="1" x14ac:dyDescent="0.25">
      <c r="M13799" s="274"/>
    </row>
    <row r="13800" spans="13:13" ht="15" customHeight="1" x14ac:dyDescent="0.25">
      <c r="M13800" s="274"/>
    </row>
    <row r="13801" spans="13:13" ht="15" customHeight="1" x14ac:dyDescent="0.25">
      <c r="M13801" s="274"/>
    </row>
    <row r="13802" spans="13:13" ht="15" customHeight="1" x14ac:dyDescent="0.25">
      <c r="M13802" s="274"/>
    </row>
    <row r="13803" spans="13:13" ht="15" customHeight="1" x14ac:dyDescent="0.25">
      <c r="M13803" s="274"/>
    </row>
    <row r="13804" spans="13:13" ht="15" customHeight="1" x14ac:dyDescent="0.25">
      <c r="M13804" s="274"/>
    </row>
    <row r="13805" spans="13:13" ht="15" customHeight="1" x14ac:dyDescent="0.25">
      <c r="M13805" s="274"/>
    </row>
    <row r="13806" spans="13:13" ht="15" customHeight="1" x14ac:dyDescent="0.25">
      <c r="M13806" s="274"/>
    </row>
    <row r="13807" spans="13:13" ht="15" customHeight="1" x14ac:dyDescent="0.25">
      <c r="M13807" s="274"/>
    </row>
    <row r="13808" spans="13:13" ht="15" customHeight="1" x14ac:dyDescent="0.25">
      <c r="M13808" s="274"/>
    </row>
    <row r="13809" spans="13:13" ht="15" customHeight="1" x14ac:dyDescent="0.25">
      <c r="M13809" s="274"/>
    </row>
    <row r="13810" spans="13:13" ht="15" customHeight="1" x14ac:dyDescent="0.25">
      <c r="M13810" s="274"/>
    </row>
    <row r="13811" spans="13:13" ht="15" customHeight="1" x14ac:dyDescent="0.25">
      <c r="M13811" s="274"/>
    </row>
    <row r="13812" spans="13:13" ht="15" customHeight="1" x14ac:dyDescent="0.25">
      <c r="M13812" s="274"/>
    </row>
    <row r="13813" spans="13:13" ht="15" customHeight="1" x14ac:dyDescent="0.25">
      <c r="M13813" s="274"/>
    </row>
    <row r="13814" spans="13:13" ht="15" customHeight="1" x14ac:dyDescent="0.25">
      <c r="M13814" s="274"/>
    </row>
    <row r="13815" spans="13:13" ht="15" customHeight="1" x14ac:dyDescent="0.25">
      <c r="M13815" s="274"/>
    </row>
    <row r="13816" spans="13:13" ht="15" customHeight="1" x14ac:dyDescent="0.25">
      <c r="M13816" s="274"/>
    </row>
    <row r="13817" spans="13:13" ht="15" customHeight="1" x14ac:dyDescent="0.25">
      <c r="M13817" s="274"/>
    </row>
    <row r="13818" spans="13:13" ht="15" customHeight="1" x14ac:dyDescent="0.25">
      <c r="M13818" s="274"/>
    </row>
    <row r="13819" spans="13:13" ht="15" customHeight="1" x14ac:dyDescent="0.25">
      <c r="M13819" s="274"/>
    </row>
    <row r="13820" spans="13:13" ht="15" customHeight="1" x14ac:dyDescent="0.25">
      <c r="M13820" s="274"/>
    </row>
    <row r="13821" spans="13:13" ht="15" customHeight="1" x14ac:dyDescent="0.25">
      <c r="M13821" s="274"/>
    </row>
    <row r="13822" spans="13:13" ht="15" customHeight="1" x14ac:dyDescent="0.25">
      <c r="M13822" s="274"/>
    </row>
    <row r="13823" spans="13:13" ht="15" customHeight="1" x14ac:dyDescent="0.25">
      <c r="M13823" s="274"/>
    </row>
    <row r="13824" spans="13:13" ht="15" customHeight="1" x14ac:dyDescent="0.25">
      <c r="M13824" s="274"/>
    </row>
    <row r="13825" spans="13:13" ht="15" customHeight="1" x14ac:dyDescent="0.25">
      <c r="M13825" s="274"/>
    </row>
    <row r="13826" spans="13:13" ht="15" customHeight="1" x14ac:dyDescent="0.25">
      <c r="M13826" s="274"/>
    </row>
    <row r="13827" spans="13:13" ht="15" customHeight="1" x14ac:dyDescent="0.25">
      <c r="M13827" s="274"/>
    </row>
    <row r="13828" spans="13:13" ht="15" customHeight="1" x14ac:dyDescent="0.25">
      <c r="M13828" s="274"/>
    </row>
    <row r="13829" spans="13:13" ht="15" customHeight="1" x14ac:dyDescent="0.25">
      <c r="M13829" s="274"/>
    </row>
    <row r="13830" spans="13:13" ht="15" customHeight="1" x14ac:dyDescent="0.25">
      <c r="M13830" s="274"/>
    </row>
    <row r="13831" spans="13:13" ht="15" customHeight="1" x14ac:dyDescent="0.25">
      <c r="M13831" s="274"/>
    </row>
    <row r="13832" spans="13:13" ht="15" customHeight="1" x14ac:dyDescent="0.25">
      <c r="M13832" s="274"/>
    </row>
    <row r="13833" spans="13:13" ht="15" customHeight="1" x14ac:dyDescent="0.25">
      <c r="M13833" s="274"/>
    </row>
    <row r="13834" spans="13:13" ht="15" customHeight="1" x14ac:dyDescent="0.25">
      <c r="M13834" s="274"/>
    </row>
    <row r="13835" spans="13:13" ht="15" customHeight="1" x14ac:dyDescent="0.25">
      <c r="M13835" s="274"/>
    </row>
    <row r="13836" spans="13:13" ht="15" customHeight="1" x14ac:dyDescent="0.25">
      <c r="M13836" s="274"/>
    </row>
    <row r="13837" spans="13:13" ht="15" customHeight="1" x14ac:dyDescent="0.25">
      <c r="M13837" s="274"/>
    </row>
    <row r="13838" spans="13:13" ht="15" customHeight="1" x14ac:dyDescent="0.25">
      <c r="M13838" s="274"/>
    </row>
    <row r="13839" spans="13:13" ht="15" customHeight="1" x14ac:dyDescent="0.25">
      <c r="M13839" s="274"/>
    </row>
    <row r="13840" spans="13:13" ht="15" customHeight="1" x14ac:dyDescent="0.25">
      <c r="M13840" s="274"/>
    </row>
    <row r="13841" spans="13:13" ht="15" customHeight="1" x14ac:dyDescent="0.25">
      <c r="M13841" s="274"/>
    </row>
    <row r="13842" spans="13:13" ht="15" customHeight="1" x14ac:dyDescent="0.25">
      <c r="M13842" s="274"/>
    </row>
    <row r="13843" spans="13:13" ht="15" customHeight="1" x14ac:dyDescent="0.25">
      <c r="M13843" s="274"/>
    </row>
    <row r="13844" spans="13:13" ht="15" customHeight="1" x14ac:dyDescent="0.25">
      <c r="M13844" s="274"/>
    </row>
    <row r="13845" spans="13:13" ht="15" customHeight="1" x14ac:dyDescent="0.25">
      <c r="M13845" s="274"/>
    </row>
    <row r="13846" spans="13:13" ht="15" customHeight="1" x14ac:dyDescent="0.25">
      <c r="M13846" s="274"/>
    </row>
    <row r="13847" spans="13:13" ht="15" customHeight="1" x14ac:dyDescent="0.25">
      <c r="M13847" s="274"/>
    </row>
    <row r="13848" spans="13:13" ht="15" customHeight="1" x14ac:dyDescent="0.25">
      <c r="M13848" s="274"/>
    </row>
    <row r="13849" spans="13:13" ht="15" customHeight="1" x14ac:dyDescent="0.25">
      <c r="M13849" s="274"/>
    </row>
    <row r="13850" spans="13:13" ht="15" customHeight="1" x14ac:dyDescent="0.25">
      <c r="M13850" s="274"/>
    </row>
    <row r="13851" spans="13:13" ht="15" customHeight="1" x14ac:dyDescent="0.25">
      <c r="M13851" s="274"/>
    </row>
    <row r="13852" spans="13:13" ht="15" customHeight="1" x14ac:dyDescent="0.25">
      <c r="M13852" s="274"/>
    </row>
    <row r="13853" spans="13:13" ht="15" customHeight="1" x14ac:dyDescent="0.25">
      <c r="M13853" s="274"/>
    </row>
    <row r="13854" spans="13:13" ht="15" customHeight="1" x14ac:dyDescent="0.25">
      <c r="M13854" s="274"/>
    </row>
    <row r="13855" spans="13:13" ht="15" customHeight="1" x14ac:dyDescent="0.25">
      <c r="M13855" s="274"/>
    </row>
    <row r="13856" spans="13:13" ht="15" customHeight="1" x14ac:dyDescent="0.25">
      <c r="M13856" s="274"/>
    </row>
    <row r="13857" spans="13:13" ht="15" customHeight="1" x14ac:dyDescent="0.25">
      <c r="M13857" s="274"/>
    </row>
    <row r="13858" spans="13:13" ht="15" customHeight="1" x14ac:dyDescent="0.25">
      <c r="M13858" s="274"/>
    </row>
    <row r="13859" spans="13:13" ht="15" customHeight="1" x14ac:dyDescent="0.25">
      <c r="M13859" s="274"/>
    </row>
    <row r="13860" spans="13:13" ht="15" customHeight="1" x14ac:dyDescent="0.25">
      <c r="M13860" s="274"/>
    </row>
    <row r="13861" spans="13:13" ht="15" customHeight="1" x14ac:dyDescent="0.25">
      <c r="M13861" s="274"/>
    </row>
    <row r="13862" spans="13:13" ht="15" customHeight="1" x14ac:dyDescent="0.25">
      <c r="M13862" s="274"/>
    </row>
    <row r="13863" spans="13:13" ht="15" customHeight="1" x14ac:dyDescent="0.25">
      <c r="M13863" s="274"/>
    </row>
    <row r="13864" spans="13:13" ht="15" customHeight="1" x14ac:dyDescent="0.25">
      <c r="M13864" s="274"/>
    </row>
    <row r="13865" spans="13:13" ht="15" customHeight="1" x14ac:dyDescent="0.25">
      <c r="M13865" s="274"/>
    </row>
    <row r="13866" spans="13:13" ht="15" customHeight="1" x14ac:dyDescent="0.25">
      <c r="M13866" s="274"/>
    </row>
    <row r="13867" spans="13:13" ht="15" customHeight="1" x14ac:dyDescent="0.25">
      <c r="M13867" s="274"/>
    </row>
    <row r="13868" spans="13:13" ht="15" customHeight="1" x14ac:dyDescent="0.25">
      <c r="M13868" s="274"/>
    </row>
    <row r="13869" spans="13:13" ht="15" customHeight="1" x14ac:dyDescent="0.25">
      <c r="M13869" s="274"/>
    </row>
    <row r="13870" spans="13:13" ht="15" customHeight="1" x14ac:dyDescent="0.25">
      <c r="M13870" s="274"/>
    </row>
    <row r="13871" spans="13:13" ht="15" customHeight="1" x14ac:dyDescent="0.25">
      <c r="M13871" s="274"/>
    </row>
    <row r="13872" spans="13:13" ht="15" customHeight="1" x14ac:dyDescent="0.25">
      <c r="M13872" s="274"/>
    </row>
    <row r="13873" spans="13:13" ht="15" customHeight="1" x14ac:dyDescent="0.25">
      <c r="M13873" s="274"/>
    </row>
    <row r="13874" spans="13:13" ht="15" customHeight="1" x14ac:dyDescent="0.25">
      <c r="M13874" s="274"/>
    </row>
    <row r="13875" spans="13:13" ht="15" customHeight="1" x14ac:dyDescent="0.25">
      <c r="M13875" s="274"/>
    </row>
    <row r="13876" spans="13:13" ht="15" customHeight="1" x14ac:dyDescent="0.25">
      <c r="M13876" s="274"/>
    </row>
    <row r="13877" spans="13:13" ht="15" customHeight="1" x14ac:dyDescent="0.25">
      <c r="M13877" s="274"/>
    </row>
    <row r="13878" spans="13:13" ht="15" customHeight="1" x14ac:dyDescent="0.25">
      <c r="M13878" s="274"/>
    </row>
    <row r="13879" spans="13:13" ht="15" customHeight="1" x14ac:dyDescent="0.25">
      <c r="M13879" s="274"/>
    </row>
    <row r="13880" spans="13:13" ht="15" customHeight="1" x14ac:dyDescent="0.25">
      <c r="M13880" s="274"/>
    </row>
    <row r="13881" spans="13:13" ht="15" customHeight="1" x14ac:dyDescent="0.25">
      <c r="M13881" s="274"/>
    </row>
    <row r="13882" spans="13:13" ht="15" customHeight="1" x14ac:dyDescent="0.25">
      <c r="M13882" s="274"/>
    </row>
    <row r="13883" spans="13:13" ht="15" customHeight="1" x14ac:dyDescent="0.25">
      <c r="M13883" s="274"/>
    </row>
    <row r="13884" spans="13:13" ht="15" customHeight="1" x14ac:dyDescent="0.25">
      <c r="M13884" s="274"/>
    </row>
    <row r="13885" spans="13:13" ht="15" customHeight="1" x14ac:dyDescent="0.25">
      <c r="M13885" s="274"/>
    </row>
    <row r="13886" spans="13:13" ht="15" customHeight="1" x14ac:dyDescent="0.25">
      <c r="M13886" s="274"/>
    </row>
    <row r="13887" spans="13:13" ht="15" customHeight="1" x14ac:dyDescent="0.25">
      <c r="M13887" s="274"/>
    </row>
    <row r="13888" spans="13:13" ht="15" customHeight="1" x14ac:dyDescent="0.25">
      <c r="M13888" s="274"/>
    </row>
    <row r="13889" spans="13:13" ht="15" customHeight="1" x14ac:dyDescent="0.25">
      <c r="M13889" s="274"/>
    </row>
    <row r="13890" spans="13:13" ht="15" customHeight="1" x14ac:dyDescent="0.25">
      <c r="M13890" s="274"/>
    </row>
    <row r="13891" spans="13:13" ht="15" customHeight="1" x14ac:dyDescent="0.25">
      <c r="M13891" s="274"/>
    </row>
    <row r="13892" spans="13:13" ht="15" customHeight="1" x14ac:dyDescent="0.25">
      <c r="M13892" s="274"/>
    </row>
    <row r="13893" spans="13:13" ht="15" customHeight="1" x14ac:dyDescent="0.25">
      <c r="M13893" s="274"/>
    </row>
    <row r="13894" spans="13:13" ht="15" customHeight="1" x14ac:dyDescent="0.25">
      <c r="M13894" s="274"/>
    </row>
    <row r="13895" spans="13:13" ht="15" customHeight="1" x14ac:dyDescent="0.25">
      <c r="M13895" s="274"/>
    </row>
    <row r="13896" spans="13:13" ht="15" customHeight="1" x14ac:dyDescent="0.25">
      <c r="M13896" s="274"/>
    </row>
    <row r="13897" spans="13:13" ht="15" customHeight="1" x14ac:dyDescent="0.25">
      <c r="M13897" s="274"/>
    </row>
    <row r="13898" spans="13:13" ht="15" customHeight="1" x14ac:dyDescent="0.25">
      <c r="M13898" s="274"/>
    </row>
    <row r="13899" spans="13:13" ht="15" customHeight="1" x14ac:dyDescent="0.25">
      <c r="M13899" s="274"/>
    </row>
    <row r="13900" spans="13:13" ht="15" customHeight="1" x14ac:dyDescent="0.25">
      <c r="M13900" s="274"/>
    </row>
    <row r="13901" spans="13:13" ht="15" customHeight="1" x14ac:dyDescent="0.25">
      <c r="M13901" s="274"/>
    </row>
    <row r="13902" spans="13:13" ht="15" customHeight="1" x14ac:dyDescent="0.25">
      <c r="M13902" s="274"/>
    </row>
    <row r="13903" spans="13:13" ht="15" customHeight="1" x14ac:dyDescent="0.25">
      <c r="M13903" s="274"/>
    </row>
    <row r="13904" spans="13:13" ht="15" customHeight="1" x14ac:dyDescent="0.25">
      <c r="M13904" s="274"/>
    </row>
    <row r="13905" spans="13:13" ht="15" customHeight="1" x14ac:dyDescent="0.25">
      <c r="M13905" s="274"/>
    </row>
    <row r="13906" spans="13:13" ht="15" customHeight="1" x14ac:dyDescent="0.25">
      <c r="M13906" s="274"/>
    </row>
    <row r="13907" spans="13:13" ht="15" customHeight="1" x14ac:dyDescent="0.25">
      <c r="M13907" s="274"/>
    </row>
    <row r="13908" spans="13:13" ht="15" customHeight="1" x14ac:dyDescent="0.25">
      <c r="M13908" s="274"/>
    </row>
    <row r="13909" spans="13:13" ht="15" customHeight="1" x14ac:dyDescent="0.25">
      <c r="M13909" s="274"/>
    </row>
    <row r="13910" spans="13:13" ht="15" customHeight="1" x14ac:dyDescent="0.25">
      <c r="M13910" s="274"/>
    </row>
    <row r="13911" spans="13:13" ht="15" customHeight="1" x14ac:dyDescent="0.25">
      <c r="M13911" s="274"/>
    </row>
    <row r="13912" spans="13:13" ht="15" customHeight="1" x14ac:dyDescent="0.25">
      <c r="M13912" s="274"/>
    </row>
    <row r="13913" spans="13:13" ht="15" customHeight="1" x14ac:dyDescent="0.25">
      <c r="M13913" s="274"/>
    </row>
    <row r="13914" spans="13:13" ht="15" customHeight="1" x14ac:dyDescent="0.25">
      <c r="M13914" s="274"/>
    </row>
    <row r="13915" spans="13:13" ht="15" customHeight="1" x14ac:dyDescent="0.25">
      <c r="M13915" s="274"/>
    </row>
    <row r="13916" spans="13:13" ht="15" customHeight="1" x14ac:dyDescent="0.25">
      <c r="M13916" s="274"/>
    </row>
    <row r="13917" spans="13:13" ht="15" customHeight="1" x14ac:dyDescent="0.25">
      <c r="M13917" s="274"/>
    </row>
    <row r="13918" spans="13:13" ht="15" customHeight="1" x14ac:dyDescent="0.25">
      <c r="M13918" s="274"/>
    </row>
    <row r="13919" spans="13:13" ht="15" customHeight="1" x14ac:dyDescent="0.25">
      <c r="M13919" s="274"/>
    </row>
    <row r="13920" spans="13:13" ht="15" customHeight="1" x14ac:dyDescent="0.25">
      <c r="M13920" s="274"/>
    </row>
    <row r="13921" spans="13:13" ht="15" customHeight="1" x14ac:dyDescent="0.25">
      <c r="M13921" s="274"/>
    </row>
    <row r="13922" spans="13:13" ht="15" customHeight="1" x14ac:dyDescent="0.25">
      <c r="M13922" s="274"/>
    </row>
    <row r="13923" spans="13:13" ht="15" customHeight="1" x14ac:dyDescent="0.25">
      <c r="M13923" s="274"/>
    </row>
    <row r="13924" spans="13:13" ht="15" customHeight="1" x14ac:dyDescent="0.25">
      <c r="M13924" s="274"/>
    </row>
    <row r="13925" spans="13:13" ht="15" customHeight="1" x14ac:dyDescent="0.25">
      <c r="M13925" s="274"/>
    </row>
    <row r="13926" spans="13:13" ht="15" customHeight="1" x14ac:dyDescent="0.25">
      <c r="M13926" s="274"/>
    </row>
    <row r="13927" spans="13:13" ht="15" customHeight="1" x14ac:dyDescent="0.25">
      <c r="M13927" s="274"/>
    </row>
    <row r="13928" spans="13:13" ht="15" customHeight="1" x14ac:dyDescent="0.25">
      <c r="M13928" s="274"/>
    </row>
    <row r="13929" spans="13:13" ht="15" customHeight="1" x14ac:dyDescent="0.25">
      <c r="M13929" s="274"/>
    </row>
    <row r="13930" spans="13:13" ht="15" customHeight="1" x14ac:dyDescent="0.25">
      <c r="M13930" s="274"/>
    </row>
    <row r="13931" spans="13:13" ht="15" customHeight="1" x14ac:dyDescent="0.25">
      <c r="M13931" s="274"/>
    </row>
    <row r="13932" spans="13:13" ht="15" customHeight="1" x14ac:dyDescent="0.25">
      <c r="M13932" s="274"/>
    </row>
    <row r="13933" spans="13:13" ht="15" customHeight="1" x14ac:dyDescent="0.25">
      <c r="M13933" s="274"/>
    </row>
    <row r="13934" spans="13:13" ht="15" customHeight="1" x14ac:dyDescent="0.25">
      <c r="M13934" s="274"/>
    </row>
    <row r="13935" spans="13:13" ht="15" customHeight="1" x14ac:dyDescent="0.25">
      <c r="M13935" s="274"/>
    </row>
    <row r="13936" spans="13:13" ht="15" customHeight="1" x14ac:dyDescent="0.25">
      <c r="M13936" s="274"/>
    </row>
    <row r="13937" spans="13:13" ht="15" customHeight="1" x14ac:dyDescent="0.25">
      <c r="M13937" s="274"/>
    </row>
    <row r="13938" spans="13:13" ht="15" customHeight="1" x14ac:dyDescent="0.25">
      <c r="M13938" s="274"/>
    </row>
    <row r="13939" spans="13:13" ht="15" customHeight="1" x14ac:dyDescent="0.25">
      <c r="M13939" s="274"/>
    </row>
    <row r="13940" spans="13:13" ht="15" customHeight="1" x14ac:dyDescent="0.25">
      <c r="M13940" s="274"/>
    </row>
    <row r="13941" spans="13:13" ht="15" customHeight="1" x14ac:dyDescent="0.25">
      <c r="M13941" s="274"/>
    </row>
    <row r="13942" spans="13:13" ht="15" customHeight="1" x14ac:dyDescent="0.25">
      <c r="M13942" s="274"/>
    </row>
    <row r="13943" spans="13:13" ht="15" customHeight="1" x14ac:dyDescent="0.25">
      <c r="M13943" s="274"/>
    </row>
    <row r="13944" spans="13:13" ht="15" customHeight="1" x14ac:dyDescent="0.25">
      <c r="M13944" s="274"/>
    </row>
    <row r="13945" spans="13:13" ht="15" customHeight="1" x14ac:dyDescent="0.25">
      <c r="M13945" s="274"/>
    </row>
    <row r="13946" spans="13:13" ht="15" customHeight="1" x14ac:dyDescent="0.25">
      <c r="M13946" s="274"/>
    </row>
    <row r="13947" spans="13:13" ht="15" customHeight="1" x14ac:dyDescent="0.25">
      <c r="M13947" s="274"/>
    </row>
    <row r="13948" spans="13:13" ht="15" customHeight="1" x14ac:dyDescent="0.25">
      <c r="M13948" s="274"/>
    </row>
    <row r="13949" spans="13:13" ht="15" customHeight="1" x14ac:dyDescent="0.25">
      <c r="M13949" s="274"/>
    </row>
    <row r="13950" spans="13:13" ht="15" customHeight="1" x14ac:dyDescent="0.25">
      <c r="M13950" s="274"/>
    </row>
    <row r="13951" spans="13:13" ht="15" customHeight="1" x14ac:dyDescent="0.25">
      <c r="M13951" s="274"/>
    </row>
    <row r="13952" spans="13:13" ht="15" customHeight="1" x14ac:dyDescent="0.25">
      <c r="M13952" s="274"/>
    </row>
    <row r="13953" spans="13:13" ht="15" customHeight="1" x14ac:dyDescent="0.25">
      <c r="M13953" s="274"/>
    </row>
    <row r="13954" spans="13:13" ht="15" customHeight="1" x14ac:dyDescent="0.25">
      <c r="M13954" s="274"/>
    </row>
    <row r="13955" spans="13:13" ht="15" customHeight="1" x14ac:dyDescent="0.25">
      <c r="M13955" s="274"/>
    </row>
    <row r="13956" spans="13:13" ht="15" customHeight="1" x14ac:dyDescent="0.25">
      <c r="M13956" s="274"/>
    </row>
    <row r="13957" spans="13:13" ht="15" customHeight="1" x14ac:dyDescent="0.25">
      <c r="M13957" s="274"/>
    </row>
    <row r="13958" spans="13:13" ht="15" customHeight="1" x14ac:dyDescent="0.25">
      <c r="M13958" s="274"/>
    </row>
    <row r="13959" spans="13:13" ht="15" customHeight="1" x14ac:dyDescent="0.25">
      <c r="M13959" s="274"/>
    </row>
    <row r="13960" spans="13:13" ht="15" customHeight="1" x14ac:dyDescent="0.25">
      <c r="M13960" s="274"/>
    </row>
    <row r="13961" spans="13:13" ht="15" customHeight="1" x14ac:dyDescent="0.25">
      <c r="M13961" s="274"/>
    </row>
    <row r="13962" spans="13:13" ht="15" customHeight="1" x14ac:dyDescent="0.25">
      <c r="M13962" s="274"/>
    </row>
    <row r="13963" spans="13:13" ht="15" customHeight="1" x14ac:dyDescent="0.25">
      <c r="M13963" s="274"/>
    </row>
    <row r="13964" spans="13:13" ht="15" customHeight="1" x14ac:dyDescent="0.25">
      <c r="M13964" s="274"/>
    </row>
    <row r="13965" spans="13:13" ht="15" customHeight="1" x14ac:dyDescent="0.25">
      <c r="M13965" s="274"/>
    </row>
    <row r="13966" spans="13:13" ht="15" customHeight="1" x14ac:dyDescent="0.25">
      <c r="M13966" s="274"/>
    </row>
    <row r="13967" spans="13:13" ht="15" customHeight="1" x14ac:dyDescent="0.25">
      <c r="M13967" s="274"/>
    </row>
    <row r="13968" spans="13:13" ht="15" customHeight="1" x14ac:dyDescent="0.25">
      <c r="M13968" s="274"/>
    </row>
    <row r="13969" spans="13:13" ht="15" customHeight="1" x14ac:dyDescent="0.25">
      <c r="M13969" s="274"/>
    </row>
    <row r="13970" spans="13:13" ht="15" customHeight="1" x14ac:dyDescent="0.25">
      <c r="M13970" s="274"/>
    </row>
    <row r="13971" spans="13:13" ht="15" customHeight="1" x14ac:dyDescent="0.25">
      <c r="M13971" s="274"/>
    </row>
    <row r="13972" spans="13:13" ht="15" customHeight="1" x14ac:dyDescent="0.25">
      <c r="M13972" s="274"/>
    </row>
    <row r="13973" spans="13:13" ht="15" customHeight="1" x14ac:dyDescent="0.25">
      <c r="M13973" s="274"/>
    </row>
    <row r="13974" spans="13:13" ht="15" customHeight="1" x14ac:dyDescent="0.25">
      <c r="M13974" s="274"/>
    </row>
    <row r="13975" spans="13:13" ht="15" customHeight="1" x14ac:dyDescent="0.25">
      <c r="M13975" s="274"/>
    </row>
    <row r="13976" spans="13:13" ht="15" customHeight="1" x14ac:dyDescent="0.25">
      <c r="M13976" s="274"/>
    </row>
    <row r="13977" spans="13:13" ht="15" customHeight="1" x14ac:dyDescent="0.25">
      <c r="M13977" s="274"/>
    </row>
    <row r="13978" spans="13:13" ht="15" customHeight="1" x14ac:dyDescent="0.25">
      <c r="M13978" s="274"/>
    </row>
    <row r="13979" spans="13:13" ht="15" customHeight="1" x14ac:dyDescent="0.25">
      <c r="M13979" s="274"/>
    </row>
    <row r="13980" spans="13:13" ht="15" customHeight="1" x14ac:dyDescent="0.25">
      <c r="M13980" s="274"/>
    </row>
    <row r="13981" spans="13:13" ht="15" customHeight="1" x14ac:dyDescent="0.25">
      <c r="M13981" s="274"/>
    </row>
    <row r="13982" spans="13:13" ht="15" customHeight="1" x14ac:dyDescent="0.25">
      <c r="M13982" s="274"/>
    </row>
    <row r="13983" spans="13:13" ht="15" customHeight="1" x14ac:dyDescent="0.25">
      <c r="M13983" s="274"/>
    </row>
    <row r="13984" spans="13:13" ht="15" customHeight="1" x14ac:dyDescent="0.25">
      <c r="M13984" s="274"/>
    </row>
    <row r="13985" spans="13:13" ht="15" customHeight="1" x14ac:dyDescent="0.25">
      <c r="M13985" s="274"/>
    </row>
    <row r="13986" spans="13:13" ht="15" customHeight="1" x14ac:dyDescent="0.25">
      <c r="M13986" s="274"/>
    </row>
    <row r="13987" spans="13:13" ht="15" customHeight="1" x14ac:dyDescent="0.25">
      <c r="M13987" s="274"/>
    </row>
    <row r="13988" spans="13:13" ht="15" customHeight="1" x14ac:dyDescent="0.25">
      <c r="M13988" s="274"/>
    </row>
    <row r="13989" spans="13:13" ht="15" customHeight="1" x14ac:dyDescent="0.25">
      <c r="M13989" s="274"/>
    </row>
    <row r="13990" spans="13:13" ht="15" customHeight="1" x14ac:dyDescent="0.25">
      <c r="M13990" s="274"/>
    </row>
    <row r="13991" spans="13:13" ht="15" customHeight="1" x14ac:dyDescent="0.25">
      <c r="M13991" s="274"/>
    </row>
    <row r="13992" spans="13:13" ht="15" customHeight="1" x14ac:dyDescent="0.25">
      <c r="M13992" s="274"/>
    </row>
    <row r="13993" spans="13:13" ht="15" customHeight="1" x14ac:dyDescent="0.25">
      <c r="M13993" s="274"/>
    </row>
    <row r="13994" spans="13:13" ht="15" customHeight="1" x14ac:dyDescent="0.25">
      <c r="M13994" s="274"/>
    </row>
    <row r="13995" spans="13:13" ht="15" customHeight="1" x14ac:dyDescent="0.25">
      <c r="M13995" s="274"/>
    </row>
    <row r="13996" spans="13:13" ht="15" customHeight="1" x14ac:dyDescent="0.25">
      <c r="M13996" s="274"/>
    </row>
    <row r="13997" spans="13:13" ht="15" customHeight="1" x14ac:dyDescent="0.25">
      <c r="M13997" s="274"/>
    </row>
    <row r="13998" spans="13:13" ht="15" customHeight="1" x14ac:dyDescent="0.25">
      <c r="M13998" s="274"/>
    </row>
    <row r="13999" spans="13:13" ht="15" customHeight="1" x14ac:dyDescent="0.25">
      <c r="M13999" s="274"/>
    </row>
    <row r="14000" spans="13:13" ht="15" customHeight="1" x14ac:dyDescent="0.25">
      <c r="M14000" s="274"/>
    </row>
    <row r="14001" spans="13:13" ht="15" customHeight="1" x14ac:dyDescent="0.25">
      <c r="M14001" s="274"/>
    </row>
    <row r="14002" spans="13:13" ht="15" customHeight="1" x14ac:dyDescent="0.25">
      <c r="M14002" s="274"/>
    </row>
    <row r="14003" spans="13:13" ht="15" customHeight="1" x14ac:dyDescent="0.25">
      <c r="M14003" s="274"/>
    </row>
    <row r="14004" spans="13:13" ht="15" customHeight="1" x14ac:dyDescent="0.25">
      <c r="M14004" s="274"/>
    </row>
    <row r="14005" spans="13:13" ht="15" customHeight="1" x14ac:dyDescent="0.25">
      <c r="M14005" s="274"/>
    </row>
    <row r="14006" spans="13:13" ht="15" customHeight="1" x14ac:dyDescent="0.25">
      <c r="M14006" s="274"/>
    </row>
    <row r="14007" spans="13:13" ht="15" customHeight="1" x14ac:dyDescent="0.25">
      <c r="M14007" s="274"/>
    </row>
    <row r="14008" spans="13:13" ht="15" customHeight="1" x14ac:dyDescent="0.25">
      <c r="M14008" s="274"/>
    </row>
    <row r="14009" spans="13:13" ht="15" customHeight="1" x14ac:dyDescent="0.25">
      <c r="M14009" s="274"/>
    </row>
    <row r="14010" spans="13:13" ht="15" customHeight="1" x14ac:dyDescent="0.25">
      <c r="M14010" s="274"/>
    </row>
    <row r="14011" spans="13:13" ht="15" customHeight="1" x14ac:dyDescent="0.25">
      <c r="M14011" s="274"/>
    </row>
    <row r="14012" spans="13:13" ht="15" customHeight="1" x14ac:dyDescent="0.25">
      <c r="M14012" s="274"/>
    </row>
    <row r="14013" spans="13:13" ht="15" customHeight="1" x14ac:dyDescent="0.25">
      <c r="M14013" s="274"/>
    </row>
    <row r="14014" spans="13:13" ht="15" customHeight="1" x14ac:dyDescent="0.25">
      <c r="M14014" s="274"/>
    </row>
    <row r="14015" spans="13:13" ht="15" customHeight="1" x14ac:dyDescent="0.25">
      <c r="M14015" s="274"/>
    </row>
    <row r="14016" spans="13:13" ht="15" customHeight="1" x14ac:dyDescent="0.25">
      <c r="M14016" s="274"/>
    </row>
    <row r="14017" spans="13:13" ht="15" customHeight="1" x14ac:dyDescent="0.25">
      <c r="M14017" s="274"/>
    </row>
    <row r="14018" spans="13:13" ht="15" customHeight="1" x14ac:dyDescent="0.25">
      <c r="M14018" s="274"/>
    </row>
    <row r="14019" spans="13:13" ht="15" customHeight="1" x14ac:dyDescent="0.25">
      <c r="M14019" s="274"/>
    </row>
    <row r="14020" spans="13:13" ht="15" customHeight="1" x14ac:dyDescent="0.25">
      <c r="M14020" s="274"/>
    </row>
    <row r="14021" spans="13:13" ht="15" customHeight="1" x14ac:dyDescent="0.25">
      <c r="M14021" s="274"/>
    </row>
    <row r="14022" spans="13:13" ht="15" customHeight="1" x14ac:dyDescent="0.25">
      <c r="M14022" s="274"/>
    </row>
    <row r="14023" spans="13:13" ht="15" customHeight="1" x14ac:dyDescent="0.25">
      <c r="M14023" s="274"/>
    </row>
    <row r="14024" spans="13:13" ht="15" customHeight="1" x14ac:dyDescent="0.25">
      <c r="M14024" s="274"/>
    </row>
    <row r="14025" spans="13:13" ht="15" customHeight="1" x14ac:dyDescent="0.25">
      <c r="M14025" s="274"/>
    </row>
    <row r="14026" spans="13:13" ht="15" customHeight="1" x14ac:dyDescent="0.25">
      <c r="M14026" s="274"/>
    </row>
    <row r="14027" spans="13:13" ht="15" customHeight="1" x14ac:dyDescent="0.25">
      <c r="M14027" s="274"/>
    </row>
    <row r="14028" spans="13:13" ht="15" customHeight="1" x14ac:dyDescent="0.25">
      <c r="M14028" s="274"/>
    </row>
    <row r="14029" spans="13:13" ht="15" customHeight="1" x14ac:dyDescent="0.25">
      <c r="M14029" s="274"/>
    </row>
    <row r="14030" spans="13:13" ht="15" customHeight="1" x14ac:dyDescent="0.25">
      <c r="M14030" s="274"/>
    </row>
    <row r="14031" spans="13:13" ht="15" customHeight="1" x14ac:dyDescent="0.25">
      <c r="M14031" s="274"/>
    </row>
    <row r="14032" spans="13:13" ht="15" customHeight="1" x14ac:dyDescent="0.25">
      <c r="M14032" s="274"/>
    </row>
    <row r="14033" spans="13:13" ht="15" customHeight="1" x14ac:dyDescent="0.25">
      <c r="M14033" s="274"/>
    </row>
    <row r="14034" spans="13:13" ht="15" customHeight="1" x14ac:dyDescent="0.25">
      <c r="M14034" s="274"/>
    </row>
    <row r="14035" spans="13:13" ht="15" customHeight="1" x14ac:dyDescent="0.25">
      <c r="M14035" s="274"/>
    </row>
    <row r="14036" spans="13:13" ht="15" customHeight="1" x14ac:dyDescent="0.25">
      <c r="M14036" s="274"/>
    </row>
    <row r="14037" spans="13:13" ht="15" customHeight="1" x14ac:dyDescent="0.25">
      <c r="M14037" s="274"/>
    </row>
    <row r="14038" spans="13:13" ht="15" customHeight="1" x14ac:dyDescent="0.25">
      <c r="M14038" s="274"/>
    </row>
    <row r="14039" spans="13:13" ht="15" customHeight="1" x14ac:dyDescent="0.25">
      <c r="M14039" s="274"/>
    </row>
    <row r="14040" spans="13:13" ht="15" customHeight="1" x14ac:dyDescent="0.25">
      <c r="M14040" s="274"/>
    </row>
    <row r="14041" spans="13:13" ht="15" customHeight="1" x14ac:dyDescent="0.25">
      <c r="M14041" s="274"/>
    </row>
    <row r="14042" spans="13:13" ht="15" customHeight="1" x14ac:dyDescent="0.25">
      <c r="M14042" s="274"/>
    </row>
    <row r="14043" spans="13:13" ht="15" customHeight="1" x14ac:dyDescent="0.25">
      <c r="M14043" s="274"/>
    </row>
    <row r="14044" spans="13:13" ht="15" customHeight="1" x14ac:dyDescent="0.25">
      <c r="M14044" s="274"/>
    </row>
    <row r="14045" spans="13:13" ht="15" customHeight="1" x14ac:dyDescent="0.25">
      <c r="M14045" s="274"/>
    </row>
    <row r="14046" spans="13:13" ht="15" customHeight="1" x14ac:dyDescent="0.25">
      <c r="M14046" s="274"/>
    </row>
    <row r="14047" spans="13:13" ht="15" customHeight="1" x14ac:dyDescent="0.25">
      <c r="M14047" s="274"/>
    </row>
    <row r="14048" spans="13:13" ht="15" customHeight="1" x14ac:dyDescent="0.25">
      <c r="M14048" s="274"/>
    </row>
    <row r="14049" spans="13:13" ht="15" customHeight="1" x14ac:dyDescent="0.25">
      <c r="M14049" s="274"/>
    </row>
    <row r="14050" spans="13:13" ht="15" customHeight="1" x14ac:dyDescent="0.25">
      <c r="M14050" s="274"/>
    </row>
    <row r="14051" spans="13:13" ht="15" customHeight="1" x14ac:dyDescent="0.25">
      <c r="M14051" s="274"/>
    </row>
    <row r="14052" spans="13:13" ht="15" customHeight="1" x14ac:dyDescent="0.25">
      <c r="M14052" s="274"/>
    </row>
    <row r="14053" spans="13:13" ht="15" customHeight="1" x14ac:dyDescent="0.25">
      <c r="M14053" s="274"/>
    </row>
    <row r="14054" spans="13:13" ht="15" customHeight="1" x14ac:dyDescent="0.25">
      <c r="M14054" s="274"/>
    </row>
    <row r="14055" spans="13:13" ht="15" customHeight="1" x14ac:dyDescent="0.25">
      <c r="M14055" s="274"/>
    </row>
    <row r="14056" spans="13:13" ht="15" customHeight="1" x14ac:dyDescent="0.25">
      <c r="M14056" s="274"/>
    </row>
    <row r="14057" spans="13:13" ht="15" customHeight="1" x14ac:dyDescent="0.25">
      <c r="M14057" s="274"/>
    </row>
    <row r="14058" spans="13:13" ht="15" customHeight="1" x14ac:dyDescent="0.25">
      <c r="M14058" s="274"/>
    </row>
    <row r="14059" spans="13:13" ht="15" customHeight="1" x14ac:dyDescent="0.25">
      <c r="M14059" s="274"/>
    </row>
    <row r="14060" spans="13:13" ht="15" customHeight="1" x14ac:dyDescent="0.25">
      <c r="M14060" s="274"/>
    </row>
    <row r="14061" spans="13:13" ht="15" customHeight="1" x14ac:dyDescent="0.25">
      <c r="M14061" s="274"/>
    </row>
    <row r="14062" spans="13:13" ht="15" customHeight="1" x14ac:dyDescent="0.25">
      <c r="M14062" s="274"/>
    </row>
    <row r="14063" spans="13:13" ht="15" customHeight="1" x14ac:dyDescent="0.25">
      <c r="M14063" s="274"/>
    </row>
    <row r="14064" spans="13:13" ht="15" customHeight="1" x14ac:dyDescent="0.25">
      <c r="M14064" s="274"/>
    </row>
    <row r="14065" spans="13:13" ht="15" customHeight="1" x14ac:dyDescent="0.25">
      <c r="M14065" s="274"/>
    </row>
    <row r="14066" spans="13:13" ht="15" customHeight="1" x14ac:dyDescent="0.25">
      <c r="M14066" s="274"/>
    </row>
    <row r="14067" spans="13:13" ht="15" customHeight="1" x14ac:dyDescent="0.25">
      <c r="M14067" s="274"/>
    </row>
    <row r="14068" spans="13:13" ht="15" customHeight="1" x14ac:dyDescent="0.25">
      <c r="M14068" s="274"/>
    </row>
    <row r="14069" spans="13:13" ht="15" customHeight="1" x14ac:dyDescent="0.25">
      <c r="M14069" s="274"/>
    </row>
    <row r="14070" spans="13:13" ht="15" customHeight="1" x14ac:dyDescent="0.25">
      <c r="M14070" s="274"/>
    </row>
    <row r="14071" spans="13:13" ht="15" customHeight="1" x14ac:dyDescent="0.25">
      <c r="M14071" s="274"/>
    </row>
    <row r="14072" spans="13:13" ht="15" customHeight="1" x14ac:dyDescent="0.25">
      <c r="M14072" s="274"/>
    </row>
    <row r="14073" spans="13:13" ht="15" customHeight="1" x14ac:dyDescent="0.25">
      <c r="M14073" s="274"/>
    </row>
    <row r="14074" spans="13:13" ht="15" customHeight="1" x14ac:dyDescent="0.25">
      <c r="M14074" s="274"/>
    </row>
    <row r="14075" spans="13:13" ht="15" customHeight="1" x14ac:dyDescent="0.25">
      <c r="M14075" s="274"/>
    </row>
    <row r="14076" spans="13:13" ht="15" customHeight="1" x14ac:dyDescent="0.25">
      <c r="M14076" s="274"/>
    </row>
    <row r="14077" spans="13:13" ht="15" customHeight="1" x14ac:dyDescent="0.25">
      <c r="M14077" s="274"/>
    </row>
    <row r="14078" spans="13:13" ht="15" customHeight="1" x14ac:dyDescent="0.25">
      <c r="M14078" s="274"/>
    </row>
    <row r="14079" spans="13:13" ht="15" customHeight="1" x14ac:dyDescent="0.25">
      <c r="M14079" s="274"/>
    </row>
    <row r="14080" spans="13:13" ht="15" customHeight="1" x14ac:dyDescent="0.25">
      <c r="M14080" s="274"/>
    </row>
    <row r="14081" spans="13:13" ht="15" customHeight="1" x14ac:dyDescent="0.25">
      <c r="M14081" s="274"/>
    </row>
    <row r="14082" spans="13:13" ht="15" customHeight="1" x14ac:dyDescent="0.25">
      <c r="M14082" s="274"/>
    </row>
    <row r="14083" spans="13:13" ht="15" customHeight="1" x14ac:dyDescent="0.25">
      <c r="M14083" s="274"/>
    </row>
    <row r="14084" spans="13:13" ht="15" customHeight="1" x14ac:dyDescent="0.25">
      <c r="M14084" s="274"/>
    </row>
    <row r="14085" spans="13:13" ht="15" customHeight="1" x14ac:dyDescent="0.25">
      <c r="M14085" s="274"/>
    </row>
    <row r="14086" spans="13:13" ht="15" customHeight="1" x14ac:dyDescent="0.25">
      <c r="M14086" s="274"/>
    </row>
    <row r="14087" spans="13:13" ht="15" customHeight="1" x14ac:dyDescent="0.25">
      <c r="M14087" s="274"/>
    </row>
    <row r="14088" spans="13:13" ht="15" customHeight="1" x14ac:dyDescent="0.25">
      <c r="M14088" s="274"/>
    </row>
    <row r="14089" spans="13:13" ht="15" customHeight="1" x14ac:dyDescent="0.25">
      <c r="M14089" s="274"/>
    </row>
    <row r="14090" spans="13:13" ht="15" customHeight="1" x14ac:dyDescent="0.25">
      <c r="M14090" s="274"/>
    </row>
    <row r="14091" spans="13:13" ht="15" customHeight="1" x14ac:dyDescent="0.25">
      <c r="M14091" s="274"/>
    </row>
    <row r="14092" spans="13:13" ht="15" customHeight="1" x14ac:dyDescent="0.25">
      <c r="M14092" s="274"/>
    </row>
    <row r="14093" spans="13:13" ht="15" customHeight="1" x14ac:dyDescent="0.25">
      <c r="M14093" s="274"/>
    </row>
    <row r="14094" spans="13:13" ht="15" customHeight="1" x14ac:dyDescent="0.25">
      <c r="M14094" s="274"/>
    </row>
    <row r="14095" spans="13:13" ht="15" customHeight="1" x14ac:dyDescent="0.25">
      <c r="M14095" s="274"/>
    </row>
    <row r="14096" spans="13:13" ht="15" customHeight="1" x14ac:dyDescent="0.25">
      <c r="M14096" s="274"/>
    </row>
    <row r="14097" spans="13:13" ht="15" customHeight="1" x14ac:dyDescent="0.25">
      <c r="M14097" s="274"/>
    </row>
    <row r="14098" spans="13:13" ht="15" customHeight="1" x14ac:dyDescent="0.25">
      <c r="M14098" s="274"/>
    </row>
    <row r="14099" spans="13:13" ht="15" customHeight="1" x14ac:dyDescent="0.25">
      <c r="M14099" s="274"/>
    </row>
    <row r="14100" spans="13:13" ht="15" customHeight="1" x14ac:dyDescent="0.25">
      <c r="M14100" s="274"/>
    </row>
    <row r="14101" spans="13:13" ht="15" customHeight="1" x14ac:dyDescent="0.25">
      <c r="M14101" s="274"/>
    </row>
    <row r="14102" spans="13:13" ht="15" customHeight="1" x14ac:dyDescent="0.25">
      <c r="M14102" s="274"/>
    </row>
    <row r="14103" spans="13:13" ht="15" customHeight="1" x14ac:dyDescent="0.25">
      <c r="M14103" s="274"/>
    </row>
    <row r="14104" spans="13:13" ht="15" customHeight="1" x14ac:dyDescent="0.25">
      <c r="M14104" s="274"/>
    </row>
    <row r="14105" spans="13:13" ht="15" customHeight="1" x14ac:dyDescent="0.25">
      <c r="M14105" s="274"/>
    </row>
    <row r="14106" spans="13:13" ht="15" customHeight="1" x14ac:dyDescent="0.25">
      <c r="M14106" s="274"/>
    </row>
    <row r="14107" spans="13:13" ht="15" customHeight="1" x14ac:dyDescent="0.25">
      <c r="M14107" s="274"/>
    </row>
    <row r="14108" spans="13:13" ht="15" customHeight="1" x14ac:dyDescent="0.25">
      <c r="M14108" s="274"/>
    </row>
    <row r="14109" spans="13:13" ht="15" customHeight="1" x14ac:dyDescent="0.25">
      <c r="M14109" s="274"/>
    </row>
    <row r="14110" spans="13:13" ht="15" customHeight="1" x14ac:dyDescent="0.25">
      <c r="M14110" s="274"/>
    </row>
    <row r="14111" spans="13:13" ht="15" customHeight="1" x14ac:dyDescent="0.25">
      <c r="M14111" s="274"/>
    </row>
    <row r="14112" spans="13:13" ht="15" customHeight="1" x14ac:dyDescent="0.25">
      <c r="M14112" s="274"/>
    </row>
    <row r="14113" spans="13:13" ht="15" customHeight="1" x14ac:dyDescent="0.25">
      <c r="M14113" s="274"/>
    </row>
    <row r="14114" spans="13:13" ht="15" customHeight="1" x14ac:dyDescent="0.25">
      <c r="M14114" s="274"/>
    </row>
    <row r="14115" spans="13:13" ht="15" customHeight="1" x14ac:dyDescent="0.25">
      <c r="M14115" s="274"/>
    </row>
    <row r="14116" spans="13:13" ht="15" customHeight="1" x14ac:dyDescent="0.25">
      <c r="M14116" s="274"/>
    </row>
    <row r="14117" spans="13:13" ht="15" customHeight="1" x14ac:dyDescent="0.25">
      <c r="M14117" s="274"/>
    </row>
    <row r="14118" spans="13:13" ht="15" customHeight="1" x14ac:dyDescent="0.25">
      <c r="M14118" s="274"/>
    </row>
    <row r="14119" spans="13:13" ht="15" customHeight="1" x14ac:dyDescent="0.25">
      <c r="M14119" s="274"/>
    </row>
    <row r="14120" spans="13:13" ht="15" customHeight="1" x14ac:dyDescent="0.25">
      <c r="M14120" s="274"/>
    </row>
    <row r="14121" spans="13:13" ht="15" customHeight="1" x14ac:dyDescent="0.25">
      <c r="M14121" s="274"/>
    </row>
    <row r="14122" spans="13:13" ht="15" customHeight="1" x14ac:dyDescent="0.25">
      <c r="M14122" s="274"/>
    </row>
    <row r="14123" spans="13:13" ht="15" customHeight="1" x14ac:dyDescent="0.25">
      <c r="M14123" s="274"/>
    </row>
    <row r="14124" spans="13:13" ht="15" customHeight="1" x14ac:dyDescent="0.25">
      <c r="M14124" s="274"/>
    </row>
    <row r="14125" spans="13:13" ht="15" customHeight="1" x14ac:dyDescent="0.25">
      <c r="M14125" s="274"/>
    </row>
    <row r="14126" spans="13:13" ht="15" customHeight="1" x14ac:dyDescent="0.25">
      <c r="M14126" s="274"/>
    </row>
    <row r="14127" spans="13:13" ht="15" customHeight="1" x14ac:dyDescent="0.25">
      <c r="M14127" s="274"/>
    </row>
    <row r="14128" spans="13:13" ht="15" customHeight="1" x14ac:dyDescent="0.25">
      <c r="M14128" s="274"/>
    </row>
    <row r="14129" spans="13:13" ht="15" customHeight="1" x14ac:dyDescent="0.25">
      <c r="M14129" s="274"/>
    </row>
    <row r="14130" spans="13:13" ht="15" customHeight="1" x14ac:dyDescent="0.25">
      <c r="M14130" s="274"/>
    </row>
    <row r="14131" spans="13:13" ht="15" customHeight="1" x14ac:dyDescent="0.25">
      <c r="M14131" s="274"/>
    </row>
    <row r="14132" spans="13:13" ht="15" customHeight="1" x14ac:dyDescent="0.25">
      <c r="M14132" s="274"/>
    </row>
    <row r="14133" spans="13:13" ht="15" customHeight="1" x14ac:dyDescent="0.25">
      <c r="M14133" s="274"/>
    </row>
    <row r="14134" spans="13:13" ht="15" customHeight="1" x14ac:dyDescent="0.25">
      <c r="M14134" s="274"/>
    </row>
    <row r="14135" spans="13:13" ht="15" customHeight="1" x14ac:dyDescent="0.25">
      <c r="M14135" s="274"/>
    </row>
    <row r="14136" spans="13:13" ht="15" customHeight="1" x14ac:dyDescent="0.25">
      <c r="M14136" s="274"/>
    </row>
    <row r="14137" spans="13:13" ht="15" customHeight="1" x14ac:dyDescent="0.25">
      <c r="M14137" s="274"/>
    </row>
    <row r="14138" spans="13:13" ht="15" customHeight="1" x14ac:dyDescent="0.25">
      <c r="M14138" s="274"/>
    </row>
    <row r="14139" spans="13:13" ht="15" customHeight="1" x14ac:dyDescent="0.25">
      <c r="M14139" s="274"/>
    </row>
    <row r="14140" spans="13:13" ht="15" customHeight="1" x14ac:dyDescent="0.25">
      <c r="M14140" s="274"/>
    </row>
    <row r="14141" spans="13:13" ht="15" customHeight="1" x14ac:dyDescent="0.25">
      <c r="M14141" s="274"/>
    </row>
    <row r="14142" spans="13:13" ht="15" customHeight="1" x14ac:dyDescent="0.25">
      <c r="M14142" s="274"/>
    </row>
    <row r="14143" spans="13:13" ht="15" customHeight="1" x14ac:dyDescent="0.25">
      <c r="M14143" s="274"/>
    </row>
    <row r="14144" spans="13:13" ht="15" customHeight="1" x14ac:dyDescent="0.25">
      <c r="M14144" s="274"/>
    </row>
    <row r="14145" spans="13:13" ht="15" customHeight="1" x14ac:dyDescent="0.25">
      <c r="M14145" s="274"/>
    </row>
    <row r="14146" spans="13:13" ht="15" customHeight="1" x14ac:dyDescent="0.25">
      <c r="M14146" s="274"/>
    </row>
    <row r="14147" spans="13:13" ht="15" customHeight="1" x14ac:dyDescent="0.25">
      <c r="M14147" s="274"/>
    </row>
    <row r="14148" spans="13:13" ht="15" customHeight="1" x14ac:dyDescent="0.25">
      <c r="M14148" s="274"/>
    </row>
    <row r="14149" spans="13:13" ht="15" customHeight="1" x14ac:dyDescent="0.25">
      <c r="M14149" s="274"/>
    </row>
    <row r="14150" spans="13:13" ht="15" customHeight="1" x14ac:dyDescent="0.25">
      <c r="M14150" s="274"/>
    </row>
    <row r="14151" spans="13:13" ht="15" customHeight="1" x14ac:dyDescent="0.25">
      <c r="M14151" s="274"/>
    </row>
    <row r="14152" spans="13:13" ht="15" customHeight="1" x14ac:dyDescent="0.25">
      <c r="M14152" s="274"/>
    </row>
    <row r="14153" spans="13:13" ht="15" customHeight="1" x14ac:dyDescent="0.25">
      <c r="M14153" s="274"/>
    </row>
    <row r="14154" spans="13:13" ht="15" customHeight="1" x14ac:dyDescent="0.25">
      <c r="M14154" s="274"/>
    </row>
    <row r="14155" spans="13:13" ht="15" customHeight="1" x14ac:dyDescent="0.25">
      <c r="M14155" s="274"/>
    </row>
    <row r="14156" spans="13:13" ht="15" customHeight="1" x14ac:dyDescent="0.25">
      <c r="M14156" s="274"/>
    </row>
    <row r="14157" spans="13:13" ht="15" customHeight="1" x14ac:dyDescent="0.25">
      <c r="M14157" s="274"/>
    </row>
    <row r="14158" spans="13:13" ht="15" customHeight="1" x14ac:dyDescent="0.25">
      <c r="M14158" s="274"/>
    </row>
    <row r="14159" spans="13:13" ht="15" customHeight="1" x14ac:dyDescent="0.25">
      <c r="M14159" s="274"/>
    </row>
    <row r="14160" spans="13:13" ht="15" customHeight="1" x14ac:dyDescent="0.25">
      <c r="M14160" s="274"/>
    </row>
    <row r="14161" spans="13:13" ht="15" customHeight="1" x14ac:dyDescent="0.25">
      <c r="M14161" s="274"/>
    </row>
    <row r="14162" spans="13:13" ht="15" customHeight="1" x14ac:dyDescent="0.25">
      <c r="M14162" s="274"/>
    </row>
    <row r="14163" spans="13:13" ht="15" customHeight="1" x14ac:dyDescent="0.25">
      <c r="M14163" s="274"/>
    </row>
    <row r="14164" spans="13:13" ht="15" customHeight="1" x14ac:dyDescent="0.25">
      <c r="M14164" s="274"/>
    </row>
    <row r="14165" spans="13:13" ht="15" customHeight="1" x14ac:dyDescent="0.25">
      <c r="M14165" s="274"/>
    </row>
    <row r="14166" spans="13:13" ht="15" customHeight="1" x14ac:dyDescent="0.25">
      <c r="M14166" s="274"/>
    </row>
    <row r="14167" spans="13:13" ht="15" customHeight="1" x14ac:dyDescent="0.25">
      <c r="M14167" s="274"/>
    </row>
    <row r="14168" spans="13:13" ht="15" customHeight="1" x14ac:dyDescent="0.25">
      <c r="M14168" s="274"/>
    </row>
    <row r="14169" spans="13:13" ht="15" customHeight="1" x14ac:dyDescent="0.25">
      <c r="M14169" s="274"/>
    </row>
    <row r="14170" spans="13:13" ht="15" customHeight="1" x14ac:dyDescent="0.25">
      <c r="M14170" s="274"/>
    </row>
    <row r="14171" spans="13:13" ht="15" customHeight="1" x14ac:dyDescent="0.25">
      <c r="M14171" s="274"/>
    </row>
    <row r="14172" spans="13:13" ht="15" customHeight="1" x14ac:dyDescent="0.25">
      <c r="M14172" s="274"/>
    </row>
    <row r="14173" spans="13:13" ht="15" customHeight="1" x14ac:dyDescent="0.25">
      <c r="M14173" s="274"/>
    </row>
    <row r="14174" spans="13:13" ht="15" customHeight="1" x14ac:dyDescent="0.25">
      <c r="M14174" s="274"/>
    </row>
    <row r="14175" spans="13:13" ht="15" customHeight="1" x14ac:dyDescent="0.25">
      <c r="M14175" s="274"/>
    </row>
    <row r="14176" spans="13:13" ht="15" customHeight="1" x14ac:dyDescent="0.25">
      <c r="M14176" s="274"/>
    </row>
    <row r="14177" spans="13:13" ht="15" customHeight="1" x14ac:dyDescent="0.25">
      <c r="M14177" s="274"/>
    </row>
    <row r="14178" spans="13:13" ht="15" customHeight="1" x14ac:dyDescent="0.25">
      <c r="M14178" s="274"/>
    </row>
    <row r="14179" spans="13:13" ht="15" customHeight="1" x14ac:dyDescent="0.25">
      <c r="M14179" s="274"/>
    </row>
    <row r="14180" spans="13:13" ht="15" customHeight="1" x14ac:dyDescent="0.25">
      <c r="M14180" s="274"/>
    </row>
    <row r="14181" spans="13:13" ht="15" customHeight="1" x14ac:dyDescent="0.25">
      <c r="M14181" s="274"/>
    </row>
    <row r="14182" spans="13:13" ht="15" customHeight="1" x14ac:dyDescent="0.25">
      <c r="M14182" s="274"/>
    </row>
    <row r="14183" spans="13:13" ht="15" customHeight="1" x14ac:dyDescent="0.25">
      <c r="M14183" s="274"/>
    </row>
    <row r="14184" spans="13:13" ht="15" customHeight="1" x14ac:dyDescent="0.25">
      <c r="M14184" s="274"/>
    </row>
    <row r="14185" spans="13:13" ht="15" customHeight="1" x14ac:dyDescent="0.25">
      <c r="M14185" s="274"/>
    </row>
    <row r="14186" spans="13:13" ht="15" customHeight="1" x14ac:dyDescent="0.25">
      <c r="M14186" s="274"/>
    </row>
    <row r="14187" spans="13:13" ht="15" customHeight="1" x14ac:dyDescent="0.25">
      <c r="M14187" s="274"/>
    </row>
    <row r="14188" spans="13:13" ht="15" customHeight="1" x14ac:dyDescent="0.25">
      <c r="M14188" s="274"/>
    </row>
    <row r="14189" spans="13:13" ht="15" customHeight="1" x14ac:dyDescent="0.25">
      <c r="M14189" s="274"/>
    </row>
    <row r="14190" spans="13:13" ht="15" customHeight="1" x14ac:dyDescent="0.25">
      <c r="M14190" s="274"/>
    </row>
    <row r="14191" spans="13:13" ht="15" customHeight="1" x14ac:dyDescent="0.25">
      <c r="M14191" s="274"/>
    </row>
    <row r="14192" spans="13:13" ht="15" customHeight="1" x14ac:dyDescent="0.25">
      <c r="M14192" s="274"/>
    </row>
    <row r="14193" spans="13:13" ht="15" customHeight="1" x14ac:dyDescent="0.25">
      <c r="M14193" s="274"/>
    </row>
    <row r="14194" spans="13:13" ht="15" customHeight="1" x14ac:dyDescent="0.25">
      <c r="M14194" s="274"/>
    </row>
    <row r="14195" spans="13:13" ht="15" customHeight="1" x14ac:dyDescent="0.25">
      <c r="M14195" s="274"/>
    </row>
    <row r="14196" spans="13:13" ht="15" customHeight="1" x14ac:dyDescent="0.25">
      <c r="M14196" s="274"/>
    </row>
    <row r="14197" spans="13:13" ht="15" customHeight="1" x14ac:dyDescent="0.25">
      <c r="M14197" s="274"/>
    </row>
    <row r="14198" spans="13:13" ht="15" customHeight="1" x14ac:dyDescent="0.25">
      <c r="M14198" s="274"/>
    </row>
    <row r="14199" spans="13:13" ht="15" customHeight="1" x14ac:dyDescent="0.25">
      <c r="M14199" s="274"/>
    </row>
    <row r="14200" spans="13:13" ht="15" customHeight="1" x14ac:dyDescent="0.25">
      <c r="M14200" s="274"/>
    </row>
    <row r="14201" spans="13:13" ht="15" customHeight="1" x14ac:dyDescent="0.25">
      <c r="M14201" s="274"/>
    </row>
    <row r="14202" spans="13:13" ht="15" customHeight="1" x14ac:dyDescent="0.25">
      <c r="M14202" s="274"/>
    </row>
    <row r="14203" spans="13:13" ht="15" customHeight="1" x14ac:dyDescent="0.25">
      <c r="M14203" s="274"/>
    </row>
    <row r="14204" spans="13:13" ht="15" customHeight="1" x14ac:dyDescent="0.25">
      <c r="M14204" s="274"/>
    </row>
    <row r="14205" spans="13:13" ht="15" customHeight="1" x14ac:dyDescent="0.25">
      <c r="M14205" s="274"/>
    </row>
    <row r="14206" spans="13:13" ht="15" customHeight="1" x14ac:dyDescent="0.25">
      <c r="M14206" s="274"/>
    </row>
    <row r="14207" spans="13:13" ht="15" customHeight="1" x14ac:dyDescent="0.25">
      <c r="M14207" s="274"/>
    </row>
    <row r="14208" spans="13:13" ht="15" customHeight="1" x14ac:dyDescent="0.25">
      <c r="M14208" s="274"/>
    </row>
    <row r="14209" spans="13:13" ht="15" customHeight="1" x14ac:dyDescent="0.25">
      <c r="M14209" s="274"/>
    </row>
    <row r="14210" spans="13:13" ht="15" customHeight="1" x14ac:dyDescent="0.25">
      <c r="M14210" s="274"/>
    </row>
    <row r="14211" spans="13:13" ht="15" customHeight="1" x14ac:dyDescent="0.25">
      <c r="M14211" s="274"/>
    </row>
    <row r="14212" spans="13:13" ht="15" customHeight="1" x14ac:dyDescent="0.25">
      <c r="M14212" s="274"/>
    </row>
    <row r="14213" spans="13:13" ht="15" customHeight="1" x14ac:dyDescent="0.25">
      <c r="M14213" s="274"/>
    </row>
    <row r="14214" spans="13:13" ht="15" customHeight="1" x14ac:dyDescent="0.25">
      <c r="M14214" s="274"/>
    </row>
    <row r="14215" spans="13:13" ht="15" customHeight="1" x14ac:dyDescent="0.25">
      <c r="M14215" s="274"/>
    </row>
    <row r="14216" spans="13:13" ht="15" customHeight="1" x14ac:dyDescent="0.25">
      <c r="M14216" s="274"/>
    </row>
    <row r="14217" spans="13:13" ht="15" customHeight="1" x14ac:dyDescent="0.25">
      <c r="M14217" s="274"/>
    </row>
    <row r="14218" spans="13:13" ht="15" customHeight="1" x14ac:dyDescent="0.25">
      <c r="M14218" s="274"/>
    </row>
    <row r="14219" spans="13:13" ht="15" customHeight="1" x14ac:dyDescent="0.25">
      <c r="M14219" s="274"/>
    </row>
    <row r="14220" spans="13:13" ht="15" customHeight="1" x14ac:dyDescent="0.25">
      <c r="M14220" s="274"/>
    </row>
    <row r="14221" spans="13:13" ht="15" customHeight="1" x14ac:dyDescent="0.25">
      <c r="M14221" s="274"/>
    </row>
    <row r="14222" spans="13:13" ht="15" customHeight="1" x14ac:dyDescent="0.25">
      <c r="M14222" s="274"/>
    </row>
    <row r="14223" spans="13:13" ht="15" customHeight="1" x14ac:dyDescent="0.25">
      <c r="M14223" s="274"/>
    </row>
    <row r="14224" spans="13:13" ht="15" customHeight="1" x14ac:dyDescent="0.25">
      <c r="M14224" s="274"/>
    </row>
    <row r="14225" spans="13:13" ht="15" customHeight="1" x14ac:dyDescent="0.25">
      <c r="M14225" s="274"/>
    </row>
    <row r="14226" spans="13:13" ht="15" customHeight="1" x14ac:dyDescent="0.25">
      <c r="M14226" s="274"/>
    </row>
    <row r="14227" spans="13:13" ht="15" customHeight="1" x14ac:dyDescent="0.25">
      <c r="M14227" s="274"/>
    </row>
    <row r="14228" spans="13:13" ht="15" customHeight="1" x14ac:dyDescent="0.25">
      <c r="M14228" s="274"/>
    </row>
    <row r="14229" spans="13:13" ht="15" customHeight="1" x14ac:dyDescent="0.25">
      <c r="M14229" s="274"/>
    </row>
    <row r="14230" spans="13:13" ht="15" customHeight="1" x14ac:dyDescent="0.25">
      <c r="M14230" s="274"/>
    </row>
    <row r="14231" spans="13:13" ht="15" customHeight="1" x14ac:dyDescent="0.25">
      <c r="M14231" s="274"/>
    </row>
    <row r="14232" spans="13:13" ht="15" customHeight="1" x14ac:dyDescent="0.25">
      <c r="M14232" s="274"/>
    </row>
    <row r="14233" spans="13:13" ht="15" customHeight="1" x14ac:dyDescent="0.25">
      <c r="M14233" s="274"/>
    </row>
    <row r="14234" spans="13:13" ht="15" customHeight="1" x14ac:dyDescent="0.25">
      <c r="M14234" s="274"/>
    </row>
    <row r="14235" spans="13:13" ht="15" customHeight="1" x14ac:dyDescent="0.25">
      <c r="M14235" s="274"/>
    </row>
    <row r="14236" spans="13:13" ht="15" customHeight="1" x14ac:dyDescent="0.25">
      <c r="M14236" s="274"/>
    </row>
    <row r="14237" spans="13:13" ht="15" customHeight="1" x14ac:dyDescent="0.25">
      <c r="M14237" s="274"/>
    </row>
    <row r="14238" spans="13:13" ht="15" customHeight="1" x14ac:dyDescent="0.25">
      <c r="M14238" s="274"/>
    </row>
    <row r="14239" spans="13:13" ht="15" customHeight="1" x14ac:dyDescent="0.25">
      <c r="M14239" s="274"/>
    </row>
    <row r="14240" spans="13:13" ht="15" customHeight="1" x14ac:dyDescent="0.25">
      <c r="M14240" s="274"/>
    </row>
    <row r="14241" spans="13:13" ht="15" customHeight="1" x14ac:dyDescent="0.25">
      <c r="M14241" s="274"/>
    </row>
    <row r="14242" spans="13:13" ht="15" customHeight="1" x14ac:dyDescent="0.25">
      <c r="M14242" s="274"/>
    </row>
    <row r="14243" spans="13:13" ht="15" customHeight="1" x14ac:dyDescent="0.25">
      <c r="M14243" s="274"/>
    </row>
    <row r="14244" spans="13:13" ht="15" customHeight="1" x14ac:dyDescent="0.25">
      <c r="M14244" s="274"/>
    </row>
    <row r="14245" spans="13:13" ht="15" customHeight="1" x14ac:dyDescent="0.25">
      <c r="M14245" s="274"/>
    </row>
    <row r="14246" spans="13:13" ht="15" customHeight="1" x14ac:dyDescent="0.25">
      <c r="M14246" s="274"/>
    </row>
    <row r="14247" spans="13:13" ht="15" customHeight="1" x14ac:dyDescent="0.25">
      <c r="M14247" s="274"/>
    </row>
    <row r="14248" spans="13:13" ht="15" customHeight="1" x14ac:dyDescent="0.25">
      <c r="M14248" s="274"/>
    </row>
    <row r="14249" spans="13:13" ht="15" customHeight="1" x14ac:dyDescent="0.25">
      <c r="M14249" s="274"/>
    </row>
    <row r="14250" spans="13:13" ht="15" customHeight="1" x14ac:dyDescent="0.25">
      <c r="M14250" s="274"/>
    </row>
    <row r="14251" spans="13:13" ht="15" customHeight="1" x14ac:dyDescent="0.25">
      <c r="M14251" s="274"/>
    </row>
    <row r="14252" spans="13:13" ht="15" customHeight="1" x14ac:dyDescent="0.25">
      <c r="M14252" s="274"/>
    </row>
    <row r="14253" spans="13:13" ht="15" customHeight="1" x14ac:dyDescent="0.25">
      <c r="M14253" s="274"/>
    </row>
    <row r="14254" spans="13:13" ht="15" customHeight="1" x14ac:dyDescent="0.25">
      <c r="M14254" s="274"/>
    </row>
    <row r="14255" spans="13:13" ht="15" customHeight="1" x14ac:dyDescent="0.25">
      <c r="M14255" s="274"/>
    </row>
    <row r="14256" spans="13:13" ht="15" customHeight="1" x14ac:dyDescent="0.25">
      <c r="M14256" s="274"/>
    </row>
    <row r="14257" spans="13:13" ht="15" customHeight="1" x14ac:dyDescent="0.25">
      <c r="M14257" s="274"/>
    </row>
    <row r="14258" spans="13:13" ht="15" customHeight="1" x14ac:dyDescent="0.25">
      <c r="M14258" s="274"/>
    </row>
    <row r="14259" spans="13:13" ht="15" customHeight="1" x14ac:dyDescent="0.25">
      <c r="M14259" s="274"/>
    </row>
    <row r="14260" spans="13:13" ht="15" customHeight="1" x14ac:dyDescent="0.25">
      <c r="M14260" s="274"/>
    </row>
    <row r="14261" spans="13:13" ht="15" customHeight="1" x14ac:dyDescent="0.25">
      <c r="M14261" s="274"/>
    </row>
    <row r="14262" spans="13:13" ht="15" customHeight="1" x14ac:dyDescent="0.25">
      <c r="M14262" s="274"/>
    </row>
    <row r="14263" spans="13:13" ht="15" customHeight="1" x14ac:dyDescent="0.25">
      <c r="M14263" s="274"/>
    </row>
    <row r="14264" spans="13:13" ht="15" customHeight="1" x14ac:dyDescent="0.25">
      <c r="M14264" s="274"/>
    </row>
    <row r="14265" spans="13:13" ht="15" customHeight="1" x14ac:dyDescent="0.25">
      <c r="M14265" s="274"/>
    </row>
    <row r="14266" spans="13:13" ht="15" customHeight="1" x14ac:dyDescent="0.25">
      <c r="M14266" s="274"/>
    </row>
    <row r="14267" spans="13:13" ht="15" customHeight="1" x14ac:dyDescent="0.25">
      <c r="M14267" s="274"/>
    </row>
    <row r="14268" spans="13:13" ht="15" customHeight="1" x14ac:dyDescent="0.25">
      <c r="M14268" s="274"/>
    </row>
    <row r="14269" spans="13:13" ht="15" customHeight="1" x14ac:dyDescent="0.25">
      <c r="M14269" s="274"/>
    </row>
    <row r="14270" spans="13:13" ht="15" customHeight="1" x14ac:dyDescent="0.25">
      <c r="M14270" s="274"/>
    </row>
    <row r="14271" spans="13:13" ht="15" customHeight="1" x14ac:dyDescent="0.25">
      <c r="M14271" s="274"/>
    </row>
    <row r="14272" spans="13:13" ht="15" customHeight="1" x14ac:dyDescent="0.25">
      <c r="M14272" s="274"/>
    </row>
    <row r="14273" spans="13:13" ht="15" customHeight="1" x14ac:dyDescent="0.25">
      <c r="M14273" s="274"/>
    </row>
    <row r="14274" spans="13:13" ht="15" customHeight="1" x14ac:dyDescent="0.25">
      <c r="M14274" s="274"/>
    </row>
    <row r="14275" spans="13:13" ht="15" customHeight="1" x14ac:dyDescent="0.25">
      <c r="M14275" s="274"/>
    </row>
    <row r="14276" spans="13:13" ht="15" customHeight="1" x14ac:dyDescent="0.25">
      <c r="M14276" s="274"/>
    </row>
    <row r="14277" spans="13:13" ht="15" customHeight="1" x14ac:dyDescent="0.25">
      <c r="M14277" s="274"/>
    </row>
    <row r="14278" spans="13:13" ht="15" customHeight="1" x14ac:dyDescent="0.25">
      <c r="M14278" s="274"/>
    </row>
    <row r="14279" spans="13:13" ht="15" customHeight="1" x14ac:dyDescent="0.25">
      <c r="M14279" s="274"/>
    </row>
    <row r="14280" spans="13:13" ht="15" customHeight="1" x14ac:dyDescent="0.25">
      <c r="M14280" s="274"/>
    </row>
    <row r="14281" spans="13:13" ht="15" customHeight="1" x14ac:dyDescent="0.25">
      <c r="M14281" s="274"/>
    </row>
    <row r="14282" spans="13:13" ht="15" customHeight="1" x14ac:dyDescent="0.25">
      <c r="M14282" s="274"/>
    </row>
    <row r="14283" spans="13:13" ht="15" customHeight="1" x14ac:dyDescent="0.25">
      <c r="M14283" s="274"/>
    </row>
    <row r="14284" spans="13:13" ht="15" customHeight="1" x14ac:dyDescent="0.25">
      <c r="M14284" s="274"/>
    </row>
    <row r="14285" spans="13:13" ht="15" customHeight="1" x14ac:dyDescent="0.25">
      <c r="M14285" s="274"/>
    </row>
    <row r="14286" spans="13:13" ht="15" customHeight="1" x14ac:dyDescent="0.25">
      <c r="M14286" s="274"/>
    </row>
    <row r="14287" spans="13:13" ht="15" customHeight="1" x14ac:dyDescent="0.25">
      <c r="M14287" s="274"/>
    </row>
    <row r="14288" spans="13:13" ht="15" customHeight="1" x14ac:dyDescent="0.25">
      <c r="M14288" s="274"/>
    </row>
    <row r="14289" spans="13:13" ht="15" customHeight="1" x14ac:dyDescent="0.25">
      <c r="M14289" s="274"/>
    </row>
    <row r="14290" spans="13:13" ht="15" customHeight="1" x14ac:dyDescent="0.25">
      <c r="M14290" s="274"/>
    </row>
    <row r="14291" spans="13:13" ht="15" customHeight="1" x14ac:dyDescent="0.25">
      <c r="M14291" s="274"/>
    </row>
    <row r="14292" spans="13:13" ht="15" customHeight="1" x14ac:dyDescent="0.25">
      <c r="M14292" s="274"/>
    </row>
    <row r="14293" spans="13:13" ht="15" customHeight="1" x14ac:dyDescent="0.25">
      <c r="M14293" s="274"/>
    </row>
    <row r="14294" spans="13:13" ht="15" customHeight="1" x14ac:dyDescent="0.25">
      <c r="M14294" s="274"/>
    </row>
    <row r="14295" spans="13:13" ht="15" customHeight="1" x14ac:dyDescent="0.25">
      <c r="M14295" s="274"/>
    </row>
    <row r="14296" spans="13:13" ht="15" customHeight="1" x14ac:dyDescent="0.25">
      <c r="M14296" s="274"/>
    </row>
    <row r="14297" spans="13:13" ht="15" customHeight="1" x14ac:dyDescent="0.25">
      <c r="M14297" s="274"/>
    </row>
    <row r="14298" spans="13:13" ht="15" customHeight="1" x14ac:dyDescent="0.25">
      <c r="M14298" s="274"/>
    </row>
    <row r="14299" spans="13:13" ht="15" customHeight="1" x14ac:dyDescent="0.25">
      <c r="M14299" s="274"/>
    </row>
    <row r="14300" spans="13:13" ht="15" customHeight="1" x14ac:dyDescent="0.25">
      <c r="M14300" s="274"/>
    </row>
    <row r="14301" spans="13:13" ht="15" customHeight="1" x14ac:dyDescent="0.25">
      <c r="M14301" s="274"/>
    </row>
    <row r="14302" spans="13:13" ht="15" customHeight="1" x14ac:dyDescent="0.25">
      <c r="M14302" s="274"/>
    </row>
    <row r="14303" spans="13:13" ht="15" customHeight="1" x14ac:dyDescent="0.25">
      <c r="M14303" s="274"/>
    </row>
    <row r="14304" spans="13:13" ht="15" customHeight="1" x14ac:dyDescent="0.25">
      <c r="M14304" s="274"/>
    </row>
    <row r="14305" spans="13:13" ht="15" customHeight="1" x14ac:dyDescent="0.25">
      <c r="M14305" s="274"/>
    </row>
    <row r="14306" spans="13:13" ht="15" customHeight="1" x14ac:dyDescent="0.25">
      <c r="M14306" s="274"/>
    </row>
    <row r="14307" spans="13:13" ht="15" customHeight="1" x14ac:dyDescent="0.25">
      <c r="M14307" s="274"/>
    </row>
    <row r="14308" spans="13:13" ht="15" customHeight="1" x14ac:dyDescent="0.25">
      <c r="M14308" s="274"/>
    </row>
    <row r="14309" spans="13:13" ht="15" customHeight="1" x14ac:dyDescent="0.25">
      <c r="M14309" s="274"/>
    </row>
    <row r="14310" spans="13:13" ht="15" customHeight="1" x14ac:dyDescent="0.25">
      <c r="M14310" s="274"/>
    </row>
    <row r="14311" spans="13:13" ht="15" customHeight="1" x14ac:dyDescent="0.25">
      <c r="M14311" s="274"/>
    </row>
    <row r="14312" spans="13:13" ht="15" customHeight="1" x14ac:dyDescent="0.25">
      <c r="M14312" s="274"/>
    </row>
    <row r="14313" spans="13:13" ht="15" customHeight="1" x14ac:dyDescent="0.25">
      <c r="M14313" s="274"/>
    </row>
    <row r="14314" spans="13:13" ht="15" customHeight="1" x14ac:dyDescent="0.25">
      <c r="M14314" s="274"/>
    </row>
    <row r="14315" spans="13:13" ht="15" customHeight="1" x14ac:dyDescent="0.25">
      <c r="M14315" s="274"/>
    </row>
    <row r="14316" spans="13:13" ht="15" customHeight="1" x14ac:dyDescent="0.25">
      <c r="M14316" s="274"/>
    </row>
    <row r="14317" spans="13:13" ht="15" customHeight="1" x14ac:dyDescent="0.25">
      <c r="M14317" s="274"/>
    </row>
    <row r="14318" spans="13:13" ht="15" customHeight="1" x14ac:dyDescent="0.25">
      <c r="M14318" s="274"/>
    </row>
    <row r="14319" spans="13:13" ht="15" customHeight="1" x14ac:dyDescent="0.25">
      <c r="M14319" s="274"/>
    </row>
    <row r="14320" spans="13:13" ht="15" customHeight="1" x14ac:dyDescent="0.25">
      <c r="M14320" s="274"/>
    </row>
    <row r="14321" spans="13:13" ht="15" customHeight="1" x14ac:dyDescent="0.25">
      <c r="M14321" s="274"/>
    </row>
    <row r="14322" spans="13:13" ht="15" customHeight="1" x14ac:dyDescent="0.25">
      <c r="M14322" s="274"/>
    </row>
    <row r="14323" spans="13:13" ht="15" customHeight="1" x14ac:dyDescent="0.25">
      <c r="M14323" s="274"/>
    </row>
    <row r="14324" spans="13:13" ht="15" customHeight="1" x14ac:dyDescent="0.25">
      <c r="M14324" s="274"/>
    </row>
    <row r="14325" spans="13:13" ht="15" customHeight="1" x14ac:dyDescent="0.25">
      <c r="M14325" s="274"/>
    </row>
    <row r="14326" spans="13:13" ht="15" customHeight="1" x14ac:dyDescent="0.25">
      <c r="M14326" s="274"/>
    </row>
    <row r="14327" spans="13:13" ht="15" customHeight="1" x14ac:dyDescent="0.25">
      <c r="M14327" s="274"/>
    </row>
    <row r="14328" spans="13:13" ht="15" customHeight="1" x14ac:dyDescent="0.25">
      <c r="M14328" s="274"/>
    </row>
    <row r="14329" spans="13:13" ht="15" customHeight="1" x14ac:dyDescent="0.25">
      <c r="M14329" s="274"/>
    </row>
    <row r="14330" spans="13:13" ht="15" customHeight="1" x14ac:dyDescent="0.25">
      <c r="M14330" s="274"/>
    </row>
    <row r="14331" spans="13:13" ht="15" customHeight="1" x14ac:dyDescent="0.25">
      <c r="M14331" s="274"/>
    </row>
    <row r="14332" spans="13:13" ht="15" customHeight="1" x14ac:dyDescent="0.25">
      <c r="M14332" s="274"/>
    </row>
    <row r="14333" spans="13:13" ht="15" customHeight="1" x14ac:dyDescent="0.25">
      <c r="M14333" s="274"/>
    </row>
    <row r="14334" spans="13:13" ht="15" customHeight="1" x14ac:dyDescent="0.25">
      <c r="M14334" s="274"/>
    </row>
    <row r="14335" spans="13:13" ht="15" customHeight="1" x14ac:dyDescent="0.25">
      <c r="M14335" s="274"/>
    </row>
    <row r="14336" spans="13:13" ht="15" customHeight="1" x14ac:dyDescent="0.25">
      <c r="M14336" s="274"/>
    </row>
    <row r="14337" spans="13:13" ht="15" customHeight="1" x14ac:dyDescent="0.25">
      <c r="M14337" s="274"/>
    </row>
    <row r="14338" spans="13:13" ht="15" customHeight="1" x14ac:dyDescent="0.25">
      <c r="M14338" s="274"/>
    </row>
    <row r="14339" spans="13:13" ht="15" customHeight="1" x14ac:dyDescent="0.25">
      <c r="M14339" s="274"/>
    </row>
    <row r="14340" spans="13:13" ht="15" customHeight="1" x14ac:dyDescent="0.25">
      <c r="M14340" s="274"/>
    </row>
    <row r="14341" spans="13:13" ht="15" customHeight="1" x14ac:dyDescent="0.25">
      <c r="M14341" s="274"/>
    </row>
    <row r="14342" spans="13:13" ht="15" customHeight="1" x14ac:dyDescent="0.25">
      <c r="M14342" s="274"/>
    </row>
    <row r="14343" spans="13:13" ht="15" customHeight="1" x14ac:dyDescent="0.25">
      <c r="M14343" s="274"/>
    </row>
    <row r="14344" spans="13:13" ht="15" customHeight="1" x14ac:dyDescent="0.25">
      <c r="M14344" s="274"/>
    </row>
    <row r="14345" spans="13:13" ht="15" customHeight="1" x14ac:dyDescent="0.25">
      <c r="M14345" s="274"/>
    </row>
    <row r="14346" spans="13:13" ht="15" customHeight="1" x14ac:dyDescent="0.25">
      <c r="M14346" s="274"/>
    </row>
    <row r="14347" spans="13:13" ht="15" customHeight="1" x14ac:dyDescent="0.25">
      <c r="M14347" s="274"/>
    </row>
    <row r="14348" spans="13:13" ht="15" customHeight="1" x14ac:dyDescent="0.25">
      <c r="M14348" s="274"/>
    </row>
    <row r="14349" spans="13:13" ht="15" customHeight="1" x14ac:dyDescent="0.25">
      <c r="M14349" s="274"/>
    </row>
    <row r="14350" spans="13:13" ht="15" customHeight="1" x14ac:dyDescent="0.25">
      <c r="M14350" s="274"/>
    </row>
    <row r="14351" spans="13:13" ht="15" customHeight="1" x14ac:dyDescent="0.25">
      <c r="M14351" s="274"/>
    </row>
    <row r="14352" spans="13:13" ht="15" customHeight="1" x14ac:dyDescent="0.25">
      <c r="M14352" s="274"/>
    </row>
    <row r="14353" spans="13:13" ht="15" customHeight="1" x14ac:dyDescent="0.25">
      <c r="M14353" s="274"/>
    </row>
    <row r="14354" spans="13:13" ht="15" customHeight="1" x14ac:dyDescent="0.25">
      <c r="M14354" s="274"/>
    </row>
    <row r="14355" spans="13:13" ht="15" customHeight="1" x14ac:dyDescent="0.25">
      <c r="M14355" s="274"/>
    </row>
    <row r="14356" spans="13:13" ht="15" customHeight="1" x14ac:dyDescent="0.25">
      <c r="M14356" s="274"/>
    </row>
    <row r="14357" spans="13:13" ht="15" customHeight="1" x14ac:dyDescent="0.25">
      <c r="M14357" s="274"/>
    </row>
    <row r="14358" spans="13:13" ht="15" customHeight="1" x14ac:dyDescent="0.25">
      <c r="M14358" s="274"/>
    </row>
    <row r="14359" spans="13:13" ht="15" customHeight="1" x14ac:dyDescent="0.25">
      <c r="M14359" s="274"/>
    </row>
    <row r="14360" spans="13:13" ht="15" customHeight="1" x14ac:dyDescent="0.25">
      <c r="M14360" s="274"/>
    </row>
    <row r="14361" spans="13:13" ht="15" customHeight="1" x14ac:dyDescent="0.25">
      <c r="M14361" s="274"/>
    </row>
    <row r="14362" spans="13:13" ht="15" customHeight="1" x14ac:dyDescent="0.25">
      <c r="M14362" s="274"/>
    </row>
    <row r="14363" spans="13:13" ht="15" customHeight="1" x14ac:dyDescent="0.25">
      <c r="M14363" s="274"/>
    </row>
    <row r="14364" spans="13:13" ht="15" customHeight="1" x14ac:dyDescent="0.25">
      <c r="M14364" s="274"/>
    </row>
    <row r="14365" spans="13:13" ht="15" customHeight="1" x14ac:dyDescent="0.25">
      <c r="M14365" s="274"/>
    </row>
    <row r="14366" spans="13:13" ht="15" customHeight="1" x14ac:dyDescent="0.25">
      <c r="M14366" s="274"/>
    </row>
    <row r="14367" spans="13:13" ht="15" customHeight="1" x14ac:dyDescent="0.25">
      <c r="M14367" s="274"/>
    </row>
    <row r="14368" spans="13:13" ht="15" customHeight="1" x14ac:dyDescent="0.25">
      <c r="M14368" s="274"/>
    </row>
    <row r="14369" spans="13:13" ht="15" customHeight="1" x14ac:dyDescent="0.25">
      <c r="M14369" s="274"/>
    </row>
    <row r="14370" spans="13:13" ht="15" customHeight="1" x14ac:dyDescent="0.25">
      <c r="M14370" s="274"/>
    </row>
    <row r="14371" spans="13:13" ht="15" customHeight="1" x14ac:dyDescent="0.25">
      <c r="M14371" s="274"/>
    </row>
    <row r="14372" spans="13:13" ht="15" customHeight="1" x14ac:dyDescent="0.25">
      <c r="M14372" s="274"/>
    </row>
    <row r="14373" spans="13:13" ht="15" customHeight="1" x14ac:dyDescent="0.25">
      <c r="M14373" s="274"/>
    </row>
    <row r="14374" spans="13:13" ht="15" customHeight="1" x14ac:dyDescent="0.25">
      <c r="M14374" s="274"/>
    </row>
    <row r="14375" spans="13:13" ht="15" customHeight="1" x14ac:dyDescent="0.25">
      <c r="M14375" s="274"/>
    </row>
    <row r="14376" spans="13:13" ht="15" customHeight="1" x14ac:dyDescent="0.25">
      <c r="M14376" s="274"/>
    </row>
    <row r="14377" spans="13:13" ht="15" customHeight="1" x14ac:dyDescent="0.25">
      <c r="M14377" s="274"/>
    </row>
    <row r="14378" spans="13:13" ht="15" customHeight="1" x14ac:dyDescent="0.25">
      <c r="M14378" s="274"/>
    </row>
    <row r="14379" spans="13:13" ht="15" customHeight="1" x14ac:dyDescent="0.25">
      <c r="M14379" s="274"/>
    </row>
    <row r="14380" spans="13:13" ht="15" customHeight="1" x14ac:dyDescent="0.25">
      <c r="M14380" s="274"/>
    </row>
    <row r="14381" spans="13:13" ht="15" customHeight="1" x14ac:dyDescent="0.25">
      <c r="M14381" s="274"/>
    </row>
    <row r="14382" spans="13:13" ht="15" customHeight="1" x14ac:dyDescent="0.25">
      <c r="M14382" s="274"/>
    </row>
    <row r="14383" spans="13:13" ht="15" customHeight="1" x14ac:dyDescent="0.25">
      <c r="M14383" s="274"/>
    </row>
    <row r="14384" spans="13:13" ht="15" customHeight="1" x14ac:dyDescent="0.25">
      <c r="M14384" s="274"/>
    </row>
    <row r="14385" spans="13:13" ht="15" customHeight="1" x14ac:dyDescent="0.25">
      <c r="M14385" s="274"/>
    </row>
    <row r="14386" spans="13:13" ht="15" customHeight="1" x14ac:dyDescent="0.25">
      <c r="M14386" s="274"/>
    </row>
    <row r="14387" spans="13:13" ht="15" customHeight="1" x14ac:dyDescent="0.25">
      <c r="M14387" s="274"/>
    </row>
    <row r="14388" spans="13:13" ht="15" customHeight="1" x14ac:dyDescent="0.25">
      <c r="M14388" s="274"/>
    </row>
    <row r="14389" spans="13:13" ht="15" customHeight="1" x14ac:dyDescent="0.25">
      <c r="M14389" s="274"/>
    </row>
    <row r="14390" spans="13:13" ht="15" customHeight="1" x14ac:dyDescent="0.25">
      <c r="M14390" s="274"/>
    </row>
    <row r="14391" spans="13:13" ht="15" customHeight="1" x14ac:dyDescent="0.25">
      <c r="M14391" s="274"/>
    </row>
    <row r="14392" spans="13:13" ht="15" customHeight="1" x14ac:dyDescent="0.25">
      <c r="M14392" s="274"/>
    </row>
    <row r="14393" spans="13:13" ht="15" customHeight="1" x14ac:dyDescent="0.25">
      <c r="M14393" s="274"/>
    </row>
    <row r="14394" spans="13:13" ht="15" customHeight="1" x14ac:dyDescent="0.25">
      <c r="M14394" s="274"/>
    </row>
    <row r="14395" spans="13:13" ht="15" customHeight="1" x14ac:dyDescent="0.25">
      <c r="M14395" s="274"/>
    </row>
    <row r="14396" spans="13:13" ht="15" customHeight="1" x14ac:dyDescent="0.25">
      <c r="M14396" s="274"/>
    </row>
    <row r="14397" spans="13:13" ht="15" customHeight="1" x14ac:dyDescent="0.25">
      <c r="M14397" s="274"/>
    </row>
    <row r="14398" spans="13:13" ht="15" customHeight="1" x14ac:dyDescent="0.25">
      <c r="M14398" s="274"/>
    </row>
    <row r="14399" spans="13:13" ht="15" customHeight="1" x14ac:dyDescent="0.25">
      <c r="M14399" s="274"/>
    </row>
    <row r="14400" spans="13:13" ht="15" customHeight="1" x14ac:dyDescent="0.25">
      <c r="M14400" s="274"/>
    </row>
    <row r="14401" spans="13:13" ht="15" customHeight="1" x14ac:dyDescent="0.25">
      <c r="M14401" s="274"/>
    </row>
    <row r="14402" spans="13:13" ht="15" customHeight="1" x14ac:dyDescent="0.25">
      <c r="M14402" s="274"/>
    </row>
    <row r="14403" spans="13:13" ht="15" customHeight="1" x14ac:dyDescent="0.25">
      <c r="M14403" s="274"/>
    </row>
    <row r="14404" spans="13:13" ht="15" customHeight="1" x14ac:dyDescent="0.25">
      <c r="M14404" s="274"/>
    </row>
    <row r="14405" spans="13:13" ht="15" customHeight="1" x14ac:dyDescent="0.25">
      <c r="M14405" s="274"/>
    </row>
    <row r="14406" spans="13:13" ht="15" customHeight="1" x14ac:dyDescent="0.25">
      <c r="M14406" s="274"/>
    </row>
    <row r="14407" spans="13:13" ht="15" customHeight="1" x14ac:dyDescent="0.25">
      <c r="M14407" s="274"/>
    </row>
    <row r="14408" spans="13:13" ht="15" customHeight="1" x14ac:dyDescent="0.25">
      <c r="M14408" s="274"/>
    </row>
    <row r="14409" spans="13:13" ht="15" customHeight="1" x14ac:dyDescent="0.25">
      <c r="M14409" s="274"/>
    </row>
    <row r="14410" spans="13:13" ht="15" customHeight="1" x14ac:dyDescent="0.25">
      <c r="M14410" s="274"/>
    </row>
    <row r="14411" spans="13:13" ht="15" customHeight="1" x14ac:dyDescent="0.25">
      <c r="M14411" s="274"/>
    </row>
    <row r="14412" spans="13:13" ht="15" customHeight="1" x14ac:dyDescent="0.25">
      <c r="M14412" s="274"/>
    </row>
    <row r="14413" spans="13:13" ht="15" customHeight="1" x14ac:dyDescent="0.25">
      <c r="M14413" s="274"/>
    </row>
    <row r="14414" spans="13:13" ht="15" customHeight="1" x14ac:dyDescent="0.25">
      <c r="M14414" s="274"/>
    </row>
    <row r="14415" spans="13:13" ht="15" customHeight="1" x14ac:dyDescent="0.25">
      <c r="M14415" s="274"/>
    </row>
    <row r="14416" spans="13:13" ht="15" customHeight="1" x14ac:dyDescent="0.25">
      <c r="M14416" s="274"/>
    </row>
    <row r="14417" spans="13:13" ht="15" customHeight="1" x14ac:dyDescent="0.25">
      <c r="M14417" s="274"/>
    </row>
    <row r="14418" spans="13:13" ht="15" customHeight="1" x14ac:dyDescent="0.25">
      <c r="M14418" s="274"/>
    </row>
    <row r="14419" spans="13:13" ht="15" customHeight="1" x14ac:dyDescent="0.25">
      <c r="M14419" s="274"/>
    </row>
    <row r="14420" spans="13:13" ht="15" customHeight="1" x14ac:dyDescent="0.25">
      <c r="M14420" s="274"/>
    </row>
    <row r="14421" spans="13:13" ht="15" customHeight="1" x14ac:dyDescent="0.25">
      <c r="M14421" s="274"/>
    </row>
    <row r="14422" spans="13:13" ht="15" customHeight="1" x14ac:dyDescent="0.25">
      <c r="M14422" s="274"/>
    </row>
    <row r="14423" spans="13:13" ht="15" customHeight="1" x14ac:dyDescent="0.25">
      <c r="M14423" s="274"/>
    </row>
    <row r="14424" spans="13:13" ht="15" customHeight="1" x14ac:dyDescent="0.25">
      <c r="M14424" s="274"/>
    </row>
    <row r="14425" spans="13:13" ht="15" customHeight="1" x14ac:dyDescent="0.25">
      <c r="M14425" s="274"/>
    </row>
    <row r="14426" spans="13:13" ht="15" customHeight="1" x14ac:dyDescent="0.25">
      <c r="M14426" s="274"/>
    </row>
    <row r="14427" spans="13:13" ht="15" customHeight="1" x14ac:dyDescent="0.25">
      <c r="M14427" s="274"/>
    </row>
    <row r="14428" spans="13:13" ht="15" customHeight="1" x14ac:dyDescent="0.25">
      <c r="M14428" s="274"/>
    </row>
    <row r="14429" spans="13:13" ht="15" customHeight="1" x14ac:dyDescent="0.25">
      <c r="M14429" s="274"/>
    </row>
    <row r="14430" spans="13:13" ht="15" customHeight="1" x14ac:dyDescent="0.25">
      <c r="M14430" s="274"/>
    </row>
    <row r="14431" spans="13:13" ht="15" customHeight="1" x14ac:dyDescent="0.25">
      <c r="M14431" s="274"/>
    </row>
    <row r="14432" spans="13:13" ht="15" customHeight="1" x14ac:dyDescent="0.25">
      <c r="M14432" s="274"/>
    </row>
    <row r="14433" spans="13:13" ht="15" customHeight="1" x14ac:dyDescent="0.25">
      <c r="M14433" s="274"/>
    </row>
    <row r="14434" spans="13:13" ht="15" customHeight="1" x14ac:dyDescent="0.25">
      <c r="M14434" s="274"/>
    </row>
    <row r="14435" spans="13:13" ht="15" customHeight="1" x14ac:dyDescent="0.25">
      <c r="M14435" s="274"/>
    </row>
    <row r="14436" spans="13:13" ht="15" customHeight="1" x14ac:dyDescent="0.25">
      <c r="M14436" s="274"/>
    </row>
    <row r="14437" spans="13:13" ht="15" customHeight="1" x14ac:dyDescent="0.25">
      <c r="M14437" s="274"/>
    </row>
    <row r="14438" spans="13:13" ht="15" customHeight="1" x14ac:dyDescent="0.25">
      <c r="M14438" s="274"/>
    </row>
    <row r="14439" spans="13:13" ht="15" customHeight="1" x14ac:dyDescent="0.25">
      <c r="M14439" s="274"/>
    </row>
    <row r="14440" spans="13:13" ht="15" customHeight="1" x14ac:dyDescent="0.25">
      <c r="M14440" s="274"/>
    </row>
    <row r="14441" spans="13:13" ht="15" customHeight="1" x14ac:dyDescent="0.25">
      <c r="M14441" s="274"/>
    </row>
    <row r="14442" spans="13:13" ht="15" customHeight="1" x14ac:dyDescent="0.25">
      <c r="M14442" s="274"/>
    </row>
    <row r="14443" spans="13:13" ht="15" customHeight="1" x14ac:dyDescent="0.25">
      <c r="M14443" s="274"/>
    </row>
    <row r="14444" spans="13:13" ht="15" customHeight="1" x14ac:dyDescent="0.25">
      <c r="M14444" s="274"/>
    </row>
    <row r="14445" spans="13:13" ht="15" customHeight="1" x14ac:dyDescent="0.25">
      <c r="M14445" s="274"/>
    </row>
    <row r="14446" spans="13:13" ht="15" customHeight="1" x14ac:dyDescent="0.25">
      <c r="M14446" s="274"/>
    </row>
    <row r="14447" spans="13:13" ht="15" customHeight="1" x14ac:dyDescent="0.25">
      <c r="M14447" s="274"/>
    </row>
    <row r="14448" spans="13:13" ht="15" customHeight="1" x14ac:dyDescent="0.25">
      <c r="M14448" s="274"/>
    </row>
    <row r="14449" spans="13:13" ht="15" customHeight="1" x14ac:dyDescent="0.25">
      <c r="M14449" s="274"/>
    </row>
    <row r="14450" spans="13:13" ht="15" customHeight="1" x14ac:dyDescent="0.25">
      <c r="M14450" s="274"/>
    </row>
    <row r="14451" spans="13:13" ht="15" customHeight="1" x14ac:dyDescent="0.25">
      <c r="M14451" s="274"/>
    </row>
    <row r="14452" spans="13:13" ht="15" customHeight="1" x14ac:dyDescent="0.25">
      <c r="M14452" s="274"/>
    </row>
    <row r="14453" spans="13:13" ht="15" customHeight="1" x14ac:dyDescent="0.25">
      <c r="M14453" s="274"/>
    </row>
    <row r="14454" spans="13:13" ht="15" customHeight="1" x14ac:dyDescent="0.25">
      <c r="M14454" s="274"/>
    </row>
    <row r="14455" spans="13:13" ht="15" customHeight="1" x14ac:dyDescent="0.25">
      <c r="M14455" s="274"/>
    </row>
    <row r="14456" spans="13:13" ht="15" customHeight="1" x14ac:dyDescent="0.25">
      <c r="M14456" s="274"/>
    </row>
    <row r="14457" spans="13:13" ht="15" customHeight="1" x14ac:dyDescent="0.25">
      <c r="M14457" s="274"/>
    </row>
    <row r="14458" spans="13:13" ht="15" customHeight="1" x14ac:dyDescent="0.25">
      <c r="M14458" s="274"/>
    </row>
    <row r="14459" spans="13:13" ht="15" customHeight="1" x14ac:dyDescent="0.25">
      <c r="M14459" s="274"/>
    </row>
    <row r="14460" spans="13:13" ht="15" customHeight="1" x14ac:dyDescent="0.25">
      <c r="M14460" s="274"/>
    </row>
    <row r="14461" spans="13:13" ht="15" customHeight="1" x14ac:dyDescent="0.25">
      <c r="M14461" s="274"/>
    </row>
    <row r="14462" spans="13:13" ht="15" customHeight="1" x14ac:dyDescent="0.25">
      <c r="M14462" s="274"/>
    </row>
    <row r="14463" spans="13:13" ht="15" customHeight="1" x14ac:dyDescent="0.25">
      <c r="M14463" s="274"/>
    </row>
    <row r="14464" spans="13:13" ht="15" customHeight="1" x14ac:dyDescent="0.25">
      <c r="M14464" s="274"/>
    </row>
    <row r="14465" spans="13:13" ht="15" customHeight="1" x14ac:dyDescent="0.25">
      <c r="M14465" s="274"/>
    </row>
    <row r="14466" spans="13:13" ht="15" customHeight="1" x14ac:dyDescent="0.25">
      <c r="M14466" s="274"/>
    </row>
    <row r="14467" spans="13:13" ht="15" customHeight="1" x14ac:dyDescent="0.25">
      <c r="M14467" s="274"/>
    </row>
    <row r="14468" spans="13:13" ht="15" customHeight="1" x14ac:dyDescent="0.25">
      <c r="M14468" s="274"/>
    </row>
    <row r="14469" spans="13:13" ht="15" customHeight="1" x14ac:dyDescent="0.25">
      <c r="M14469" s="274"/>
    </row>
    <row r="14470" spans="13:13" ht="15" customHeight="1" x14ac:dyDescent="0.25">
      <c r="M14470" s="274"/>
    </row>
    <row r="14471" spans="13:13" ht="15" customHeight="1" x14ac:dyDescent="0.25">
      <c r="M14471" s="274"/>
    </row>
    <row r="14472" spans="13:13" ht="15" customHeight="1" x14ac:dyDescent="0.25">
      <c r="M14472" s="274"/>
    </row>
    <row r="14473" spans="13:13" ht="15" customHeight="1" x14ac:dyDescent="0.25">
      <c r="M14473" s="274"/>
    </row>
    <row r="14474" spans="13:13" ht="15" customHeight="1" x14ac:dyDescent="0.25">
      <c r="M14474" s="274"/>
    </row>
    <row r="14475" spans="13:13" ht="15" customHeight="1" x14ac:dyDescent="0.25">
      <c r="M14475" s="274"/>
    </row>
    <row r="14476" spans="13:13" ht="15" customHeight="1" x14ac:dyDescent="0.25">
      <c r="M14476" s="274"/>
    </row>
    <row r="14477" spans="13:13" ht="15" customHeight="1" x14ac:dyDescent="0.25">
      <c r="M14477" s="274"/>
    </row>
    <row r="14478" spans="13:13" ht="15" customHeight="1" x14ac:dyDescent="0.25">
      <c r="M14478" s="274"/>
    </row>
    <row r="14479" spans="13:13" ht="15" customHeight="1" x14ac:dyDescent="0.25">
      <c r="M14479" s="274"/>
    </row>
    <row r="14480" spans="13:13" ht="15" customHeight="1" x14ac:dyDescent="0.25">
      <c r="M14480" s="274"/>
    </row>
    <row r="14481" spans="13:13" ht="15" customHeight="1" x14ac:dyDescent="0.25">
      <c r="M14481" s="274"/>
    </row>
    <row r="14482" spans="13:13" ht="15" customHeight="1" x14ac:dyDescent="0.25">
      <c r="M14482" s="274"/>
    </row>
    <row r="14483" spans="13:13" ht="15" customHeight="1" x14ac:dyDescent="0.25">
      <c r="M14483" s="274"/>
    </row>
    <row r="14484" spans="13:13" ht="15" customHeight="1" x14ac:dyDescent="0.25">
      <c r="M14484" s="274"/>
    </row>
    <row r="14485" spans="13:13" ht="15" customHeight="1" x14ac:dyDescent="0.25">
      <c r="M14485" s="274"/>
    </row>
    <row r="14486" spans="13:13" ht="15" customHeight="1" x14ac:dyDescent="0.25">
      <c r="M14486" s="274"/>
    </row>
    <row r="14487" spans="13:13" ht="15" customHeight="1" x14ac:dyDescent="0.25">
      <c r="M14487" s="274"/>
    </row>
    <row r="14488" spans="13:13" ht="15" customHeight="1" x14ac:dyDescent="0.25">
      <c r="M14488" s="274"/>
    </row>
    <row r="14489" spans="13:13" ht="15" customHeight="1" x14ac:dyDescent="0.25">
      <c r="M14489" s="274"/>
    </row>
    <row r="14490" spans="13:13" ht="15" customHeight="1" x14ac:dyDescent="0.25">
      <c r="M14490" s="274"/>
    </row>
    <row r="14491" spans="13:13" ht="15" customHeight="1" x14ac:dyDescent="0.25">
      <c r="M14491" s="274"/>
    </row>
    <row r="14492" spans="13:13" ht="15" customHeight="1" x14ac:dyDescent="0.25">
      <c r="M14492" s="274"/>
    </row>
    <row r="14493" spans="13:13" ht="15" customHeight="1" x14ac:dyDescent="0.25">
      <c r="M14493" s="274"/>
    </row>
    <row r="14494" spans="13:13" ht="15" customHeight="1" x14ac:dyDescent="0.25">
      <c r="M14494" s="274"/>
    </row>
    <row r="14495" spans="13:13" ht="15" customHeight="1" x14ac:dyDescent="0.25">
      <c r="M14495" s="274"/>
    </row>
    <row r="14496" spans="13:13" ht="15" customHeight="1" x14ac:dyDescent="0.25">
      <c r="M14496" s="274"/>
    </row>
    <row r="14497" spans="13:13" ht="15" customHeight="1" x14ac:dyDescent="0.25">
      <c r="M14497" s="274"/>
    </row>
    <row r="14498" spans="13:13" ht="15" customHeight="1" x14ac:dyDescent="0.25">
      <c r="M14498" s="274"/>
    </row>
    <row r="14499" spans="13:13" ht="15" customHeight="1" x14ac:dyDescent="0.25">
      <c r="M14499" s="274"/>
    </row>
    <row r="14500" spans="13:13" ht="15" customHeight="1" x14ac:dyDescent="0.25">
      <c r="M14500" s="274"/>
    </row>
    <row r="14501" spans="13:13" ht="15" customHeight="1" x14ac:dyDescent="0.25">
      <c r="M14501" s="274"/>
    </row>
    <row r="14502" spans="13:13" ht="15" customHeight="1" x14ac:dyDescent="0.25">
      <c r="M14502" s="274"/>
    </row>
    <row r="14503" spans="13:13" ht="15" customHeight="1" x14ac:dyDescent="0.25">
      <c r="M14503" s="274"/>
    </row>
    <row r="14504" spans="13:13" ht="15" customHeight="1" x14ac:dyDescent="0.25">
      <c r="M14504" s="274"/>
    </row>
    <row r="14505" spans="13:13" ht="15" customHeight="1" x14ac:dyDescent="0.25">
      <c r="M14505" s="274"/>
    </row>
    <row r="14506" spans="13:13" ht="15" customHeight="1" x14ac:dyDescent="0.25">
      <c r="M14506" s="274"/>
    </row>
    <row r="14507" spans="13:13" ht="15" customHeight="1" x14ac:dyDescent="0.25">
      <c r="M14507" s="274"/>
    </row>
    <row r="14508" spans="13:13" ht="15" customHeight="1" x14ac:dyDescent="0.25">
      <c r="M14508" s="274"/>
    </row>
    <row r="14509" spans="13:13" ht="15" customHeight="1" x14ac:dyDescent="0.25">
      <c r="M14509" s="274"/>
    </row>
    <row r="14510" spans="13:13" ht="15" customHeight="1" x14ac:dyDescent="0.25">
      <c r="M14510" s="274"/>
    </row>
    <row r="14511" spans="13:13" ht="15" customHeight="1" x14ac:dyDescent="0.25">
      <c r="M14511" s="274"/>
    </row>
    <row r="14512" spans="13:13" ht="15" customHeight="1" x14ac:dyDescent="0.25">
      <c r="M14512" s="274"/>
    </row>
    <row r="14513" spans="13:13" ht="15" customHeight="1" x14ac:dyDescent="0.25">
      <c r="M14513" s="274"/>
    </row>
    <row r="14514" spans="13:13" ht="15" customHeight="1" x14ac:dyDescent="0.25">
      <c r="M14514" s="274"/>
    </row>
    <row r="14515" spans="13:13" ht="15" customHeight="1" x14ac:dyDescent="0.25">
      <c r="M14515" s="274"/>
    </row>
    <row r="14516" spans="13:13" ht="15" customHeight="1" x14ac:dyDescent="0.25">
      <c r="M14516" s="274"/>
    </row>
    <row r="14517" spans="13:13" ht="15" customHeight="1" x14ac:dyDescent="0.25">
      <c r="M14517" s="274"/>
    </row>
    <row r="14518" spans="13:13" ht="15" customHeight="1" x14ac:dyDescent="0.25">
      <c r="M14518" s="274"/>
    </row>
    <row r="14519" spans="13:13" ht="15" customHeight="1" x14ac:dyDescent="0.25">
      <c r="M14519" s="274"/>
    </row>
    <row r="14520" spans="13:13" ht="15" customHeight="1" x14ac:dyDescent="0.25">
      <c r="M14520" s="274"/>
    </row>
    <row r="14521" spans="13:13" ht="15" customHeight="1" x14ac:dyDescent="0.25">
      <c r="M14521" s="274"/>
    </row>
    <row r="14522" spans="13:13" ht="15" customHeight="1" x14ac:dyDescent="0.25">
      <c r="M14522" s="274"/>
    </row>
    <row r="14523" spans="13:13" ht="15" customHeight="1" x14ac:dyDescent="0.25">
      <c r="M14523" s="274"/>
    </row>
    <row r="14524" spans="13:13" ht="15" customHeight="1" x14ac:dyDescent="0.25">
      <c r="M14524" s="274"/>
    </row>
    <row r="14525" spans="13:13" ht="15" customHeight="1" x14ac:dyDescent="0.25">
      <c r="M14525" s="274"/>
    </row>
    <row r="14526" spans="13:13" ht="15" customHeight="1" x14ac:dyDescent="0.25">
      <c r="M14526" s="274"/>
    </row>
    <row r="14527" spans="13:13" ht="15" customHeight="1" x14ac:dyDescent="0.25">
      <c r="M14527" s="274"/>
    </row>
    <row r="14528" spans="13:13" ht="15" customHeight="1" x14ac:dyDescent="0.25">
      <c r="M14528" s="274"/>
    </row>
    <row r="14529" spans="13:13" ht="15" customHeight="1" x14ac:dyDescent="0.25">
      <c r="M14529" s="274"/>
    </row>
    <row r="14530" spans="13:13" ht="15" customHeight="1" x14ac:dyDescent="0.25">
      <c r="M14530" s="274"/>
    </row>
    <row r="14531" spans="13:13" ht="15" customHeight="1" x14ac:dyDescent="0.25">
      <c r="M14531" s="274"/>
    </row>
    <row r="14532" spans="13:13" ht="15" customHeight="1" x14ac:dyDescent="0.25">
      <c r="M14532" s="274"/>
    </row>
    <row r="14533" spans="13:13" ht="15" customHeight="1" x14ac:dyDescent="0.25">
      <c r="M14533" s="274"/>
    </row>
    <row r="14534" spans="13:13" ht="15" customHeight="1" x14ac:dyDescent="0.25">
      <c r="M14534" s="274"/>
    </row>
    <row r="14535" spans="13:13" ht="15" customHeight="1" x14ac:dyDescent="0.25">
      <c r="M14535" s="274"/>
    </row>
    <row r="14536" spans="13:13" ht="15" customHeight="1" x14ac:dyDescent="0.25">
      <c r="M14536" s="274"/>
    </row>
    <row r="14537" spans="13:13" ht="15" customHeight="1" x14ac:dyDescent="0.25">
      <c r="M14537" s="274"/>
    </row>
    <row r="14538" spans="13:13" ht="15" customHeight="1" x14ac:dyDescent="0.25">
      <c r="M14538" s="274"/>
    </row>
    <row r="14539" spans="13:13" ht="15" customHeight="1" x14ac:dyDescent="0.25">
      <c r="M14539" s="274"/>
    </row>
    <row r="14540" spans="13:13" ht="15" customHeight="1" x14ac:dyDescent="0.25">
      <c r="M14540" s="274"/>
    </row>
    <row r="14541" spans="13:13" ht="15" customHeight="1" x14ac:dyDescent="0.25">
      <c r="M14541" s="274"/>
    </row>
    <row r="14542" spans="13:13" ht="15" customHeight="1" x14ac:dyDescent="0.25">
      <c r="M14542" s="274"/>
    </row>
    <row r="14543" spans="13:13" ht="15" customHeight="1" x14ac:dyDescent="0.25">
      <c r="M14543" s="274"/>
    </row>
    <row r="14544" spans="13:13" ht="15" customHeight="1" x14ac:dyDescent="0.25">
      <c r="M14544" s="274"/>
    </row>
    <row r="14545" spans="13:13" ht="15" customHeight="1" x14ac:dyDescent="0.25">
      <c r="M14545" s="274"/>
    </row>
    <row r="14546" spans="13:13" ht="15" customHeight="1" x14ac:dyDescent="0.25">
      <c r="M14546" s="274"/>
    </row>
    <row r="14547" spans="13:13" ht="15" customHeight="1" x14ac:dyDescent="0.25">
      <c r="M14547" s="274"/>
    </row>
    <row r="14548" spans="13:13" ht="15" customHeight="1" x14ac:dyDescent="0.25">
      <c r="M14548" s="274"/>
    </row>
    <row r="14549" spans="13:13" ht="15" customHeight="1" x14ac:dyDescent="0.25">
      <c r="M14549" s="274"/>
    </row>
    <row r="14550" spans="13:13" ht="15" customHeight="1" x14ac:dyDescent="0.25">
      <c r="M14550" s="274"/>
    </row>
    <row r="14551" spans="13:13" ht="15" customHeight="1" x14ac:dyDescent="0.25">
      <c r="M14551" s="274"/>
    </row>
    <row r="14552" spans="13:13" ht="15" customHeight="1" x14ac:dyDescent="0.25">
      <c r="M14552" s="274"/>
    </row>
    <row r="14553" spans="13:13" ht="15" customHeight="1" x14ac:dyDescent="0.25">
      <c r="M14553" s="274"/>
    </row>
    <row r="14554" spans="13:13" ht="15" customHeight="1" x14ac:dyDescent="0.25">
      <c r="M14554" s="274"/>
    </row>
    <row r="14555" spans="13:13" ht="15" customHeight="1" x14ac:dyDescent="0.25">
      <c r="M14555" s="274"/>
    </row>
    <row r="14556" spans="13:13" ht="15" customHeight="1" x14ac:dyDescent="0.25">
      <c r="M14556" s="274"/>
    </row>
    <row r="14557" spans="13:13" ht="15" customHeight="1" x14ac:dyDescent="0.25">
      <c r="M14557" s="274"/>
    </row>
    <row r="14558" spans="13:13" ht="15" customHeight="1" x14ac:dyDescent="0.25">
      <c r="M14558" s="274"/>
    </row>
    <row r="14559" spans="13:13" ht="15" customHeight="1" x14ac:dyDescent="0.25">
      <c r="M14559" s="274"/>
    </row>
    <row r="14560" spans="13:13" ht="15" customHeight="1" x14ac:dyDescent="0.25">
      <c r="M14560" s="274"/>
    </row>
    <row r="14561" spans="13:13" ht="15" customHeight="1" x14ac:dyDescent="0.25">
      <c r="M14561" s="274"/>
    </row>
    <row r="14562" spans="13:13" ht="15" customHeight="1" x14ac:dyDescent="0.25">
      <c r="M14562" s="274"/>
    </row>
    <row r="14563" spans="13:13" ht="15" customHeight="1" x14ac:dyDescent="0.25">
      <c r="M14563" s="274"/>
    </row>
    <row r="14564" spans="13:13" ht="15" customHeight="1" x14ac:dyDescent="0.25">
      <c r="M14564" s="274"/>
    </row>
    <row r="14565" spans="13:13" ht="15" customHeight="1" x14ac:dyDescent="0.25">
      <c r="M14565" s="274"/>
    </row>
    <row r="14566" spans="13:13" ht="15" customHeight="1" x14ac:dyDescent="0.25">
      <c r="M14566" s="274"/>
    </row>
    <row r="14567" spans="13:13" ht="15" customHeight="1" x14ac:dyDescent="0.25">
      <c r="M14567" s="274"/>
    </row>
    <row r="14568" spans="13:13" ht="15" customHeight="1" x14ac:dyDescent="0.25">
      <c r="M14568" s="274"/>
    </row>
    <row r="14569" spans="13:13" ht="15" customHeight="1" x14ac:dyDescent="0.25">
      <c r="M14569" s="274"/>
    </row>
    <row r="14570" spans="13:13" ht="15" customHeight="1" x14ac:dyDescent="0.25">
      <c r="M14570" s="274"/>
    </row>
    <row r="14571" spans="13:13" ht="15" customHeight="1" x14ac:dyDescent="0.25">
      <c r="M14571" s="274"/>
    </row>
    <row r="14572" spans="13:13" ht="15" customHeight="1" x14ac:dyDescent="0.25">
      <c r="M14572" s="274"/>
    </row>
    <row r="14573" spans="13:13" ht="15" customHeight="1" x14ac:dyDescent="0.25">
      <c r="M14573" s="274"/>
    </row>
    <row r="14574" spans="13:13" ht="15" customHeight="1" x14ac:dyDescent="0.25">
      <c r="M14574" s="274"/>
    </row>
    <row r="14575" spans="13:13" ht="15" customHeight="1" x14ac:dyDescent="0.25">
      <c r="M14575" s="274"/>
    </row>
    <row r="14576" spans="13:13" ht="15" customHeight="1" x14ac:dyDescent="0.25">
      <c r="M14576" s="274"/>
    </row>
    <row r="14577" spans="13:13" ht="15" customHeight="1" x14ac:dyDescent="0.25">
      <c r="M14577" s="274"/>
    </row>
    <row r="14578" spans="13:13" ht="15" customHeight="1" x14ac:dyDescent="0.25">
      <c r="M14578" s="274"/>
    </row>
    <row r="14579" spans="13:13" ht="15" customHeight="1" x14ac:dyDescent="0.25">
      <c r="M14579" s="274"/>
    </row>
    <row r="14580" spans="13:13" ht="15" customHeight="1" x14ac:dyDescent="0.25">
      <c r="M14580" s="274"/>
    </row>
    <row r="14581" spans="13:13" ht="15" customHeight="1" x14ac:dyDescent="0.25">
      <c r="M14581" s="274"/>
    </row>
    <row r="14582" spans="13:13" ht="15" customHeight="1" x14ac:dyDescent="0.25">
      <c r="M14582" s="274"/>
    </row>
    <row r="14583" spans="13:13" ht="15" customHeight="1" x14ac:dyDescent="0.25">
      <c r="M14583" s="274"/>
    </row>
    <row r="14584" spans="13:13" ht="15" customHeight="1" x14ac:dyDescent="0.25">
      <c r="M14584" s="274"/>
    </row>
    <row r="14585" spans="13:13" ht="15" customHeight="1" x14ac:dyDescent="0.25">
      <c r="M14585" s="274"/>
    </row>
    <row r="14586" spans="13:13" ht="15" customHeight="1" x14ac:dyDescent="0.25">
      <c r="M14586" s="274"/>
    </row>
    <row r="14587" spans="13:13" ht="15" customHeight="1" x14ac:dyDescent="0.25">
      <c r="M14587" s="274"/>
    </row>
    <row r="14588" spans="13:13" ht="15" customHeight="1" x14ac:dyDescent="0.25">
      <c r="M14588" s="274"/>
    </row>
    <row r="14589" spans="13:13" ht="15" customHeight="1" x14ac:dyDescent="0.25">
      <c r="M14589" s="274"/>
    </row>
    <row r="14590" spans="13:13" ht="15" customHeight="1" x14ac:dyDescent="0.25">
      <c r="M14590" s="274"/>
    </row>
    <row r="14591" spans="13:13" ht="15" customHeight="1" x14ac:dyDescent="0.25">
      <c r="M14591" s="274"/>
    </row>
    <row r="14592" spans="13:13" ht="15" customHeight="1" x14ac:dyDescent="0.25">
      <c r="M14592" s="274"/>
    </row>
    <row r="14593" spans="13:13" ht="15" customHeight="1" x14ac:dyDescent="0.25">
      <c r="M14593" s="274"/>
    </row>
    <row r="14594" spans="13:13" ht="15" customHeight="1" x14ac:dyDescent="0.25">
      <c r="M14594" s="274"/>
    </row>
    <row r="14595" spans="13:13" ht="15" customHeight="1" x14ac:dyDescent="0.25">
      <c r="M14595" s="274"/>
    </row>
    <row r="14596" spans="13:13" ht="15" customHeight="1" x14ac:dyDescent="0.25">
      <c r="M14596" s="274"/>
    </row>
    <row r="14597" spans="13:13" ht="15" customHeight="1" x14ac:dyDescent="0.25">
      <c r="M14597" s="274"/>
    </row>
    <row r="14598" spans="13:13" ht="15" customHeight="1" x14ac:dyDescent="0.25">
      <c r="M14598" s="274"/>
    </row>
    <row r="14599" spans="13:13" ht="15" customHeight="1" x14ac:dyDescent="0.25">
      <c r="M14599" s="274"/>
    </row>
    <row r="14600" spans="13:13" ht="15" customHeight="1" x14ac:dyDescent="0.25">
      <c r="M14600" s="274"/>
    </row>
    <row r="14601" spans="13:13" ht="15" customHeight="1" x14ac:dyDescent="0.25">
      <c r="M14601" s="274"/>
    </row>
    <row r="14602" spans="13:13" ht="15" customHeight="1" x14ac:dyDescent="0.25">
      <c r="M14602" s="274"/>
    </row>
    <row r="14603" spans="13:13" ht="15" customHeight="1" x14ac:dyDescent="0.25">
      <c r="M14603" s="274"/>
    </row>
    <row r="14604" spans="13:13" ht="15" customHeight="1" x14ac:dyDescent="0.25">
      <c r="M14604" s="274"/>
    </row>
    <row r="14605" spans="13:13" ht="15" customHeight="1" x14ac:dyDescent="0.25">
      <c r="M14605" s="274"/>
    </row>
    <row r="14606" spans="13:13" ht="15" customHeight="1" x14ac:dyDescent="0.25">
      <c r="M14606" s="274"/>
    </row>
    <row r="14607" spans="13:13" ht="15" customHeight="1" x14ac:dyDescent="0.25">
      <c r="M14607" s="274"/>
    </row>
    <row r="14608" spans="13:13" ht="15" customHeight="1" x14ac:dyDescent="0.25">
      <c r="M14608" s="274"/>
    </row>
    <row r="14609" spans="13:13" ht="15" customHeight="1" x14ac:dyDescent="0.25">
      <c r="M14609" s="274"/>
    </row>
    <row r="14610" spans="13:13" ht="15" customHeight="1" x14ac:dyDescent="0.25">
      <c r="M14610" s="274"/>
    </row>
    <row r="14611" spans="13:13" ht="15" customHeight="1" x14ac:dyDescent="0.25">
      <c r="M14611" s="274"/>
    </row>
    <row r="14612" spans="13:13" ht="15" customHeight="1" x14ac:dyDescent="0.25">
      <c r="M14612" s="274"/>
    </row>
    <row r="14613" spans="13:13" ht="15" customHeight="1" x14ac:dyDescent="0.25">
      <c r="M14613" s="274"/>
    </row>
    <row r="14614" spans="13:13" ht="15" customHeight="1" x14ac:dyDescent="0.25">
      <c r="M14614" s="274"/>
    </row>
    <row r="14615" spans="13:13" ht="15" customHeight="1" x14ac:dyDescent="0.25">
      <c r="M14615" s="274"/>
    </row>
    <row r="14616" spans="13:13" ht="15" customHeight="1" x14ac:dyDescent="0.25">
      <c r="M14616" s="274"/>
    </row>
    <row r="14617" spans="13:13" ht="15" customHeight="1" x14ac:dyDescent="0.25">
      <c r="M14617" s="274"/>
    </row>
    <row r="14618" spans="13:13" ht="15" customHeight="1" x14ac:dyDescent="0.25">
      <c r="M14618" s="274"/>
    </row>
    <row r="14619" spans="13:13" ht="15" customHeight="1" x14ac:dyDescent="0.25">
      <c r="M14619" s="274"/>
    </row>
    <row r="14620" spans="13:13" ht="15" customHeight="1" x14ac:dyDescent="0.25">
      <c r="M14620" s="274"/>
    </row>
    <row r="14621" spans="13:13" ht="15" customHeight="1" x14ac:dyDescent="0.25">
      <c r="M14621" s="274"/>
    </row>
    <row r="14622" spans="13:13" ht="15" customHeight="1" x14ac:dyDescent="0.25">
      <c r="M14622" s="274"/>
    </row>
    <row r="14623" spans="13:13" ht="15" customHeight="1" x14ac:dyDescent="0.25">
      <c r="M14623" s="274"/>
    </row>
    <row r="14624" spans="13:13" ht="15" customHeight="1" x14ac:dyDescent="0.25">
      <c r="M14624" s="274"/>
    </row>
    <row r="14625" spans="13:13" ht="15" customHeight="1" x14ac:dyDescent="0.25">
      <c r="M14625" s="274"/>
    </row>
    <row r="14626" spans="13:13" ht="15" customHeight="1" x14ac:dyDescent="0.25">
      <c r="M14626" s="274"/>
    </row>
    <row r="14627" spans="13:13" ht="15" customHeight="1" x14ac:dyDescent="0.25">
      <c r="M14627" s="274"/>
    </row>
    <row r="14628" spans="13:13" ht="15" customHeight="1" x14ac:dyDescent="0.25">
      <c r="M14628" s="274"/>
    </row>
    <row r="14629" spans="13:13" ht="15" customHeight="1" x14ac:dyDescent="0.25">
      <c r="M14629" s="274"/>
    </row>
    <row r="14630" spans="13:13" ht="15" customHeight="1" x14ac:dyDescent="0.25">
      <c r="M14630" s="274"/>
    </row>
    <row r="14631" spans="13:13" ht="15" customHeight="1" x14ac:dyDescent="0.25">
      <c r="M14631" s="274"/>
    </row>
    <row r="14632" spans="13:13" ht="15" customHeight="1" x14ac:dyDescent="0.25">
      <c r="M14632" s="274"/>
    </row>
    <row r="14633" spans="13:13" ht="15" customHeight="1" x14ac:dyDescent="0.25">
      <c r="M14633" s="274"/>
    </row>
    <row r="14634" spans="13:13" ht="15" customHeight="1" x14ac:dyDescent="0.25">
      <c r="M14634" s="274"/>
    </row>
    <row r="14635" spans="13:13" ht="15" customHeight="1" x14ac:dyDescent="0.25">
      <c r="M14635" s="274"/>
    </row>
    <row r="14636" spans="13:13" ht="15" customHeight="1" x14ac:dyDescent="0.25">
      <c r="M14636" s="274"/>
    </row>
    <row r="14637" spans="13:13" ht="15" customHeight="1" x14ac:dyDescent="0.25">
      <c r="M14637" s="274"/>
    </row>
    <row r="14638" spans="13:13" ht="15" customHeight="1" x14ac:dyDescent="0.25">
      <c r="M14638" s="274"/>
    </row>
    <row r="14639" spans="13:13" ht="15" customHeight="1" x14ac:dyDescent="0.25">
      <c r="M14639" s="274"/>
    </row>
    <row r="14640" spans="13:13" ht="15" customHeight="1" x14ac:dyDescent="0.25">
      <c r="M14640" s="274"/>
    </row>
    <row r="14641" spans="13:13" ht="15" customHeight="1" x14ac:dyDescent="0.25">
      <c r="M14641" s="274"/>
    </row>
    <row r="14642" spans="13:13" ht="15" customHeight="1" x14ac:dyDescent="0.25">
      <c r="M14642" s="274"/>
    </row>
    <row r="14643" spans="13:13" ht="15" customHeight="1" x14ac:dyDescent="0.25">
      <c r="M14643" s="274"/>
    </row>
    <row r="14644" spans="13:13" ht="15" customHeight="1" x14ac:dyDescent="0.25">
      <c r="M14644" s="274"/>
    </row>
    <row r="14645" spans="13:13" ht="15" customHeight="1" x14ac:dyDescent="0.25">
      <c r="M14645" s="274"/>
    </row>
    <row r="14646" spans="13:13" ht="15" customHeight="1" x14ac:dyDescent="0.25">
      <c r="M14646" s="274"/>
    </row>
    <row r="14647" spans="13:13" ht="15" customHeight="1" x14ac:dyDescent="0.25">
      <c r="M14647" s="274"/>
    </row>
    <row r="14648" spans="13:13" ht="15" customHeight="1" x14ac:dyDescent="0.25">
      <c r="M14648" s="274"/>
    </row>
    <row r="14649" spans="13:13" ht="15" customHeight="1" x14ac:dyDescent="0.25">
      <c r="M14649" s="274"/>
    </row>
    <row r="14650" spans="13:13" ht="15" customHeight="1" x14ac:dyDescent="0.25">
      <c r="M14650" s="274"/>
    </row>
    <row r="14651" spans="13:13" ht="15" customHeight="1" x14ac:dyDescent="0.25">
      <c r="M14651" s="274"/>
    </row>
    <row r="14652" spans="13:13" ht="15" customHeight="1" x14ac:dyDescent="0.25">
      <c r="M14652" s="274"/>
    </row>
    <row r="14653" spans="13:13" ht="15" customHeight="1" x14ac:dyDescent="0.25">
      <c r="M14653" s="274"/>
    </row>
    <row r="14654" spans="13:13" ht="15" customHeight="1" x14ac:dyDescent="0.25">
      <c r="M14654" s="274"/>
    </row>
    <row r="14655" spans="13:13" ht="15" customHeight="1" x14ac:dyDescent="0.25">
      <c r="M14655" s="274"/>
    </row>
    <row r="14656" spans="13:13" ht="15" customHeight="1" x14ac:dyDescent="0.25">
      <c r="M14656" s="274"/>
    </row>
    <row r="14657" spans="13:13" ht="15" customHeight="1" x14ac:dyDescent="0.25">
      <c r="M14657" s="274"/>
    </row>
    <row r="14658" spans="13:13" ht="15" customHeight="1" x14ac:dyDescent="0.25">
      <c r="M14658" s="274"/>
    </row>
    <row r="14659" spans="13:13" ht="15" customHeight="1" x14ac:dyDescent="0.25">
      <c r="M14659" s="274"/>
    </row>
    <row r="14660" spans="13:13" ht="15" customHeight="1" x14ac:dyDescent="0.25">
      <c r="M14660" s="274"/>
    </row>
    <row r="14661" spans="13:13" ht="15" customHeight="1" x14ac:dyDescent="0.25">
      <c r="M14661" s="274"/>
    </row>
    <row r="14662" spans="13:13" ht="15" customHeight="1" x14ac:dyDescent="0.25">
      <c r="M14662" s="274"/>
    </row>
    <row r="14663" spans="13:13" ht="15" customHeight="1" x14ac:dyDescent="0.25">
      <c r="M14663" s="274"/>
    </row>
    <row r="14664" spans="13:13" ht="15" customHeight="1" x14ac:dyDescent="0.25">
      <c r="M14664" s="274"/>
    </row>
    <row r="14665" spans="13:13" ht="15" customHeight="1" x14ac:dyDescent="0.25">
      <c r="M14665" s="274"/>
    </row>
    <row r="14666" spans="13:13" ht="15" customHeight="1" x14ac:dyDescent="0.25">
      <c r="M14666" s="274"/>
    </row>
    <row r="14667" spans="13:13" ht="15" customHeight="1" x14ac:dyDescent="0.25">
      <c r="M14667" s="274"/>
    </row>
    <row r="14668" spans="13:13" ht="15" customHeight="1" x14ac:dyDescent="0.25">
      <c r="M14668" s="274"/>
    </row>
    <row r="14669" spans="13:13" ht="15" customHeight="1" x14ac:dyDescent="0.25">
      <c r="M14669" s="274"/>
    </row>
    <row r="14670" spans="13:13" ht="15" customHeight="1" x14ac:dyDescent="0.25">
      <c r="M14670" s="274"/>
    </row>
    <row r="14671" spans="13:13" ht="15" customHeight="1" x14ac:dyDescent="0.25">
      <c r="M14671" s="274"/>
    </row>
    <row r="14672" spans="13:13" ht="15" customHeight="1" x14ac:dyDescent="0.25">
      <c r="M14672" s="274"/>
    </row>
    <row r="14673" spans="13:13" ht="15" customHeight="1" x14ac:dyDescent="0.25">
      <c r="M14673" s="274"/>
    </row>
    <row r="14674" spans="13:13" ht="15" customHeight="1" x14ac:dyDescent="0.25">
      <c r="M14674" s="274"/>
    </row>
    <row r="14675" spans="13:13" ht="15" customHeight="1" x14ac:dyDescent="0.25">
      <c r="M14675" s="274"/>
    </row>
    <row r="14676" spans="13:13" ht="15" customHeight="1" x14ac:dyDescent="0.25">
      <c r="M14676" s="274"/>
    </row>
    <row r="14677" spans="13:13" ht="15" customHeight="1" x14ac:dyDescent="0.25">
      <c r="M14677" s="274"/>
    </row>
    <row r="14678" spans="13:13" ht="15" customHeight="1" x14ac:dyDescent="0.25">
      <c r="M14678" s="274"/>
    </row>
    <row r="14679" spans="13:13" ht="15" customHeight="1" x14ac:dyDescent="0.25">
      <c r="M14679" s="274"/>
    </row>
    <row r="14680" spans="13:13" ht="15" customHeight="1" x14ac:dyDescent="0.25">
      <c r="M14680" s="274"/>
    </row>
    <row r="14681" spans="13:13" ht="15" customHeight="1" x14ac:dyDescent="0.25">
      <c r="M14681" s="274"/>
    </row>
    <row r="14682" spans="13:13" ht="15" customHeight="1" x14ac:dyDescent="0.25">
      <c r="M14682" s="274"/>
    </row>
    <row r="14683" spans="13:13" ht="15" customHeight="1" x14ac:dyDescent="0.25">
      <c r="M14683" s="274"/>
    </row>
    <row r="14684" spans="13:13" ht="15" customHeight="1" x14ac:dyDescent="0.25">
      <c r="M14684" s="274"/>
    </row>
    <row r="14685" spans="13:13" ht="15" customHeight="1" x14ac:dyDescent="0.25">
      <c r="M14685" s="274"/>
    </row>
    <row r="14686" spans="13:13" ht="15" customHeight="1" x14ac:dyDescent="0.25">
      <c r="M14686" s="274"/>
    </row>
    <row r="14687" spans="13:13" ht="15" customHeight="1" x14ac:dyDescent="0.25">
      <c r="M14687" s="274"/>
    </row>
    <row r="14688" spans="13:13" ht="15" customHeight="1" x14ac:dyDescent="0.25">
      <c r="M14688" s="274"/>
    </row>
    <row r="14689" spans="13:13" ht="15" customHeight="1" x14ac:dyDescent="0.25">
      <c r="M14689" s="274"/>
    </row>
    <row r="14690" spans="13:13" ht="15" customHeight="1" x14ac:dyDescent="0.25">
      <c r="M14690" s="274"/>
    </row>
    <row r="14691" spans="13:13" ht="15" customHeight="1" x14ac:dyDescent="0.25">
      <c r="M14691" s="274"/>
    </row>
    <row r="14692" spans="13:13" ht="15" customHeight="1" x14ac:dyDescent="0.25">
      <c r="M14692" s="274"/>
    </row>
    <row r="14693" spans="13:13" ht="15" customHeight="1" x14ac:dyDescent="0.25">
      <c r="M14693" s="274"/>
    </row>
    <row r="14694" spans="13:13" ht="15" customHeight="1" x14ac:dyDescent="0.25">
      <c r="M14694" s="274"/>
    </row>
    <row r="14695" spans="13:13" ht="15" customHeight="1" x14ac:dyDescent="0.25">
      <c r="M14695" s="274"/>
    </row>
    <row r="14696" spans="13:13" ht="15" customHeight="1" x14ac:dyDescent="0.25">
      <c r="M14696" s="274"/>
    </row>
    <row r="14697" spans="13:13" ht="15" customHeight="1" x14ac:dyDescent="0.25">
      <c r="M14697" s="274"/>
    </row>
    <row r="14698" spans="13:13" ht="15" customHeight="1" x14ac:dyDescent="0.25">
      <c r="M14698" s="274"/>
    </row>
    <row r="14699" spans="13:13" ht="15" customHeight="1" x14ac:dyDescent="0.25">
      <c r="M14699" s="274"/>
    </row>
    <row r="14700" spans="13:13" ht="15" customHeight="1" x14ac:dyDescent="0.25">
      <c r="M14700" s="274"/>
    </row>
    <row r="14701" spans="13:13" ht="15" customHeight="1" x14ac:dyDescent="0.25">
      <c r="M14701" s="274"/>
    </row>
    <row r="14702" spans="13:13" ht="15" customHeight="1" x14ac:dyDescent="0.25">
      <c r="M14702" s="274"/>
    </row>
    <row r="14703" spans="13:13" ht="15" customHeight="1" x14ac:dyDescent="0.25">
      <c r="M14703" s="274"/>
    </row>
    <row r="14704" spans="13:13" ht="15" customHeight="1" x14ac:dyDescent="0.25">
      <c r="M14704" s="274"/>
    </row>
    <row r="14705" spans="13:13" ht="15" customHeight="1" x14ac:dyDescent="0.25">
      <c r="M14705" s="274"/>
    </row>
    <row r="14706" spans="13:13" ht="15" customHeight="1" x14ac:dyDescent="0.25">
      <c r="M14706" s="274"/>
    </row>
    <row r="14707" spans="13:13" ht="15" customHeight="1" x14ac:dyDescent="0.25">
      <c r="M14707" s="274"/>
    </row>
    <row r="14708" spans="13:13" ht="15" customHeight="1" x14ac:dyDescent="0.25">
      <c r="M14708" s="274"/>
    </row>
    <row r="14709" spans="13:13" ht="15" customHeight="1" x14ac:dyDescent="0.25">
      <c r="M14709" s="274"/>
    </row>
    <row r="14710" spans="13:13" ht="15" customHeight="1" x14ac:dyDescent="0.25">
      <c r="M14710" s="274"/>
    </row>
    <row r="14711" spans="13:13" ht="15" customHeight="1" x14ac:dyDescent="0.25">
      <c r="M14711" s="274"/>
    </row>
    <row r="14712" spans="13:13" ht="15" customHeight="1" x14ac:dyDescent="0.25">
      <c r="M14712" s="274"/>
    </row>
    <row r="14713" spans="13:13" ht="15" customHeight="1" x14ac:dyDescent="0.25">
      <c r="M14713" s="274"/>
    </row>
    <row r="14714" spans="13:13" ht="15" customHeight="1" x14ac:dyDescent="0.25">
      <c r="M14714" s="274"/>
    </row>
    <row r="14715" spans="13:13" ht="15" customHeight="1" x14ac:dyDescent="0.25">
      <c r="M14715" s="274"/>
    </row>
    <row r="14716" spans="13:13" ht="15" customHeight="1" x14ac:dyDescent="0.25">
      <c r="M14716" s="274"/>
    </row>
    <row r="14717" spans="13:13" ht="15" customHeight="1" x14ac:dyDescent="0.25">
      <c r="M14717" s="274"/>
    </row>
    <row r="14718" spans="13:13" ht="15" customHeight="1" x14ac:dyDescent="0.25">
      <c r="M14718" s="274"/>
    </row>
    <row r="14719" spans="13:13" ht="15" customHeight="1" x14ac:dyDescent="0.25">
      <c r="M14719" s="274"/>
    </row>
    <row r="14720" spans="13:13" ht="15" customHeight="1" x14ac:dyDescent="0.25">
      <c r="M14720" s="274"/>
    </row>
    <row r="14721" spans="13:13" ht="15" customHeight="1" x14ac:dyDescent="0.25">
      <c r="M14721" s="274"/>
    </row>
    <row r="14722" spans="13:13" ht="15" customHeight="1" x14ac:dyDescent="0.25">
      <c r="M14722" s="274"/>
    </row>
    <row r="14723" spans="13:13" ht="15" customHeight="1" x14ac:dyDescent="0.25">
      <c r="M14723" s="274"/>
    </row>
    <row r="14724" spans="13:13" ht="15" customHeight="1" x14ac:dyDescent="0.25">
      <c r="M14724" s="274"/>
    </row>
    <row r="14725" spans="13:13" ht="15" customHeight="1" x14ac:dyDescent="0.25">
      <c r="M14725" s="274"/>
    </row>
    <row r="14726" spans="13:13" ht="15" customHeight="1" x14ac:dyDescent="0.25">
      <c r="M14726" s="274"/>
    </row>
    <row r="14727" spans="13:13" ht="15" customHeight="1" x14ac:dyDescent="0.25">
      <c r="M14727" s="274"/>
    </row>
    <row r="14728" spans="13:13" ht="15" customHeight="1" x14ac:dyDescent="0.25">
      <c r="M14728" s="274"/>
    </row>
    <row r="14729" spans="13:13" ht="15" customHeight="1" x14ac:dyDescent="0.25">
      <c r="M14729" s="274"/>
    </row>
    <row r="14730" spans="13:13" ht="15" customHeight="1" x14ac:dyDescent="0.25">
      <c r="M14730" s="274"/>
    </row>
    <row r="14731" spans="13:13" ht="15" customHeight="1" x14ac:dyDescent="0.25">
      <c r="M14731" s="274"/>
    </row>
    <row r="14732" spans="13:13" ht="15" customHeight="1" x14ac:dyDescent="0.25">
      <c r="M14732" s="274"/>
    </row>
    <row r="14733" spans="13:13" ht="15" customHeight="1" x14ac:dyDescent="0.25">
      <c r="M14733" s="274"/>
    </row>
    <row r="14734" spans="13:13" ht="15" customHeight="1" x14ac:dyDescent="0.25">
      <c r="M14734" s="274"/>
    </row>
    <row r="14735" spans="13:13" ht="15" customHeight="1" x14ac:dyDescent="0.25">
      <c r="M14735" s="274"/>
    </row>
    <row r="14736" spans="13:13" ht="15" customHeight="1" x14ac:dyDescent="0.25">
      <c r="M14736" s="274"/>
    </row>
    <row r="14737" spans="13:13" ht="15" customHeight="1" x14ac:dyDescent="0.25">
      <c r="M14737" s="274"/>
    </row>
    <row r="14738" spans="13:13" ht="15" customHeight="1" x14ac:dyDescent="0.25">
      <c r="M14738" s="274"/>
    </row>
    <row r="14739" spans="13:13" ht="15" customHeight="1" x14ac:dyDescent="0.25">
      <c r="M14739" s="274"/>
    </row>
    <row r="14740" spans="13:13" ht="15" customHeight="1" x14ac:dyDescent="0.25">
      <c r="M14740" s="274"/>
    </row>
    <row r="14741" spans="13:13" ht="15" customHeight="1" x14ac:dyDescent="0.25">
      <c r="M14741" s="274"/>
    </row>
    <row r="14742" spans="13:13" ht="15" customHeight="1" x14ac:dyDescent="0.25">
      <c r="M14742" s="274"/>
    </row>
    <row r="14743" spans="13:13" ht="15" customHeight="1" x14ac:dyDescent="0.25">
      <c r="M14743" s="274"/>
    </row>
    <row r="14744" spans="13:13" ht="15" customHeight="1" x14ac:dyDescent="0.25">
      <c r="M14744" s="274"/>
    </row>
    <row r="14745" spans="13:13" ht="15" customHeight="1" x14ac:dyDescent="0.25">
      <c r="M14745" s="274"/>
    </row>
    <row r="14746" spans="13:13" ht="15" customHeight="1" x14ac:dyDescent="0.25">
      <c r="M14746" s="274"/>
    </row>
    <row r="14747" spans="13:13" ht="15" customHeight="1" x14ac:dyDescent="0.25">
      <c r="M14747" s="274"/>
    </row>
    <row r="14748" spans="13:13" ht="15" customHeight="1" x14ac:dyDescent="0.25">
      <c r="M14748" s="274"/>
    </row>
    <row r="14749" spans="13:13" ht="15" customHeight="1" x14ac:dyDescent="0.25">
      <c r="M14749" s="274"/>
    </row>
    <row r="14750" spans="13:13" ht="15" customHeight="1" x14ac:dyDescent="0.25">
      <c r="M14750" s="274"/>
    </row>
    <row r="14751" spans="13:13" ht="15" customHeight="1" x14ac:dyDescent="0.25">
      <c r="M14751" s="274"/>
    </row>
    <row r="14752" spans="13:13" ht="15" customHeight="1" x14ac:dyDescent="0.25">
      <c r="M14752" s="274"/>
    </row>
    <row r="14753" spans="13:13" ht="15" customHeight="1" x14ac:dyDescent="0.25">
      <c r="M14753" s="274"/>
    </row>
    <row r="14754" spans="13:13" ht="15" customHeight="1" x14ac:dyDescent="0.25">
      <c r="M14754" s="274"/>
    </row>
    <row r="14755" spans="13:13" ht="15" customHeight="1" x14ac:dyDescent="0.25">
      <c r="M14755" s="274"/>
    </row>
    <row r="14756" spans="13:13" ht="15" customHeight="1" x14ac:dyDescent="0.25">
      <c r="M14756" s="274"/>
    </row>
    <row r="14757" spans="13:13" ht="15" customHeight="1" x14ac:dyDescent="0.25">
      <c r="M14757" s="274"/>
    </row>
    <row r="14758" spans="13:13" ht="15" customHeight="1" x14ac:dyDescent="0.25">
      <c r="M14758" s="274"/>
    </row>
    <row r="14759" spans="13:13" ht="15" customHeight="1" x14ac:dyDescent="0.25">
      <c r="M14759" s="274"/>
    </row>
    <row r="14760" spans="13:13" ht="15" customHeight="1" x14ac:dyDescent="0.25">
      <c r="M14760" s="274"/>
    </row>
    <row r="14761" spans="13:13" ht="15" customHeight="1" x14ac:dyDescent="0.25">
      <c r="M14761" s="274"/>
    </row>
    <row r="14762" spans="13:13" ht="15" customHeight="1" x14ac:dyDescent="0.25">
      <c r="M14762" s="274"/>
    </row>
    <row r="14763" spans="13:13" ht="15" customHeight="1" x14ac:dyDescent="0.25">
      <c r="M14763" s="274"/>
    </row>
    <row r="14764" spans="13:13" ht="15" customHeight="1" x14ac:dyDescent="0.25">
      <c r="M14764" s="274"/>
    </row>
    <row r="14765" spans="13:13" ht="15" customHeight="1" x14ac:dyDescent="0.25">
      <c r="M14765" s="274"/>
    </row>
    <row r="14766" spans="13:13" ht="15" customHeight="1" x14ac:dyDescent="0.25">
      <c r="M14766" s="274"/>
    </row>
    <row r="14767" spans="13:13" ht="15" customHeight="1" x14ac:dyDescent="0.25">
      <c r="M14767" s="274"/>
    </row>
    <row r="14768" spans="13:13" ht="15" customHeight="1" x14ac:dyDescent="0.25">
      <c r="M14768" s="274"/>
    </row>
    <row r="14769" spans="13:13" ht="15" customHeight="1" x14ac:dyDescent="0.25">
      <c r="M14769" s="274"/>
    </row>
    <row r="14770" spans="13:13" ht="15" customHeight="1" x14ac:dyDescent="0.25">
      <c r="M14770" s="274"/>
    </row>
    <row r="14771" spans="13:13" ht="15" customHeight="1" x14ac:dyDescent="0.25">
      <c r="M14771" s="274"/>
    </row>
    <row r="14772" spans="13:13" ht="15" customHeight="1" x14ac:dyDescent="0.25">
      <c r="M14772" s="274"/>
    </row>
    <row r="14773" spans="13:13" ht="15" customHeight="1" x14ac:dyDescent="0.25">
      <c r="M14773" s="274"/>
    </row>
    <row r="14774" spans="13:13" ht="15" customHeight="1" x14ac:dyDescent="0.25">
      <c r="M14774" s="274"/>
    </row>
    <row r="14775" spans="13:13" ht="15" customHeight="1" x14ac:dyDescent="0.25">
      <c r="M14775" s="274"/>
    </row>
    <row r="14776" spans="13:13" ht="15" customHeight="1" x14ac:dyDescent="0.25">
      <c r="M14776" s="274"/>
    </row>
    <row r="14777" spans="13:13" ht="15" customHeight="1" x14ac:dyDescent="0.25">
      <c r="M14777" s="274"/>
    </row>
    <row r="14778" spans="13:13" ht="15" customHeight="1" x14ac:dyDescent="0.25">
      <c r="M14778" s="274"/>
    </row>
    <row r="14779" spans="13:13" ht="15" customHeight="1" x14ac:dyDescent="0.25">
      <c r="M14779" s="274"/>
    </row>
    <row r="14780" spans="13:13" ht="15" customHeight="1" x14ac:dyDescent="0.25">
      <c r="M14780" s="274"/>
    </row>
    <row r="14781" spans="13:13" ht="15" customHeight="1" x14ac:dyDescent="0.25">
      <c r="M14781" s="274"/>
    </row>
    <row r="14782" spans="13:13" ht="15" customHeight="1" x14ac:dyDescent="0.25">
      <c r="M14782" s="274"/>
    </row>
    <row r="14783" spans="13:13" ht="15" customHeight="1" x14ac:dyDescent="0.25">
      <c r="M14783" s="274"/>
    </row>
    <row r="14784" spans="13:13" ht="15" customHeight="1" x14ac:dyDescent="0.25">
      <c r="M14784" s="274"/>
    </row>
    <row r="14785" spans="13:13" ht="15" customHeight="1" x14ac:dyDescent="0.25">
      <c r="M14785" s="274"/>
    </row>
    <row r="14786" spans="13:13" ht="15" customHeight="1" x14ac:dyDescent="0.25">
      <c r="M14786" s="274"/>
    </row>
    <row r="14787" spans="13:13" ht="15" customHeight="1" x14ac:dyDescent="0.25">
      <c r="M14787" s="274"/>
    </row>
    <row r="14788" spans="13:13" ht="15" customHeight="1" x14ac:dyDescent="0.25">
      <c r="M14788" s="274"/>
    </row>
    <row r="14789" spans="13:13" ht="15" customHeight="1" x14ac:dyDescent="0.25">
      <c r="M14789" s="274"/>
    </row>
    <row r="14790" spans="13:13" ht="15" customHeight="1" x14ac:dyDescent="0.25">
      <c r="M14790" s="274"/>
    </row>
    <row r="14791" spans="13:13" ht="15" customHeight="1" x14ac:dyDescent="0.25">
      <c r="M14791" s="274"/>
    </row>
    <row r="14792" spans="13:13" ht="15" customHeight="1" x14ac:dyDescent="0.25">
      <c r="M14792" s="274"/>
    </row>
    <row r="14793" spans="13:13" ht="15" customHeight="1" x14ac:dyDescent="0.25">
      <c r="M14793" s="274"/>
    </row>
    <row r="14794" spans="13:13" ht="15" customHeight="1" x14ac:dyDescent="0.25">
      <c r="M14794" s="274"/>
    </row>
    <row r="14795" spans="13:13" ht="15" customHeight="1" x14ac:dyDescent="0.25">
      <c r="M14795" s="274"/>
    </row>
    <row r="14796" spans="13:13" ht="15" customHeight="1" x14ac:dyDescent="0.25">
      <c r="M14796" s="274"/>
    </row>
    <row r="14797" spans="13:13" ht="15" customHeight="1" x14ac:dyDescent="0.25">
      <c r="M14797" s="274"/>
    </row>
    <row r="14798" spans="13:13" ht="15" customHeight="1" x14ac:dyDescent="0.25">
      <c r="M14798" s="274"/>
    </row>
    <row r="14799" spans="13:13" ht="15" customHeight="1" x14ac:dyDescent="0.25">
      <c r="M14799" s="274"/>
    </row>
    <row r="14800" spans="13:13" ht="15" customHeight="1" x14ac:dyDescent="0.25">
      <c r="M14800" s="274"/>
    </row>
    <row r="14801" spans="13:13" ht="15" customHeight="1" x14ac:dyDescent="0.25">
      <c r="M14801" s="274"/>
    </row>
    <row r="14802" spans="13:13" ht="15" customHeight="1" x14ac:dyDescent="0.25">
      <c r="M14802" s="274"/>
    </row>
    <row r="14803" spans="13:13" ht="15" customHeight="1" x14ac:dyDescent="0.25">
      <c r="M14803" s="274"/>
    </row>
    <row r="14804" spans="13:13" ht="15" customHeight="1" x14ac:dyDescent="0.25">
      <c r="M14804" s="274"/>
    </row>
    <row r="14805" spans="13:13" ht="15" customHeight="1" x14ac:dyDescent="0.25">
      <c r="M14805" s="274"/>
    </row>
    <row r="14806" spans="13:13" ht="15" customHeight="1" x14ac:dyDescent="0.25">
      <c r="M14806" s="274"/>
    </row>
    <row r="14807" spans="13:13" ht="15" customHeight="1" x14ac:dyDescent="0.25">
      <c r="M14807" s="274"/>
    </row>
    <row r="14808" spans="13:13" ht="15" customHeight="1" x14ac:dyDescent="0.25">
      <c r="M14808" s="274"/>
    </row>
    <row r="14809" spans="13:13" ht="15" customHeight="1" x14ac:dyDescent="0.25">
      <c r="M14809" s="274"/>
    </row>
    <row r="14810" spans="13:13" ht="15" customHeight="1" x14ac:dyDescent="0.25">
      <c r="M14810" s="274"/>
    </row>
    <row r="14811" spans="13:13" ht="15" customHeight="1" x14ac:dyDescent="0.25">
      <c r="M14811" s="274"/>
    </row>
    <row r="14812" spans="13:13" ht="15" customHeight="1" x14ac:dyDescent="0.25">
      <c r="M14812" s="274"/>
    </row>
    <row r="14813" spans="13:13" ht="15" customHeight="1" x14ac:dyDescent="0.25">
      <c r="M14813" s="274"/>
    </row>
    <row r="14814" spans="13:13" ht="15" customHeight="1" x14ac:dyDescent="0.25">
      <c r="M14814" s="274"/>
    </row>
    <row r="14815" spans="13:13" ht="15" customHeight="1" x14ac:dyDescent="0.25">
      <c r="M14815" s="274"/>
    </row>
    <row r="14816" spans="13:13" ht="15" customHeight="1" x14ac:dyDescent="0.25">
      <c r="M14816" s="274"/>
    </row>
    <row r="14817" spans="13:13" ht="15" customHeight="1" x14ac:dyDescent="0.25">
      <c r="M14817" s="274"/>
    </row>
    <row r="14818" spans="13:13" ht="15" customHeight="1" x14ac:dyDescent="0.25">
      <c r="M14818" s="274"/>
    </row>
    <row r="14819" spans="13:13" ht="15" customHeight="1" x14ac:dyDescent="0.25">
      <c r="M14819" s="274"/>
    </row>
    <row r="14820" spans="13:13" ht="15" customHeight="1" x14ac:dyDescent="0.25">
      <c r="M14820" s="274"/>
    </row>
    <row r="14821" spans="13:13" ht="15" customHeight="1" x14ac:dyDescent="0.25">
      <c r="M14821" s="274"/>
    </row>
    <row r="14822" spans="13:13" ht="15" customHeight="1" x14ac:dyDescent="0.25">
      <c r="M14822" s="274"/>
    </row>
    <row r="14823" spans="13:13" ht="15" customHeight="1" x14ac:dyDescent="0.25">
      <c r="M14823" s="274"/>
    </row>
    <row r="14824" spans="13:13" ht="15" customHeight="1" x14ac:dyDescent="0.25">
      <c r="M14824" s="274"/>
    </row>
    <row r="14825" spans="13:13" ht="15" customHeight="1" x14ac:dyDescent="0.25">
      <c r="M14825" s="274"/>
    </row>
    <row r="14826" spans="13:13" ht="15" customHeight="1" x14ac:dyDescent="0.25">
      <c r="M14826" s="274"/>
    </row>
    <row r="14827" spans="13:13" ht="15" customHeight="1" x14ac:dyDescent="0.25">
      <c r="M14827" s="274"/>
    </row>
    <row r="14828" spans="13:13" ht="15" customHeight="1" x14ac:dyDescent="0.25">
      <c r="M14828" s="274"/>
    </row>
    <row r="14829" spans="13:13" ht="15" customHeight="1" x14ac:dyDescent="0.25">
      <c r="M14829" s="274"/>
    </row>
    <row r="14830" spans="13:13" ht="15" customHeight="1" x14ac:dyDescent="0.25">
      <c r="M14830" s="274"/>
    </row>
    <row r="14831" spans="13:13" ht="15" customHeight="1" x14ac:dyDescent="0.25">
      <c r="M14831" s="274"/>
    </row>
    <row r="14832" spans="13:13" ht="15" customHeight="1" x14ac:dyDescent="0.25">
      <c r="M14832" s="274"/>
    </row>
    <row r="14833" spans="13:13" ht="15" customHeight="1" x14ac:dyDescent="0.25">
      <c r="M14833" s="274"/>
    </row>
    <row r="14834" spans="13:13" ht="15" customHeight="1" x14ac:dyDescent="0.25">
      <c r="M14834" s="274"/>
    </row>
    <row r="14835" spans="13:13" ht="15" customHeight="1" x14ac:dyDescent="0.25">
      <c r="M14835" s="274"/>
    </row>
    <row r="14836" spans="13:13" ht="15" customHeight="1" x14ac:dyDescent="0.25">
      <c r="M14836" s="274"/>
    </row>
    <row r="14837" spans="13:13" ht="15" customHeight="1" x14ac:dyDescent="0.25">
      <c r="M14837" s="274"/>
    </row>
    <row r="14838" spans="13:13" ht="15" customHeight="1" x14ac:dyDescent="0.25">
      <c r="M14838" s="274"/>
    </row>
    <row r="14839" spans="13:13" ht="15" customHeight="1" x14ac:dyDescent="0.25">
      <c r="M14839" s="274"/>
    </row>
    <row r="14840" spans="13:13" ht="15" customHeight="1" x14ac:dyDescent="0.25">
      <c r="M14840" s="274"/>
    </row>
    <row r="14841" spans="13:13" ht="15" customHeight="1" x14ac:dyDescent="0.25">
      <c r="M14841" s="274"/>
    </row>
    <row r="14842" spans="13:13" ht="15" customHeight="1" x14ac:dyDescent="0.25">
      <c r="M14842" s="274"/>
    </row>
    <row r="14843" spans="13:13" ht="15" customHeight="1" x14ac:dyDescent="0.25">
      <c r="M14843" s="274"/>
    </row>
    <row r="14844" spans="13:13" ht="15" customHeight="1" x14ac:dyDescent="0.25">
      <c r="M14844" s="274"/>
    </row>
    <row r="14845" spans="13:13" ht="15" customHeight="1" x14ac:dyDescent="0.25">
      <c r="M14845" s="274"/>
    </row>
    <row r="14846" spans="13:13" ht="15" customHeight="1" x14ac:dyDescent="0.25">
      <c r="M14846" s="274"/>
    </row>
    <row r="14847" spans="13:13" ht="15" customHeight="1" x14ac:dyDescent="0.25">
      <c r="M14847" s="274"/>
    </row>
    <row r="14848" spans="13:13" ht="15" customHeight="1" x14ac:dyDescent="0.25">
      <c r="M14848" s="274"/>
    </row>
    <row r="14849" spans="13:13" ht="15" customHeight="1" x14ac:dyDescent="0.25">
      <c r="M14849" s="274"/>
    </row>
    <row r="14850" spans="13:13" ht="15" customHeight="1" x14ac:dyDescent="0.25">
      <c r="M14850" s="274"/>
    </row>
    <row r="14851" spans="13:13" ht="15" customHeight="1" x14ac:dyDescent="0.25">
      <c r="M14851" s="274"/>
    </row>
    <row r="14852" spans="13:13" ht="15" customHeight="1" x14ac:dyDescent="0.25">
      <c r="M14852" s="274"/>
    </row>
    <row r="14853" spans="13:13" ht="15" customHeight="1" x14ac:dyDescent="0.25">
      <c r="M14853" s="274"/>
    </row>
    <row r="14854" spans="13:13" ht="15" customHeight="1" x14ac:dyDescent="0.25">
      <c r="M14854" s="274"/>
    </row>
    <row r="14855" spans="13:13" ht="15" customHeight="1" x14ac:dyDescent="0.25">
      <c r="M14855" s="274"/>
    </row>
    <row r="14856" spans="13:13" ht="15" customHeight="1" x14ac:dyDescent="0.25">
      <c r="M14856" s="274"/>
    </row>
    <row r="14857" spans="13:13" ht="15" customHeight="1" x14ac:dyDescent="0.25">
      <c r="M14857" s="274"/>
    </row>
    <row r="14858" spans="13:13" ht="15" customHeight="1" x14ac:dyDescent="0.25">
      <c r="M14858" s="274"/>
    </row>
    <row r="14859" spans="13:13" ht="15" customHeight="1" x14ac:dyDescent="0.25">
      <c r="M14859" s="274"/>
    </row>
    <row r="14860" spans="13:13" ht="15" customHeight="1" x14ac:dyDescent="0.25">
      <c r="M14860" s="274"/>
    </row>
    <row r="14861" spans="13:13" ht="15" customHeight="1" x14ac:dyDescent="0.25">
      <c r="M14861" s="274"/>
    </row>
    <row r="14862" spans="13:13" ht="15" customHeight="1" x14ac:dyDescent="0.25">
      <c r="M14862" s="274"/>
    </row>
    <row r="14863" spans="13:13" ht="15" customHeight="1" x14ac:dyDescent="0.25">
      <c r="M14863" s="274"/>
    </row>
    <row r="14864" spans="13:13" ht="15" customHeight="1" x14ac:dyDescent="0.25">
      <c r="M14864" s="274"/>
    </row>
    <row r="14865" spans="13:13" ht="15" customHeight="1" x14ac:dyDescent="0.25">
      <c r="M14865" s="274"/>
    </row>
    <row r="14866" spans="13:13" ht="15" customHeight="1" x14ac:dyDescent="0.25">
      <c r="M14866" s="274"/>
    </row>
    <row r="14867" spans="13:13" ht="15" customHeight="1" x14ac:dyDescent="0.25">
      <c r="M14867" s="274"/>
    </row>
    <row r="14868" spans="13:13" ht="15" customHeight="1" x14ac:dyDescent="0.25">
      <c r="M14868" s="274"/>
    </row>
    <row r="14869" spans="13:13" ht="15" customHeight="1" x14ac:dyDescent="0.25">
      <c r="M14869" s="274"/>
    </row>
    <row r="14870" spans="13:13" ht="15" customHeight="1" x14ac:dyDescent="0.25">
      <c r="M14870" s="274"/>
    </row>
    <row r="14871" spans="13:13" ht="15" customHeight="1" x14ac:dyDescent="0.25">
      <c r="M14871" s="274"/>
    </row>
    <row r="14872" spans="13:13" ht="15" customHeight="1" x14ac:dyDescent="0.25">
      <c r="M14872" s="274"/>
    </row>
    <row r="14873" spans="13:13" ht="15" customHeight="1" x14ac:dyDescent="0.25">
      <c r="M14873" s="274"/>
    </row>
    <row r="14874" spans="13:13" ht="15" customHeight="1" x14ac:dyDescent="0.25">
      <c r="M14874" s="274"/>
    </row>
    <row r="14875" spans="13:13" ht="15" customHeight="1" x14ac:dyDescent="0.25">
      <c r="M14875" s="274"/>
    </row>
    <row r="14876" spans="13:13" ht="15" customHeight="1" x14ac:dyDescent="0.25">
      <c r="M14876" s="274"/>
    </row>
    <row r="14877" spans="13:13" ht="15" customHeight="1" x14ac:dyDescent="0.25">
      <c r="M14877" s="274"/>
    </row>
    <row r="14878" spans="13:13" ht="15" customHeight="1" x14ac:dyDescent="0.25">
      <c r="M14878" s="274"/>
    </row>
    <row r="14879" spans="13:13" ht="15" customHeight="1" x14ac:dyDescent="0.25">
      <c r="M14879" s="274"/>
    </row>
    <row r="14880" spans="13:13" ht="15" customHeight="1" x14ac:dyDescent="0.25">
      <c r="M14880" s="274"/>
    </row>
    <row r="14881" spans="13:13" ht="15" customHeight="1" x14ac:dyDescent="0.25">
      <c r="M14881" s="274"/>
    </row>
    <row r="14882" spans="13:13" ht="15" customHeight="1" x14ac:dyDescent="0.25">
      <c r="M14882" s="274"/>
    </row>
    <row r="14883" spans="13:13" ht="15" customHeight="1" x14ac:dyDescent="0.25">
      <c r="M14883" s="274"/>
    </row>
    <row r="14884" spans="13:13" ht="15" customHeight="1" x14ac:dyDescent="0.25">
      <c r="M14884" s="274"/>
    </row>
    <row r="14885" spans="13:13" ht="15" customHeight="1" x14ac:dyDescent="0.25">
      <c r="M14885" s="274"/>
    </row>
    <row r="14886" spans="13:13" ht="15" customHeight="1" x14ac:dyDescent="0.25">
      <c r="M14886" s="274"/>
    </row>
    <row r="14887" spans="13:13" ht="15" customHeight="1" x14ac:dyDescent="0.25">
      <c r="M14887" s="274"/>
    </row>
    <row r="14888" spans="13:13" ht="15" customHeight="1" x14ac:dyDescent="0.25">
      <c r="M14888" s="274"/>
    </row>
    <row r="14889" spans="13:13" ht="15" customHeight="1" x14ac:dyDescent="0.25">
      <c r="M14889" s="274"/>
    </row>
    <row r="14890" spans="13:13" ht="15" customHeight="1" x14ac:dyDescent="0.25">
      <c r="M14890" s="274"/>
    </row>
    <row r="14891" spans="13:13" ht="15" customHeight="1" x14ac:dyDescent="0.25">
      <c r="M14891" s="274"/>
    </row>
    <row r="14892" spans="13:13" ht="15" customHeight="1" x14ac:dyDescent="0.25">
      <c r="M14892" s="274"/>
    </row>
    <row r="14893" spans="13:13" ht="15" customHeight="1" x14ac:dyDescent="0.25">
      <c r="M14893" s="274"/>
    </row>
    <row r="14894" spans="13:13" ht="15" customHeight="1" x14ac:dyDescent="0.25">
      <c r="M14894" s="274"/>
    </row>
    <row r="14895" spans="13:13" ht="15" customHeight="1" x14ac:dyDescent="0.25">
      <c r="M14895" s="274"/>
    </row>
    <row r="14896" spans="13:13" ht="15" customHeight="1" x14ac:dyDescent="0.25">
      <c r="M14896" s="274"/>
    </row>
    <row r="14897" spans="13:13" ht="15" customHeight="1" x14ac:dyDescent="0.25">
      <c r="M14897" s="274"/>
    </row>
    <row r="14898" spans="13:13" ht="15" customHeight="1" x14ac:dyDescent="0.25">
      <c r="M14898" s="274"/>
    </row>
    <row r="14899" spans="13:13" ht="15" customHeight="1" x14ac:dyDescent="0.25">
      <c r="M14899" s="274"/>
    </row>
    <row r="14900" spans="13:13" ht="15" customHeight="1" x14ac:dyDescent="0.25">
      <c r="M14900" s="274"/>
    </row>
    <row r="14901" spans="13:13" ht="15" customHeight="1" x14ac:dyDescent="0.25">
      <c r="M14901" s="274"/>
    </row>
    <row r="14902" spans="13:13" ht="15" customHeight="1" x14ac:dyDescent="0.25">
      <c r="M14902" s="274"/>
    </row>
    <row r="14903" spans="13:13" ht="15" customHeight="1" x14ac:dyDescent="0.25">
      <c r="M14903" s="274"/>
    </row>
    <row r="14904" spans="13:13" ht="15" customHeight="1" x14ac:dyDescent="0.25">
      <c r="M14904" s="274"/>
    </row>
    <row r="14905" spans="13:13" ht="15" customHeight="1" x14ac:dyDescent="0.25">
      <c r="M14905" s="274"/>
    </row>
    <row r="14906" spans="13:13" ht="15" customHeight="1" x14ac:dyDescent="0.25">
      <c r="M14906" s="274"/>
    </row>
    <row r="14907" spans="13:13" ht="15" customHeight="1" x14ac:dyDescent="0.25">
      <c r="M14907" s="274"/>
    </row>
    <row r="14908" spans="13:13" ht="15" customHeight="1" x14ac:dyDescent="0.25">
      <c r="M14908" s="274"/>
    </row>
    <row r="14909" spans="13:13" ht="15" customHeight="1" x14ac:dyDescent="0.25">
      <c r="M14909" s="274"/>
    </row>
    <row r="14910" spans="13:13" ht="15" customHeight="1" x14ac:dyDescent="0.25">
      <c r="M14910" s="274"/>
    </row>
    <row r="14911" spans="13:13" ht="15" customHeight="1" x14ac:dyDescent="0.25">
      <c r="M14911" s="274"/>
    </row>
    <row r="14912" spans="13:13" ht="15" customHeight="1" x14ac:dyDescent="0.25">
      <c r="M14912" s="274"/>
    </row>
    <row r="14913" spans="13:13" ht="15" customHeight="1" x14ac:dyDescent="0.25">
      <c r="M14913" s="274"/>
    </row>
    <row r="14914" spans="13:13" ht="15" customHeight="1" x14ac:dyDescent="0.25">
      <c r="M14914" s="274"/>
    </row>
    <row r="14915" spans="13:13" ht="15" customHeight="1" x14ac:dyDescent="0.25">
      <c r="M14915" s="274"/>
    </row>
    <row r="14916" spans="13:13" ht="15" customHeight="1" x14ac:dyDescent="0.25">
      <c r="M14916" s="274"/>
    </row>
    <row r="14917" spans="13:13" ht="15" customHeight="1" x14ac:dyDescent="0.25">
      <c r="M14917" s="274"/>
    </row>
    <row r="14918" spans="13:13" ht="15" customHeight="1" x14ac:dyDescent="0.25">
      <c r="M14918" s="274"/>
    </row>
    <row r="14919" spans="13:13" ht="15" customHeight="1" x14ac:dyDescent="0.25">
      <c r="M14919" s="274"/>
    </row>
    <row r="14920" spans="13:13" ht="15" customHeight="1" x14ac:dyDescent="0.25">
      <c r="M14920" s="274"/>
    </row>
    <row r="14921" spans="13:13" ht="15" customHeight="1" x14ac:dyDescent="0.25">
      <c r="M14921" s="274"/>
    </row>
    <row r="14922" spans="13:13" ht="15" customHeight="1" x14ac:dyDescent="0.25">
      <c r="M14922" s="274"/>
    </row>
    <row r="14923" spans="13:13" ht="15" customHeight="1" x14ac:dyDescent="0.25">
      <c r="M14923" s="274"/>
    </row>
    <row r="14924" spans="13:13" ht="15" customHeight="1" x14ac:dyDescent="0.25">
      <c r="M14924" s="274"/>
    </row>
    <row r="14925" spans="13:13" ht="15" customHeight="1" x14ac:dyDescent="0.25">
      <c r="M14925" s="274"/>
    </row>
    <row r="14926" spans="13:13" ht="15" customHeight="1" x14ac:dyDescent="0.25">
      <c r="M14926" s="274"/>
    </row>
    <row r="14927" spans="13:13" ht="15" customHeight="1" x14ac:dyDescent="0.25">
      <c r="M14927" s="274"/>
    </row>
    <row r="14928" spans="13:13" ht="15" customHeight="1" x14ac:dyDescent="0.25">
      <c r="M14928" s="274"/>
    </row>
    <row r="14929" spans="13:13" ht="15" customHeight="1" x14ac:dyDescent="0.25">
      <c r="M14929" s="274"/>
    </row>
    <row r="14930" spans="13:13" ht="15" customHeight="1" x14ac:dyDescent="0.25">
      <c r="M14930" s="274"/>
    </row>
    <row r="14931" spans="13:13" ht="15" customHeight="1" x14ac:dyDescent="0.25">
      <c r="M14931" s="274"/>
    </row>
    <row r="14932" spans="13:13" ht="15" customHeight="1" x14ac:dyDescent="0.25">
      <c r="M14932" s="274"/>
    </row>
    <row r="14933" spans="13:13" ht="15" customHeight="1" x14ac:dyDescent="0.25">
      <c r="M14933" s="274"/>
    </row>
    <row r="14934" spans="13:13" ht="15" customHeight="1" x14ac:dyDescent="0.25">
      <c r="M14934" s="274"/>
    </row>
    <row r="14935" spans="13:13" ht="15" customHeight="1" x14ac:dyDescent="0.25">
      <c r="M14935" s="274"/>
    </row>
    <row r="14936" spans="13:13" ht="15" customHeight="1" x14ac:dyDescent="0.25">
      <c r="M14936" s="274"/>
    </row>
    <row r="14937" spans="13:13" ht="15" customHeight="1" x14ac:dyDescent="0.25">
      <c r="M14937" s="274"/>
    </row>
    <row r="14938" spans="13:13" ht="15" customHeight="1" x14ac:dyDescent="0.25">
      <c r="M14938" s="274"/>
    </row>
    <row r="14939" spans="13:13" ht="15" customHeight="1" x14ac:dyDescent="0.25">
      <c r="M14939" s="274"/>
    </row>
    <row r="14940" spans="13:13" ht="15" customHeight="1" x14ac:dyDescent="0.25">
      <c r="M14940" s="274"/>
    </row>
    <row r="14941" spans="13:13" ht="15" customHeight="1" x14ac:dyDescent="0.25">
      <c r="M14941" s="274"/>
    </row>
    <row r="14942" spans="13:13" ht="15" customHeight="1" x14ac:dyDescent="0.25">
      <c r="M14942" s="274"/>
    </row>
    <row r="14943" spans="13:13" ht="15" customHeight="1" x14ac:dyDescent="0.25">
      <c r="M14943" s="274"/>
    </row>
    <row r="14944" spans="13:13" ht="15" customHeight="1" x14ac:dyDescent="0.25">
      <c r="M14944" s="274"/>
    </row>
    <row r="14945" spans="13:13" ht="15" customHeight="1" x14ac:dyDescent="0.25">
      <c r="M14945" s="274"/>
    </row>
    <row r="14946" spans="13:13" ht="15" customHeight="1" x14ac:dyDescent="0.25">
      <c r="M14946" s="274"/>
    </row>
    <row r="14947" spans="13:13" ht="15" customHeight="1" x14ac:dyDescent="0.25">
      <c r="M14947" s="274"/>
    </row>
    <row r="14948" spans="13:13" ht="15" customHeight="1" x14ac:dyDescent="0.25">
      <c r="M14948" s="274"/>
    </row>
    <row r="14949" spans="13:13" ht="15" customHeight="1" x14ac:dyDescent="0.25">
      <c r="M14949" s="274"/>
    </row>
    <row r="14950" spans="13:13" ht="15" customHeight="1" x14ac:dyDescent="0.25">
      <c r="M14950" s="274"/>
    </row>
    <row r="14951" spans="13:13" ht="15" customHeight="1" x14ac:dyDescent="0.25">
      <c r="M14951" s="274"/>
    </row>
    <row r="14952" spans="13:13" ht="15" customHeight="1" x14ac:dyDescent="0.25">
      <c r="M14952" s="274"/>
    </row>
    <row r="14953" spans="13:13" ht="15" customHeight="1" x14ac:dyDescent="0.25">
      <c r="M14953" s="274"/>
    </row>
    <row r="14954" spans="13:13" ht="15" customHeight="1" x14ac:dyDescent="0.25">
      <c r="M14954" s="274"/>
    </row>
    <row r="14955" spans="13:13" ht="15" customHeight="1" x14ac:dyDescent="0.25">
      <c r="M14955" s="274"/>
    </row>
    <row r="14956" spans="13:13" ht="15" customHeight="1" x14ac:dyDescent="0.25">
      <c r="M14956" s="274"/>
    </row>
    <row r="14957" spans="13:13" ht="15" customHeight="1" x14ac:dyDescent="0.25">
      <c r="M14957" s="274"/>
    </row>
    <row r="14958" spans="13:13" ht="15" customHeight="1" x14ac:dyDescent="0.25">
      <c r="M14958" s="274"/>
    </row>
    <row r="14959" spans="13:13" ht="15" customHeight="1" x14ac:dyDescent="0.25">
      <c r="M14959" s="274"/>
    </row>
    <row r="14960" spans="13:13" ht="15" customHeight="1" x14ac:dyDescent="0.25">
      <c r="M14960" s="274"/>
    </row>
    <row r="14961" spans="13:13" ht="15" customHeight="1" x14ac:dyDescent="0.25">
      <c r="M14961" s="274"/>
    </row>
    <row r="14962" spans="13:13" ht="15" customHeight="1" x14ac:dyDescent="0.25">
      <c r="M14962" s="274"/>
    </row>
    <row r="14963" spans="13:13" ht="15" customHeight="1" x14ac:dyDescent="0.25">
      <c r="M14963" s="274"/>
    </row>
    <row r="14964" spans="13:13" ht="15" customHeight="1" x14ac:dyDescent="0.25">
      <c r="M14964" s="274"/>
    </row>
    <row r="14965" spans="13:13" ht="15" customHeight="1" x14ac:dyDescent="0.25">
      <c r="M14965" s="274"/>
    </row>
    <row r="14966" spans="13:13" ht="15" customHeight="1" x14ac:dyDescent="0.25">
      <c r="M14966" s="274"/>
    </row>
    <row r="14967" spans="13:13" ht="15" customHeight="1" x14ac:dyDescent="0.25">
      <c r="M14967" s="274"/>
    </row>
    <row r="14968" spans="13:13" ht="15" customHeight="1" x14ac:dyDescent="0.25">
      <c r="M14968" s="274"/>
    </row>
    <row r="14969" spans="13:13" ht="15" customHeight="1" x14ac:dyDescent="0.25">
      <c r="M14969" s="274"/>
    </row>
    <row r="14970" spans="13:13" ht="15" customHeight="1" x14ac:dyDescent="0.25">
      <c r="M14970" s="274"/>
    </row>
    <row r="14971" spans="13:13" ht="15" customHeight="1" x14ac:dyDescent="0.25">
      <c r="M14971" s="274"/>
    </row>
    <row r="14972" spans="13:13" ht="15" customHeight="1" x14ac:dyDescent="0.25">
      <c r="M14972" s="274"/>
    </row>
    <row r="14973" spans="13:13" ht="15" customHeight="1" x14ac:dyDescent="0.25">
      <c r="M14973" s="274"/>
    </row>
    <row r="14974" spans="13:13" ht="15" customHeight="1" x14ac:dyDescent="0.25">
      <c r="M14974" s="274"/>
    </row>
    <row r="14975" spans="13:13" ht="15" customHeight="1" x14ac:dyDescent="0.25">
      <c r="M14975" s="274"/>
    </row>
    <row r="14976" spans="13:13" ht="15" customHeight="1" x14ac:dyDescent="0.25">
      <c r="M14976" s="274"/>
    </row>
    <row r="14977" spans="13:13" ht="15" customHeight="1" x14ac:dyDescent="0.25">
      <c r="M14977" s="274"/>
    </row>
    <row r="14978" spans="13:13" ht="15" customHeight="1" x14ac:dyDescent="0.25">
      <c r="M14978" s="274"/>
    </row>
    <row r="14979" spans="13:13" ht="15" customHeight="1" x14ac:dyDescent="0.25">
      <c r="M14979" s="274"/>
    </row>
    <row r="14980" spans="13:13" ht="15" customHeight="1" x14ac:dyDescent="0.25">
      <c r="M14980" s="274"/>
    </row>
    <row r="14981" spans="13:13" ht="15" customHeight="1" x14ac:dyDescent="0.25">
      <c r="M14981" s="274"/>
    </row>
    <row r="14982" spans="13:13" ht="15" customHeight="1" x14ac:dyDescent="0.25">
      <c r="M14982" s="274"/>
    </row>
    <row r="14983" spans="13:13" ht="15" customHeight="1" x14ac:dyDescent="0.25">
      <c r="M14983" s="274"/>
    </row>
    <row r="14984" spans="13:13" ht="15" customHeight="1" x14ac:dyDescent="0.25">
      <c r="M14984" s="274"/>
    </row>
    <row r="14985" spans="13:13" ht="15" customHeight="1" x14ac:dyDescent="0.25">
      <c r="M14985" s="274"/>
    </row>
    <row r="14986" spans="13:13" ht="15" customHeight="1" x14ac:dyDescent="0.25">
      <c r="M14986" s="274"/>
    </row>
    <row r="14987" spans="13:13" ht="15" customHeight="1" x14ac:dyDescent="0.25">
      <c r="M14987" s="274"/>
    </row>
    <row r="14988" spans="13:13" ht="15" customHeight="1" x14ac:dyDescent="0.25">
      <c r="M14988" s="274"/>
    </row>
    <row r="14989" spans="13:13" ht="15" customHeight="1" x14ac:dyDescent="0.25">
      <c r="M14989" s="274"/>
    </row>
    <row r="14990" spans="13:13" ht="15" customHeight="1" x14ac:dyDescent="0.25">
      <c r="M14990" s="274"/>
    </row>
    <row r="14991" spans="13:13" ht="15" customHeight="1" x14ac:dyDescent="0.25">
      <c r="M14991" s="274"/>
    </row>
    <row r="14992" spans="13:13" ht="15" customHeight="1" x14ac:dyDescent="0.25">
      <c r="M14992" s="274"/>
    </row>
    <row r="14993" spans="13:13" ht="15" customHeight="1" x14ac:dyDescent="0.25">
      <c r="M14993" s="274"/>
    </row>
    <row r="14994" spans="13:13" ht="15" customHeight="1" x14ac:dyDescent="0.25">
      <c r="M14994" s="274"/>
    </row>
    <row r="14995" spans="13:13" ht="15" customHeight="1" x14ac:dyDescent="0.25">
      <c r="M14995" s="274"/>
    </row>
    <row r="14996" spans="13:13" ht="15" customHeight="1" x14ac:dyDescent="0.25">
      <c r="M14996" s="274"/>
    </row>
    <row r="14997" spans="13:13" ht="15" customHeight="1" x14ac:dyDescent="0.25">
      <c r="M14997" s="274"/>
    </row>
    <row r="14998" spans="13:13" ht="15" customHeight="1" x14ac:dyDescent="0.25">
      <c r="M14998" s="274"/>
    </row>
    <row r="14999" spans="13:13" ht="15" customHeight="1" x14ac:dyDescent="0.25">
      <c r="M14999" s="274"/>
    </row>
    <row r="15000" spans="13:13" ht="15" customHeight="1" x14ac:dyDescent="0.25">
      <c r="M15000" s="274"/>
    </row>
    <row r="15001" spans="13:13" ht="15" customHeight="1" x14ac:dyDescent="0.25">
      <c r="M15001" s="274"/>
    </row>
    <row r="15002" spans="13:13" ht="15" customHeight="1" x14ac:dyDescent="0.25">
      <c r="M15002" s="274"/>
    </row>
    <row r="15003" spans="13:13" ht="15" customHeight="1" x14ac:dyDescent="0.25">
      <c r="M15003" s="274"/>
    </row>
    <row r="15004" spans="13:13" ht="15" customHeight="1" x14ac:dyDescent="0.25">
      <c r="M15004" s="274"/>
    </row>
    <row r="15005" spans="13:13" ht="15" customHeight="1" x14ac:dyDescent="0.25">
      <c r="M15005" s="274"/>
    </row>
    <row r="15006" spans="13:13" ht="15" customHeight="1" x14ac:dyDescent="0.25">
      <c r="M15006" s="274"/>
    </row>
    <row r="15007" spans="13:13" ht="15" customHeight="1" x14ac:dyDescent="0.25">
      <c r="M15007" s="274"/>
    </row>
    <row r="15008" spans="13:13" ht="15" customHeight="1" x14ac:dyDescent="0.25">
      <c r="M15008" s="274"/>
    </row>
    <row r="15009" spans="13:13" ht="15" customHeight="1" x14ac:dyDescent="0.25">
      <c r="M15009" s="274"/>
    </row>
    <row r="15010" spans="13:13" ht="15" customHeight="1" x14ac:dyDescent="0.25">
      <c r="M15010" s="274"/>
    </row>
    <row r="15011" spans="13:13" ht="15" customHeight="1" x14ac:dyDescent="0.25">
      <c r="M15011" s="274"/>
    </row>
    <row r="15012" spans="13:13" ht="15" customHeight="1" x14ac:dyDescent="0.25">
      <c r="M15012" s="274"/>
    </row>
    <row r="15013" spans="13:13" ht="15" customHeight="1" x14ac:dyDescent="0.25">
      <c r="M15013" s="274"/>
    </row>
    <row r="15014" spans="13:13" ht="15" customHeight="1" x14ac:dyDescent="0.25">
      <c r="M15014" s="274"/>
    </row>
    <row r="15015" spans="13:13" ht="15" customHeight="1" x14ac:dyDescent="0.25">
      <c r="M15015" s="274"/>
    </row>
    <row r="15016" spans="13:13" ht="15" customHeight="1" x14ac:dyDescent="0.25">
      <c r="M15016" s="274"/>
    </row>
    <row r="15017" spans="13:13" ht="15" customHeight="1" x14ac:dyDescent="0.25">
      <c r="M15017" s="274"/>
    </row>
    <row r="15018" spans="13:13" ht="15" customHeight="1" x14ac:dyDescent="0.25">
      <c r="M15018" s="274"/>
    </row>
    <row r="15019" spans="13:13" ht="15" customHeight="1" x14ac:dyDescent="0.25">
      <c r="M15019" s="274"/>
    </row>
    <row r="15020" spans="13:13" ht="15" customHeight="1" x14ac:dyDescent="0.25">
      <c r="M15020" s="274"/>
    </row>
    <row r="15021" spans="13:13" ht="15" customHeight="1" x14ac:dyDescent="0.25">
      <c r="M15021" s="274"/>
    </row>
    <row r="15022" spans="13:13" ht="15" customHeight="1" x14ac:dyDescent="0.25">
      <c r="M15022" s="274"/>
    </row>
    <row r="15023" spans="13:13" ht="15" customHeight="1" x14ac:dyDescent="0.25">
      <c r="M15023" s="274"/>
    </row>
    <row r="15024" spans="13:13" ht="15" customHeight="1" x14ac:dyDescent="0.25">
      <c r="M15024" s="274"/>
    </row>
    <row r="15025" spans="13:13" ht="15" customHeight="1" x14ac:dyDescent="0.25">
      <c r="M15025" s="274"/>
    </row>
    <row r="15026" spans="13:13" ht="15" customHeight="1" x14ac:dyDescent="0.25">
      <c r="M15026" s="274"/>
    </row>
    <row r="15027" spans="13:13" ht="15" customHeight="1" x14ac:dyDescent="0.25">
      <c r="M15027" s="274"/>
    </row>
    <row r="15028" spans="13:13" ht="15" customHeight="1" x14ac:dyDescent="0.25">
      <c r="M15028" s="274"/>
    </row>
    <row r="15029" spans="13:13" ht="15" customHeight="1" x14ac:dyDescent="0.25">
      <c r="M15029" s="274"/>
    </row>
    <row r="15030" spans="13:13" ht="15" customHeight="1" x14ac:dyDescent="0.25">
      <c r="M15030" s="274"/>
    </row>
    <row r="15031" spans="13:13" ht="15" customHeight="1" x14ac:dyDescent="0.25">
      <c r="M15031" s="274"/>
    </row>
    <row r="15032" spans="13:13" ht="15" customHeight="1" x14ac:dyDescent="0.25">
      <c r="M15032" s="274"/>
    </row>
    <row r="15033" spans="13:13" ht="15" customHeight="1" x14ac:dyDescent="0.25">
      <c r="M15033" s="274"/>
    </row>
    <row r="15034" spans="13:13" ht="15" customHeight="1" x14ac:dyDescent="0.25">
      <c r="M15034" s="274"/>
    </row>
    <row r="15035" spans="13:13" ht="15" customHeight="1" x14ac:dyDescent="0.25">
      <c r="M15035" s="274"/>
    </row>
    <row r="15036" spans="13:13" ht="15" customHeight="1" x14ac:dyDescent="0.25">
      <c r="M15036" s="274"/>
    </row>
    <row r="15037" spans="13:13" ht="15" customHeight="1" x14ac:dyDescent="0.25">
      <c r="M15037" s="274"/>
    </row>
    <row r="15038" spans="13:13" ht="15" customHeight="1" x14ac:dyDescent="0.25">
      <c r="M15038" s="274"/>
    </row>
    <row r="15039" spans="13:13" ht="15" customHeight="1" x14ac:dyDescent="0.25">
      <c r="M15039" s="274"/>
    </row>
    <row r="15040" spans="13:13" ht="15" customHeight="1" x14ac:dyDescent="0.25">
      <c r="M15040" s="274"/>
    </row>
    <row r="15041" spans="13:13" ht="15" customHeight="1" x14ac:dyDescent="0.25">
      <c r="M15041" s="274"/>
    </row>
    <row r="15042" spans="13:13" ht="15" customHeight="1" x14ac:dyDescent="0.25">
      <c r="M15042" s="274"/>
    </row>
    <row r="15043" spans="13:13" ht="15" customHeight="1" x14ac:dyDescent="0.25">
      <c r="M15043" s="274"/>
    </row>
    <row r="15044" spans="13:13" ht="15" customHeight="1" x14ac:dyDescent="0.25">
      <c r="M15044" s="274"/>
    </row>
    <row r="15045" spans="13:13" ht="15" customHeight="1" x14ac:dyDescent="0.25">
      <c r="M15045" s="274"/>
    </row>
    <row r="15046" spans="13:13" ht="15" customHeight="1" x14ac:dyDescent="0.25">
      <c r="M15046" s="274"/>
    </row>
    <row r="15047" spans="13:13" ht="15" customHeight="1" x14ac:dyDescent="0.25">
      <c r="M15047" s="274"/>
    </row>
    <row r="15048" spans="13:13" ht="15" customHeight="1" x14ac:dyDescent="0.25">
      <c r="M15048" s="274"/>
    </row>
    <row r="15049" spans="13:13" ht="15" customHeight="1" x14ac:dyDescent="0.25">
      <c r="M15049" s="274"/>
    </row>
    <row r="15050" spans="13:13" ht="15" customHeight="1" x14ac:dyDescent="0.25">
      <c r="M15050" s="274"/>
    </row>
    <row r="15051" spans="13:13" ht="15" customHeight="1" x14ac:dyDescent="0.25">
      <c r="M15051" s="274"/>
    </row>
    <row r="15052" spans="13:13" ht="15" customHeight="1" x14ac:dyDescent="0.25">
      <c r="M15052" s="274"/>
    </row>
    <row r="15053" spans="13:13" ht="15" customHeight="1" x14ac:dyDescent="0.25">
      <c r="M15053" s="274"/>
    </row>
    <row r="15054" spans="13:13" ht="15" customHeight="1" x14ac:dyDescent="0.25">
      <c r="M15054" s="274"/>
    </row>
    <row r="15055" spans="13:13" ht="15" customHeight="1" x14ac:dyDescent="0.25">
      <c r="M15055" s="274"/>
    </row>
    <row r="15056" spans="13:13" ht="15" customHeight="1" x14ac:dyDescent="0.25">
      <c r="M15056" s="274"/>
    </row>
    <row r="15057" spans="13:13" ht="15" customHeight="1" x14ac:dyDescent="0.25">
      <c r="M15057" s="274"/>
    </row>
    <row r="15058" spans="13:13" ht="15" customHeight="1" x14ac:dyDescent="0.25">
      <c r="M15058" s="274"/>
    </row>
    <row r="15059" spans="13:13" ht="15" customHeight="1" x14ac:dyDescent="0.25">
      <c r="M15059" s="274"/>
    </row>
    <row r="15060" spans="13:13" ht="15" customHeight="1" x14ac:dyDescent="0.25">
      <c r="M15060" s="274"/>
    </row>
    <row r="15061" spans="13:13" ht="15" customHeight="1" x14ac:dyDescent="0.25">
      <c r="M15061" s="274"/>
    </row>
    <row r="15062" spans="13:13" ht="15" customHeight="1" x14ac:dyDescent="0.25">
      <c r="M15062" s="274"/>
    </row>
    <row r="15063" spans="13:13" ht="15" customHeight="1" x14ac:dyDescent="0.25">
      <c r="M15063" s="274"/>
    </row>
    <row r="15064" spans="13:13" ht="15" customHeight="1" x14ac:dyDescent="0.25">
      <c r="M15064" s="274"/>
    </row>
    <row r="15065" spans="13:13" ht="15" customHeight="1" x14ac:dyDescent="0.25">
      <c r="M15065" s="274"/>
    </row>
    <row r="15066" spans="13:13" ht="15" customHeight="1" x14ac:dyDescent="0.25">
      <c r="M15066" s="274"/>
    </row>
    <row r="15067" spans="13:13" ht="15" customHeight="1" x14ac:dyDescent="0.25">
      <c r="M15067" s="274"/>
    </row>
    <row r="15068" spans="13:13" ht="15" customHeight="1" x14ac:dyDescent="0.25">
      <c r="M15068" s="274"/>
    </row>
    <row r="15069" spans="13:13" ht="15" customHeight="1" x14ac:dyDescent="0.25">
      <c r="M15069" s="274"/>
    </row>
    <row r="15070" spans="13:13" ht="15" customHeight="1" x14ac:dyDescent="0.25">
      <c r="M15070" s="274"/>
    </row>
    <row r="15071" spans="13:13" ht="15" customHeight="1" x14ac:dyDescent="0.25">
      <c r="M15071" s="274"/>
    </row>
    <row r="15072" spans="13:13" ht="15" customHeight="1" x14ac:dyDescent="0.25">
      <c r="M15072" s="274"/>
    </row>
    <row r="15073" spans="13:13" ht="15" customHeight="1" x14ac:dyDescent="0.25">
      <c r="M15073" s="274"/>
    </row>
    <row r="15074" spans="13:13" ht="15" customHeight="1" x14ac:dyDescent="0.25">
      <c r="M15074" s="274"/>
    </row>
    <row r="15075" spans="13:13" ht="15" customHeight="1" x14ac:dyDescent="0.25">
      <c r="M15075" s="274"/>
    </row>
    <row r="15076" spans="13:13" ht="15" customHeight="1" x14ac:dyDescent="0.25">
      <c r="M15076" s="274"/>
    </row>
    <row r="15077" spans="13:13" ht="15" customHeight="1" x14ac:dyDescent="0.25">
      <c r="M15077" s="274"/>
    </row>
    <row r="15078" spans="13:13" ht="15" customHeight="1" x14ac:dyDescent="0.25">
      <c r="M15078" s="274"/>
    </row>
    <row r="15079" spans="13:13" ht="15" customHeight="1" x14ac:dyDescent="0.25">
      <c r="M15079" s="274"/>
    </row>
    <row r="15080" spans="13:13" ht="15" customHeight="1" x14ac:dyDescent="0.25">
      <c r="M15080" s="274"/>
    </row>
    <row r="15081" spans="13:13" ht="15" customHeight="1" x14ac:dyDescent="0.25">
      <c r="M15081" s="274"/>
    </row>
    <row r="15082" spans="13:13" ht="15" customHeight="1" x14ac:dyDescent="0.25">
      <c r="M15082" s="274"/>
    </row>
    <row r="15083" spans="13:13" ht="15" customHeight="1" x14ac:dyDescent="0.25">
      <c r="M15083" s="274"/>
    </row>
    <row r="15084" spans="13:13" ht="15" customHeight="1" x14ac:dyDescent="0.25">
      <c r="M15084" s="274"/>
    </row>
    <row r="15085" spans="13:13" ht="15" customHeight="1" x14ac:dyDescent="0.25">
      <c r="M15085" s="274"/>
    </row>
    <row r="15086" spans="13:13" ht="15" customHeight="1" x14ac:dyDescent="0.25">
      <c r="M15086" s="274"/>
    </row>
    <row r="15087" spans="13:13" ht="15" customHeight="1" x14ac:dyDescent="0.25">
      <c r="M15087" s="274"/>
    </row>
    <row r="15088" spans="13:13" ht="15" customHeight="1" x14ac:dyDescent="0.25">
      <c r="M15088" s="274"/>
    </row>
    <row r="15089" spans="13:13" ht="15" customHeight="1" x14ac:dyDescent="0.25">
      <c r="M15089" s="274"/>
    </row>
    <row r="15090" spans="13:13" ht="15" customHeight="1" x14ac:dyDescent="0.25">
      <c r="M15090" s="274"/>
    </row>
    <row r="15091" spans="13:13" ht="15" customHeight="1" x14ac:dyDescent="0.25">
      <c r="M15091" s="274"/>
    </row>
    <row r="15092" spans="13:13" ht="15" customHeight="1" x14ac:dyDescent="0.25">
      <c r="M15092" s="274"/>
    </row>
    <row r="15093" spans="13:13" ht="15" customHeight="1" x14ac:dyDescent="0.25">
      <c r="M15093" s="274"/>
    </row>
    <row r="15094" spans="13:13" ht="15" customHeight="1" x14ac:dyDescent="0.25">
      <c r="M15094" s="274"/>
    </row>
    <row r="15095" spans="13:13" ht="15" customHeight="1" x14ac:dyDescent="0.25">
      <c r="M15095" s="274"/>
    </row>
    <row r="15096" spans="13:13" ht="15" customHeight="1" x14ac:dyDescent="0.25">
      <c r="M15096" s="274"/>
    </row>
    <row r="15097" spans="13:13" ht="15" customHeight="1" x14ac:dyDescent="0.25">
      <c r="M15097" s="274"/>
    </row>
    <row r="15098" spans="13:13" ht="15" customHeight="1" x14ac:dyDescent="0.25">
      <c r="M15098" s="274"/>
    </row>
    <row r="15099" spans="13:13" ht="15" customHeight="1" x14ac:dyDescent="0.25">
      <c r="M15099" s="274"/>
    </row>
    <row r="15100" spans="13:13" ht="15" customHeight="1" x14ac:dyDescent="0.25">
      <c r="M15100" s="274"/>
    </row>
    <row r="15101" spans="13:13" ht="15" customHeight="1" x14ac:dyDescent="0.25">
      <c r="M15101" s="274"/>
    </row>
    <row r="15102" spans="13:13" ht="15" customHeight="1" x14ac:dyDescent="0.25">
      <c r="M15102" s="274"/>
    </row>
    <row r="15103" spans="13:13" ht="15" customHeight="1" x14ac:dyDescent="0.25">
      <c r="M15103" s="274"/>
    </row>
    <row r="15104" spans="13:13" ht="15" customHeight="1" x14ac:dyDescent="0.25">
      <c r="M15104" s="274"/>
    </row>
    <row r="15105" spans="13:13" ht="15" customHeight="1" x14ac:dyDescent="0.25">
      <c r="M15105" s="274"/>
    </row>
    <row r="15106" spans="13:13" ht="15" customHeight="1" x14ac:dyDescent="0.25">
      <c r="M15106" s="274"/>
    </row>
    <row r="15107" spans="13:13" ht="15" customHeight="1" x14ac:dyDescent="0.25">
      <c r="M15107" s="274"/>
    </row>
    <row r="15108" spans="13:13" ht="15" customHeight="1" x14ac:dyDescent="0.25">
      <c r="M15108" s="274"/>
    </row>
    <row r="15109" spans="13:13" ht="15" customHeight="1" x14ac:dyDescent="0.25">
      <c r="M15109" s="274"/>
    </row>
    <row r="15110" spans="13:13" ht="15" customHeight="1" x14ac:dyDescent="0.25">
      <c r="M15110" s="274"/>
    </row>
    <row r="15111" spans="13:13" ht="15" customHeight="1" x14ac:dyDescent="0.25">
      <c r="M15111" s="274"/>
    </row>
    <row r="15112" spans="13:13" ht="15" customHeight="1" x14ac:dyDescent="0.25">
      <c r="M15112" s="274"/>
    </row>
    <row r="15113" spans="13:13" ht="15" customHeight="1" x14ac:dyDescent="0.25">
      <c r="M15113" s="274"/>
    </row>
    <row r="15114" spans="13:13" ht="15" customHeight="1" x14ac:dyDescent="0.25">
      <c r="M15114" s="274"/>
    </row>
    <row r="15115" spans="13:13" ht="15" customHeight="1" x14ac:dyDescent="0.25">
      <c r="M15115" s="274"/>
    </row>
    <row r="15116" spans="13:13" ht="15" customHeight="1" x14ac:dyDescent="0.25">
      <c r="M15116" s="274"/>
    </row>
    <row r="15117" spans="13:13" ht="15" customHeight="1" x14ac:dyDescent="0.25">
      <c r="M15117" s="274"/>
    </row>
    <row r="15118" spans="13:13" ht="15" customHeight="1" x14ac:dyDescent="0.25">
      <c r="M15118" s="274"/>
    </row>
    <row r="15119" spans="13:13" ht="15" customHeight="1" x14ac:dyDescent="0.25">
      <c r="M15119" s="274"/>
    </row>
    <row r="15120" spans="13:13" ht="15" customHeight="1" x14ac:dyDescent="0.25">
      <c r="M15120" s="274"/>
    </row>
    <row r="15121" spans="13:13" ht="15" customHeight="1" x14ac:dyDescent="0.25">
      <c r="M15121" s="274"/>
    </row>
    <row r="15122" spans="13:13" ht="15" customHeight="1" x14ac:dyDescent="0.25">
      <c r="M15122" s="274"/>
    </row>
    <row r="15123" spans="13:13" ht="15" customHeight="1" x14ac:dyDescent="0.25">
      <c r="M15123" s="274"/>
    </row>
    <row r="15124" spans="13:13" ht="15" customHeight="1" x14ac:dyDescent="0.25">
      <c r="M15124" s="274"/>
    </row>
    <row r="15125" spans="13:13" ht="15" customHeight="1" x14ac:dyDescent="0.25">
      <c r="M15125" s="274"/>
    </row>
    <row r="15126" spans="13:13" ht="15" customHeight="1" x14ac:dyDescent="0.25">
      <c r="M15126" s="274"/>
    </row>
    <row r="15127" spans="13:13" ht="15" customHeight="1" x14ac:dyDescent="0.25">
      <c r="M15127" s="274"/>
    </row>
    <row r="15128" spans="13:13" ht="15" customHeight="1" x14ac:dyDescent="0.25">
      <c r="M15128" s="274"/>
    </row>
    <row r="15129" spans="13:13" ht="15" customHeight="1" x14ac:dyDescent="0.25">
      <c r="M15129" s="274"/>
    </row>
    <row r="15130" spans="13:13" ht="15" customHeight="1" x14ac:dyDescent="0.25">
      <c r="M15130" s="274"/>
    </row>
    <row r="15131" spans="13:13" ht="15" customHeight="1" x14ac:dyDescent="0.25">
      <c r="M15131" s="274"/>
    </row>
    <row r="15132" spans="13:13" ht="15" customHeight="1" x14ac:dyDescent="0.25">
      <c r="M15132" s="274"/>
    </row>
    <row r="15133" spans="13:13" ht="15" customHeight="1" x14ac:dyDescent="0.25">
      <c r="M15133" s="274"/>
    </row>
    <row r="15134" spans="13:13" ht="15" customHeight="1" x14ac:dyDescent="0.25">
      <c r="M15134" s="274"/>
    </row>
    <row r="15135" spans="13:13" ht="15" customHeight="1" x14ac:dyDescent="0.25">
      <c r="M15135" s="274"/>
    </row>
    <row r="15136" spans="13:13" ht="15" customHeight="1" x14ac:dyDescent="0.25">
      <c r="M15136" s="274"/>
    </row>
    <row r="15137" spans="13:13" ht="15" customHeight="1" x14ac:dyDescent="0.25">
      <c r="M15137" s="274"/>
    </row>
    <row r="15138" spans="13:13" ht="15" customHeight="1" x14ac:dyDescent="0.25">
      <c r="M15138" s="274"/>
    </row>
    <row r="15139" spans="13:13" ht="15" customHeight="1" x14ac:dyDescent="0.25">
      <c r="M15139" s="274"/>
    </row>
    <row r="15140" spans="13:13" ht="15" customHeight="1" x14ac:dyDescent="0.25">
      <c r="M15140" s="274"/>
    </row>
    <row r="15141" spans="13:13" ht="15" customHeight="1" x14ac:dyDescent="0.25">
      <c r="M15141" s="274"/>
    </row>
    <row r="15142" spans="13:13" ht="15" customHeight="1" x14ac:dyDescent="0.25">
      <c r="M15142" s="274"/>
    </row>
    <row r="15143" spans="13:13" ht="15" customHeight="1" x14ac:dyDescent="0.25">
      <c r="M15143" s="274"/>
    </row>
    <row r="15144" spans="13:13" ht="15" customHeight="1" x14ac:dyDescent="0.25">
      <c r="M15144" s="274"/>
    </row>
    <row r="15145" spans="13:13" ht="15" customHeight="1" x14ac:dyDescent="0.25">
      <c r="M15145" s="274"/>
    </row>
    <row r="15146" spans="13:13" ht="15" customHeight="1" x14ac:dyDescent="0.25">
      <c r="M15146" s="274"/>
    </row>
    <row r="15147" spans="13:13" ht="15" customHeight="1" x14ac:dyDescent="0.25">
      <c r="M15147" s="274"/>
    </row>
    <row r="15148" spans="13:13" ht="15" customHeight="1" x14ac:dyDescent="0.25">
      <c r="M15148" s="274"/>
    </row>
    <row r="15149" spans="13:13" ht="15" customHeight="1" x14ac:dyDescent="0.25">
      <c r="M15149" s="274"/>
    </row>
    <row r="15150" spans="13:13" ht="15" customHeight="1" x14ac:dyDescent="0.25">
      <c r="M15150" s="274"/>
    </row>
    <row r="15151" spans="13:13" ht="15" customHeight="1" x14ac:dyDescent="0.25">
      <c r="M15151" s="274"/>
    </row>
    <row r="15152" spans="13:13" ht="15" customHeight="1" x14ac:dyDescent="0.25">
      <c r="M15152" s="274"/>
    </row>
    <row r="15153" spans="13:13" ht="15" customHeight="1" x14ac:dyDescent="0.25">
      <c r="M15153" s="274"/>
    </row>
    <row r="15154" spans="13:13" ht="15" customHeight="1" x14ac:dyDescent="0.25">
      <c r="M15154" s="274"/>
    </row>
    <row r="15155" spans="13:13" ht="15" customHeight="1" x14ac:dyDescent="0.25">
      <c r="M15155" s="274"/>
    </row>
    <row r="15156" spans="13:13" ht="15" customHeight="1" x14ac:dyDescent="0.25">
      <c r="M15156" s="274"/>
    </row>
    <row r="15157" spans="13:13" ht="15" customHeight="1" x14ac:dyDescent="0.25">
      <c r="M15157" s="274"/>
    </row>
    <row r="15158" spans="13:13" ht="15" customHeight="1" x14ac:dyDescent="0.25">
      <c r="M15158" s="274"/>
    </row>
    <row r="15159" spans="13:13" ht="15" customHeight="1" x14ac:dyDescent="0.25">
      <c r="M15159" s="274"/>
    </row>
    <row r="15160" spans="13:13" ht="15" customHeight="1" x14ac:dyDescent="0.25">
      <c r="M15160" s="274"/>
    </row>
    <row r="15161" spans="13:13" ht="15" customHeight="1" x14ac:dyDescent="0.25">
      <c r="M15161" s="274"/>
    </row>
    <row r="15162" spans="13:13" ht="15" customHeight="1" x14ac:dyDescent="0.25">
      <c r="M15162" s="274"/>
    </row>
    <row r="15163" spans="13:13" ht="15" customHeight="1" x14ac:dyDescent="0.25">
      <c r="M15163" s="274"/>
    </row>
    <row r="15164" spans="13:13" ht="15" customHeight="1" x14ac:dyDescent="0.25">
      <c r="M15164" s="274"/>
    </row>
    <row r="15165" spans="13:13" ht="15" customHeight="1" x14ac:dyDescent="0.25">
      <c r="M15165" s="274"/>
    </row>
    <row r="15166" spans="13:13" ht="15" customHeight="1" x14ac:dyDescent="0.25">
      <c r="M15166" s="274"/>
    </row>
    <row r="15167" spans="13:13" ht="15" customHeight="1" x14ac:dyDescent="0.25">
      <c r="M15167" s="274"/>
    </row>
    <row r="15168" spans="13:13" ht="15" customHeight="1" x14ac:dyDescent="0.25">
      <c r="M15168" s="274"/>
    </row>
    <row r="15169" spans="13:13" ht="15" customHeight="1" x14ac:dyDescent="0.25">
      <c r="M15169" s="274"/>
    </row>
    <row r="15170" spans="13:13" ht="15" customHeight="1" x14ac:dyDescent="0.25">
      <c r="M15170" s="274"/>
    </row>
    <row r="15171" spans="13:13" ht="15" customHeight="1" x14ac:dyDescent="0.25">
      <c r="M15171" s="274"/>
    </row>
    <row r="15172" spans="13:13" ht="15" customHeight="1" x14ac:dyDescent="0.25">
      <c r="M15172" s="274"/>
    </row>
    <row r="15173" spans="13:13" ht="15" customHeight="1" x14ac:dyDescent="0.25">
      <c r="M15173" s="274"/>
    </row>
    <row r="15174" spans="13:13" ht="15" customHeight="1" x14ac:dyDescent="0.25">
      <c r="M15174" s="274"/>
    </row>
    <row r="15175" spans="13:13" ht="15" customHeight="1" x14ac:dyDescent="0.25">
      <c r="M15175" s="274"/>
    </row>
    <row r="15176" spans="13:13" ht="15" customHeight="1" x14ac:dyDescent="0.25">
      <c r="M15176" s="274"/>
    </row>
    <row r="15177" spans="13:13" ht="15" customHeight="1" x14ac:dyDescent="0.25">
      <c r="M15177" s="274"/>
    </row>
    <row r="15178" spans="13:13" ht="15" customHeight="1" x14ac:dyDescent="0.25">
      <c r="M15178" s="274"/>
    </row>
    <row r="15179" spans="13:13" ht="15" customHeight="1" x14ac:dyDescent="0.25">
      <c r="M15179" s="274"/>
    </row>
    <row r="15180" spans="13:13" ht="15" customHeight="1" x14ac:dyDescent="0.25">
      <c r="M15180" s="274"/>
    </row>
    <row r="15181" spans="13:13" ht="15" customHeight="1" x14ac:dyDescent="0.25">
      <c r="M15181" s="274"/>
    </row>
    <row r="15182" spans="13:13" ht="15" customHeight="1" x14ac:dyDescent="0.25">
      <c r="M15182" s="274"/>
    </row>
    <row r="15183" spans="13:13" ht="15" customHeight="1" x14ac:dyDescent="0.25">
      <c r="M15183" s="274"/>
    </row>
    <row r="15184" spans="13:13" ht="15" customHeight="1" x14ac:dyDescent="0.25">
      <c r="M15184" s="274"/>
    </row>
    <row r="15185" spans="13:13" ht="15" customHeight="1" x14ac:dyDescent="0.25">
      <c r="M15185" s="274"/>
    </row>
    <row r="15186" spans="13:13" ht="15" customHeight="1" x14ac:dyDescent="0.25">
      <c r="M15186" s="274"/>
    </row>
    <row r="15187" spans="13:13" ht="15" customHeight="1" x14ac:dyDescent="0.25">
      <c r="M15187" s="274"/>
    </row>
    <row r="15188" spans="13:13" ht="15" customHeight="1" x14ac:dyDescent="0.25">
      <c r="M15188" s="274"/>
    </row>
    <row r="15189" spans="13:13" ht="15" customHeight="1" x14ac:dyDescent="0.25">
      <c r="M15189" s="274"/>
    </row>
    <row r="15190" spans="13:13" ht="15" customHeight="1" x14ac:dyDescent="0.25">
      <c r="M15190" s="274"/>
    </row>
    <row r="15191" spans="13:13" ht="15" customHeight="1" x14ac:dyDescent="0.25">
      <c r="M15191" s="274"/>
    </row>
    <row r="15192" spans="13:13" ht="15" customHeight="1" x14ac:dyDescent="0.25">
      <c r="M15192" s="274"/>
    </row>
    <row r="15193" spans="13:13" ht="15" customHeight="1" x14ac:dyDescent="0.25">
      <c r="M15193" s="274"/>
    </row>
    <row r="15194" spans="13:13" ht="15" customHeight="1" x14ac:dyDescent="0.25">
      <c r="M15194" s="274"/>
    </row>
    <row r="15195" spans="13:13" ht="15" customHeight="1" x14ac:dyDescent="0.25">
      <c r="M15195" s="274"/>
    </row>
    <row r="15196" spans="13:13" ht="15" customHeight="1" x14ac:dyDescent="0.25">
      <c r="M15196" s="274"/>
    </row>
    <row r="15197" spans="13:13" ht="15" customHeight="1" x14ac:dyDescent="0.25">
      <c r="M15197" s="274"/>
    </row>
    <row r="15198" spans="13:13" ht="15" customHeight="1" x14ac:dyDescent="0.25">
      <c r="M15198" s="274"/>
    </row>
    <row r="15199" spans="13:13" ht="15" customHeight="1" x14ac:dyDescent="0.25">
      <c r="M15199" s="274"/>
    </row>
    <row r="15200" spans="13:13" ht="15" customHeight="1" x14ac:dyDescent="0.25">
      <c r="M15200" s="274"/>
    </row>
    <row r="15201" spans="13:13" ht="15" customHeight="1" x14ac:dyDescent="0.25">
      <c r="M15201" s="274"/>
    </row>
    <row r="15202" spans="13:13" ht="15" customHeight="1" x14ac:dyDescent="0.25">
      <c r="M15202" s="274"/>
    </row>
    <row r="15203" spans="13:13" ht="15" customHeight="1" x14ac:dyDescent="0.25">
      <c r="M15203" s="274"/>
    </row>
    <row r="15204" spans="13:13" ht="15" customHeight="1" x14ac:dyDescent="0.25">
      <c r="M15204" s="274"/>
    </row>
    <row r="15205" spans="13:13" ht="15" customHeight="1" x14ac:dyDescent="0.25">
      <c r="M15205" s="274"/>
    </row>
    <row r="15206" spans="13:13" ht="15" customHeight="1" x14ac:dyDescent="0.25">
      <c r="M15206" s="274"/>
    </row>
    <row r="15207" spans="13:13" ht="15" customHeight="1" x14ac:dyDescent="0.25">
      <c r="M15207" s="274"/>
    </row>
    <row r="15208" spans="13:13" ht="15" customHeight="1" x14ac:dyDescent="0.25">
      <c r="M15208" s="274"/>
    </row>
    <row r="15209" spans="13:13" ht="15" customHeight="1" x14ac:dyDescent="0.25">
      <c r="M15209" s="274"/>
    </row>
    <row r="15210" spans="13:13" ht="15" customHeight="1" x14ac:dyDescent="0.25">
      <c r="M15210" s="274"/>
    </row>
    <row r="15211" spans="13:13" ht="15" customHeight="1" x14ac:dyDescent="0.25">
      <c r="M15211" s="274"/>
    </row>
    <row r="15212" spans="13:13" ht="15" customHeight="1" x14ac:dyDescent="0.25">
      <c r="M15212" s="274"/>
    </row>
    <row r="15213" spans="13:13" ht="15" customHeight="1" x14ac:dyDescent="0.25">
      <c r="M15213" s="274"/>
    </row>
    <row r="15214" spans="13:13" ht="15" customHeight="1" x14ac:dyDescent="0.25">
      <c r="M15214" s="274"/>
    </row>
    <row r="15215" spans="13:13" ht="15" customHeight="1" x14ac:dyDescent="0.25">
      <c r="M15215" s="274"/>
    </row>
    <row r="15216" spans="13:13" ht="15" customHeight="1" x14ac:dyDescent="0.25">
      <c r="M15216" s="274"/>
    </row>
    <row r="15217" spans="13:13" ht="15" customHeight="1" x14ac:dyDescent="0.25">
      <c r="M15217" s="274"/>
    </row>
    <row r="15218" spans="13:13" ht="15" customHeight="1" x14ac:dyDescent="0.25">
      <c r="M15218" s="274"/>
    </row>
    <row r="15219" spans="13:13" ht="15" customHeight="1" x14ac:dyDescent="0.25">
      <c r="M15219" s="274"/>
    </row>
    <row r="15220" spans="13:13" ht="15" customHeight="1" x14ac:dyDescent="0.25">
      <c r="M15220" s="274"/>
    </row>
    <row r="15221" spans="13:13" ht="15" customHeight="1" x14ac:dyDescent="0.25">
      <c r="M15221" s="274"/>
    </row>
    <row r="15222" spans="13:13" ht="15" customHeight="1" x14ac:dyDescent="0.25">
      <c r="M15222" s="274"/>
    </row>
    <row r="15223" spans="13:13" ht="15" customHeight="1" x14ac:dyDescent="0.25">
      <c r="M15223" s="274"/>
    </row>
    <row r="15224" spans="13:13" ht="15" customHeight="1" x14ac:dyDescent="0.25">
      <c r="M15224" s="274"/>
    </row>
    <row r="15225" spans="13:13" ht="15" customHeight="1" x14ac:dyDescent="0.25">
      <c r="M15225" s="274"/>
    </row>
    <row r="15226" spans="13:13" ht="15" customHeight="1" x14ac:dyDescent="0.25">
      <c r="M15226" s="274"/>
    </row>
    <row r="15227" spans="13:13" ht="15" customHeight="1" x14ac:dyDescent="0.25">
      <c r="M15227" s="274"/>
    </row>
    <row r="15228" spans="13:13" ht="15" customHeight="1" x14ac:dyDescent="0.25">
      <c r="M15228" s="274"/>
    </row>
    <row r="15229" spans="13:13" ht="15" customHeight="1" x14ac:dyDescent="0.25">
      <c r="M15229" s="274"/>
    </row>
    <row r="15230" spans="13:13" ht="15" customHeight="1" x14ac:dyDescent="0.25">
      <c r="M15230" s="274"/>
    </row>
    <row r="15231" spans="13:13" ht="15" customHeight="1" x14ac:dyDescent="0.25">
      <c r="M15231" s="274"/>
    </row>
    <row r="15232" spans="13:13" ht="15" customHeight="1" x14ac:dyDescent="0.25">
      <c r="M15232" s="274"/>
    </row>
    <row r="15233" spans="13:13" ht="15" customHeight="1" x14ac:dyDescent="0.25">
      <c r="M15233" s="274"/>
    </row>
    <row r="15234" spans="13:13" ht="15" customHeight="1" x14ac:dyDescent="0.25">
      <c r="M15234" s="274"/>
    </row>
    <row r="15235" spans="13:13" ht="15" customHeight="1" x14ac:dyDescent="0.25">
      <c r="M15235" s="274"/>
    </row>
    <row r="15236" spans="13:13" ht="15" customHeight="1" x14ac:dyDescent="0.25">
      <c r="M15236" s="274"/>
    </row>
    <row r="15237" spans="13:13" ht="15" customHeight="1" x14ac:dyDescent="0.25">
      <c r="M15237" s="274"/>
    </row>
    <row r="15238" spans="13:13" ht="15" customHeight="1" x14ac:dyDescent="0.25">
      <c r="M15238" s="274"/>
    </row>
    <row r="15239" spans="13:13" ht="15" customHeight="1" x14ac:dyDescent="0.25">
      <c r="M15239" s="274"/>
    </row>
    <row r="15240" spans="13:13" ht="15" customHeight="1" x14ac:dyDescent="0.25">
      <c r="M15240" s="274"/>
    </row>
    <row r="15241" spans="13:13" ht="15" customHeight="1" x14ac:dyDescent="0.25">
      <c r="M15241" s="274"/>
    </row>
    <row r="15242" spans="13:13" ht="15" customHeight="1" x14ac:dyDescent="0.25">
      <c r="M15242" s="274"/>
    </row>
    <row r="15243" spans="13:13" ht="15" customHeight="1" x14ac:dyDescent="0.25">
      <c r="M15243" s="274"/>
    </row>
    <row r="15244" spans="13:13" ht="15" customHeight="1" x14ac:dyDescent="0.25">
      <c r="M15244" s="274"/>
    </row>
    <row r="15245" spans="13:13" ht="15" customHeight="1" x14ac:dyDescent="0.25">
      <c r="M15245" s="274"/>
    </row>
    <row r="15246" spans="13:13" ht="15" customHeight="1" x14ac:dyDescent="0.25">
      <c r="M15246" s="274"/>
    </row>
    <row r="15247" spans="13:13" ht="15" customHeight="1" x14ac:dyDescent="0.25">
      <c r="M15247" s="274"/>
    </row>
    <row r="15248" spans="13:13" ht="15" customHeight="1" x14ac:dyDescent="0.25">
      <c r="M15248" s="274"/>
    </row>
    <row r="15249" spans="13:13" ht="15" customHeight="1" x14ac:dyDescent="0.25">
      <c r="M15249" s="274"/>
    </row>
    <row r="15250" spans="13:13" ht="15" customHeight="1" x14ac:dyDescent="0.25">
      <c r="M15250" s="274"/>
    </row>
    <row r="15251" spans="13:13" ht="15" customHeight="1" x14ac:dyDescent="0.25">
      <c r="M15251" s="274"/>
    </row>
    <row r="15252" spans="13:13" ht="15" customHeight="1" x14ac:dyDescent="0.25">
      <c r="M15252" s="274"/>
    </row>
    <row r="15253" spans="13:13" ht="15" customHeight="1" x14ac:dyDescent="0.25">
      <c r="M15253" s="274"/>
    </row>
    <row r="15254" spans="13:13" ht="15" customHeight="1" x14ac:dyDescent="0.25">
      <c r="M15254" s="274"/>
    </row>
    <row r="15255" spans="13:13" ht="15" customHeight="1" x14ac:dyDescent="0.25">
      <c r="M15255" s="274"/>
    </row>
    <row r="15256" spans="13:13" ht="15" customHeight="1" x14ac:dyDescent="0.25">
      <c r="M15256" s="274"/>
    </row>
    <row r="15257" spans="13:13" ht="15" customHeight="1" x14ac:dyDescent="0.25">
      <c r="M15257" s="274"/>
    </row>
    <row r="15258" spans="13:13" ht="15" customHeight="1" x14ac:dyDescent="0.25">
      <c r="M15258" s="274"/>
    </row>
    <row r="15259" spans="13:13" ht="15" customHeight="1" x14ac:dyDescent="0.25">
      <c r="M15259" s="274"/>
    </row>
    <row r="15260" spans="13:13" ht="15" customHeight="1" x14ac:dyDescent="0.25">
      <c r="M15260" s="274"/>
    </row>
    <row r="15261" spans="13:13" ht="15" customHeight="1" x14ac:dyDescent="0.25">
      <c r="M15261" s="274"/>
    </row>
    <row r="15262" spans="13:13" ht="15" customHeight="1" x14ac:dyDescent="0.25">
      <c r="M15262" s="274"/>
    </row>
    <row r="15263" spans="13:13" ht="15" customHeight="1" x14ac:dyDescent="0.25">
      <c r="M15263" s="274"/>
    </row>
    <row r="15264" spans="13:13" ht="15" customHeight="1" x14ac:dyDescent="0.25">
      <c r="M15264" s="274"/>
    </row>
    <row r="15265" spans="13:13" ht="15" customHeight="1" x14ac:dyDescent="0.25">
      <c r="M15265" s="274"/>
    </row>
    <row r="15266" spans="13:13" ht="15" customHeight="1" x14ac:dyDescent="0.25">
      <c r="M15266" s="274"/>
    </row>
    <row r="15267" spans="13:13" ht="15" customHeight="1" x14ac:dyDescent="0.25">
      <c r="M15267" s="274"/>
    </row>
    <row r="15268" spans="13:13" ht="15" customHeight="1" x14ac:dyDescent="0.25">
      <c r="M15268" s="274"/>
    </row>
    <row r="15269" spans="13:13" ht="15" customHeight="1" x14ac:dyDescent="0.25">
      <c r="M15269" s="274"/>
    </row>
    <row r="15270" spans="13:13" ht="15" customHeight="1" x14ac:dyDescent="0.25">
      <c r="M15270" s="274"/>
    </row>
    <row r="15271" spans="13:13" ht="15" customHeight="1" x14ac:dyDescent="0.25">
      <c r="M15271" s="274"/>
    </row>
    <row r="15272" spans="13:13" ht="15" customHeight="1" x14ac:dyDescent="0.25">
      <c r="M15272" s="274"/>
    </row>
    <row r="15273" spans="13:13" ht="15" customHeight="1" x14ac:dyDescent="0.25">
      <c r="M15273" s="274"/>
    </row>
    <row r="15274" spans="13:13" ht="15" customHeight="1" x14ac:dyDescent="0.25">
      <c r="M15274" s="274"/>
    </row>
    <row r="15275" spans="13:13" ht="15" customHeight="1" x14ac:dyDescent="0.25">
      <c r="M15275" s="274"/>
    </row>
    <row r="15276" spans="13:13" ht="15" customHeight="1" x14ac:dyDescent="0.25">
      <c r="M15276" s="274"/>
    </row>
    <row r="15277" spans="13:13" ht="15" customHeight="1" x14ac:dyDescent="0.25">
      <c r="M15277" s="274"/>
    </row>
    <row r="15278" spans="13:13" ht="15" customHeight="1" x14ac:dyDescent="0.25">
      <c r="M15278" s="274"/>
    </row>
    <row r="15279" spans="13:13" ht="15" customHeight="1" x14ac:dyDescent="0.25">
      <c r="M15279" s="274"/>
    </row>
    <row r="15280" spans="13:13" ht="15" customHeight="1" x14ac:dyDescent="0.25">
      <c r="M15280" s="274"/>
    </row>
    <row r="15281" spans="13:13" ht="15" customHeight="1" x14ac:dyDescent="0.25">
      <c r="M15281" s="274"/>
    </row>
    <row r="15282" spans="13:13" ht="15" customHeight="1" x14ac:dyDescent="0.25">
      <c r="M15282" s="274"/>
    </row>
    <row r="15283" spans="13:13" ht="15" customHeight="1" x14ac:dyDescent="0.25">
      <c r="M15283" s="274"/>
    </row>
    <row r="15284" spans="13:13" ht="15" customHeight="1" x14ac:dyDescent="0.25">
      <c r="M15284" s="274"/>
    </row>
    <row r="15285" spans="13:13" ht="15" customHeight="1" x14ac:dyDescent="0.25">
      <c r="M15285" s="274"/>
    </row>
    <row r="15286" spans="13:13" ht="15" customHeight="1" x14ac:dyDescent="0.25">
      <c r="M15286" s="274"/>
    </row>
    <row r="15287" spans="13:13" ht="15" customHeight="1" x14ac:dyDescent="0.25">
      <c r="M15287" s="274"/>
    </row>
    <row r="15288" spans="13:13" ht="15" customHeight="1" x14ac:dyDescent="0.25">
      <c r="M15288" s="274"/>
    </row>
    <row r="15289" spans="13:13" ht="15" customHeight="1" x14ac:dyDescent="0.25">
      <c r="M15289" s="274"/>
    </row>
    <row r="15290" spans="13:13" ht="15" customHeight="1" x14ac:dyDescent="0.25">
      <c r="M15290" s="274"/>
    </row>
    <row r="15291" spans="13:13" ht="15" customHeight="1" x14ac:dyDescent="0.25">
      <c r="M15291" s="274"/>
    </row>
    <row r="15292" spans="13:13" ht="15" customHeight="1" x14ac:dyDescent="0.25">
      <c r="M15292" s="274"/>
    </row>
    <row r="15293" spans="13:13" ht="15" customHeight="1" x14ac:dyDescent="0.25">
      <c r="M15293" s="274"/>
    </row>
    <row r="15294" spans="13:13" ht="15" customHeight="1" x14ac:dyDescent="0.25">
      <c r="M15294" s="274"/>
    </row>
    <row r="15295" spans="13:13" ht="15" customHeight="1" x14ac:dyDescent="0.25">
      <c r="M15295" s="274"/>
    </row>
    <row r="15296" spans="13:13" ht="15" customHeight="1" x14ac:dyDescent="0.25">
      <c r="M15296" s="274"/>
    </row>
    <row r="15297" spans="13:13" ht="15" customHeight="1" x14ac:dyDescent="0.25">
      <c r="M15297" s="274"/>
    </row>
    <row r="15298" spans="13:13" ht="15" customHeight="1" x14ac:dyDescent="0.25">
      <c r="M15298" s="274"/>
    </row>
    <row r="15299" spans="13:13" ht="15" customHeight="1" x14ac:dyDescent="0.25">
      <c r="M15299" s="274"/>
    </row>
    <row r="15300" spans="13:13" ht="15" customHeight="1" x14ac:dyDescent="0.25">
      <c r="M15300" s="274"/>
    </row>
    <row r="15301" spans="13:13" ht="15" customHeight="1" x14ac:dyDescent="0.25">
      <c r="M15301" s="274"/>
    </row>
    <row r="15302" spans="13:13" ht="15" customHeight="1" x14ac:dyDescent="0.25">
      <c r="M15302" s="274"/>
    </row>
    <row r="15303" spans="13:13" ht="15" customHeight="1" x14ac:dyDescent="0.25">
      <c r="M15303" s="274"/>
    </row>
    <row r="15304" spans="13:13" ht="15" customHeight="1" x14ac:dyDescent="0.25">
      <c r="M15304" s="274"/>
    </row>
    <row r="15305" spans="13:13" ht="15" customHeight="1" x14ac:dyDescent="0.25">
      <c r="M15305" s="274"/>
    </row>
    <row r="15306" spans="13:13" ht="15" customHeight="1" x14ac:dyDescent="0.25">
      <c r="M15306" s="274"/>
    </row>
    <row r="15307" spans="13:13" ht="15" customHeight="1" x14ac:dyDescent="0.25">
      <c r="M15307" s="274"/>
    </row>
    <row r="15308" spans="13:13" ht="15" customHeight="1" x14ac:dyDescent="0.25">
      <c r="M15308" s="274"/>
    </row>
    <row r="15309" spans="13:13" ht="15" customHeight="1" x14ac:dyDescent="0.25">
      <c r="M15309" s="274"/>
    </row>
    <row r="15310" spans="13:13" ht="15" customHeight="1" x14ac:dyDescent="0.25">
      <c r="M15310" s="274"/>
    </row>
    <row r="15311" spans="13:13" ht="15" customHeight="1" x14ac:dyDescent="0.25">
      <c r="M15311" s="274"/>
    </row>
    <row r="15312" spans="13:13" ht="15" customHeight="1" x14ac:dyDescent="0.25">
      <c r="M15312" s="274"/>
    </row>
    <row r="15313" spans="13:13" ht="15" customHeight="1" x14ac:dyDescent="0.25">
      <c r="M15313" s="274"/>
    </row>
    <row r="15314" spans="13:13" ht="15" customHeight="1" x14ac:dyDescent="0.25">
      <c r="M15314" s="274"/>
    </row>
    <row r="15315" spans="13:13" ht="15" customHeight="1" x14ac:dyDescent="0.25">
      <c r="M15315" s="274"/>
    </row>
    <row r="15316" spans="13:13" ht="15" customHeight="1" x14ac:dyDescent="0.25">
      <c r="M15316" s="274"/>
    </row>
    <row r="15317" spans="13:13" ht="15" customHeight="1" x14ac:dyDescent="0.25">
      <c r="M15317" s="274"/>
    </row>
    <row r="15318" spans="13:13" ht="15" customHeight="1" x14ac:dyDescent="0.25">
      <c r="M15318" s="274"/>
    </row>
    <row r="15319" spans="13:13" ht="15" customHeight="1" x14ac:dyDescent="0.25">
      <c r="M15319" s="274"/>
    </row>
    <row r="15320" spans="13:13" ht="15" customHeight="1" x14ac:dyDescent="0.25">
      <c r="M15320" s="274"/>
    </row>
    <row r="15321" spans="13:13" ht="15" customHeight="1" x14ac:dyDescent="0.25">
      <c r="M15321" s="274"/>
    </row>
    <row r="15322" spans="13:13" ht="15" customHeight="1" x14ac:dyDescent="0.25">
      <c r="M15322" s="274"/>
    </row>
    <row r="15323" spans="13:13" ht="15" customHeight="1" x14ac:dyDescent="0.25">
      <c r="M15323" s="274"/>
    </row>
    <row r="15324" spans="13:13" ht="15" customHeight="1" x14ac:dyDescent="0.25">
      <c r="M15324" s="274"/>
    </row>
    <row r="15325" spans="13:13" ht="15" customHeight="1" x14ac:dyDescent="0.25">
      <c r="M15325" s="274"/>
    </row>
    <row r="15326" spans="13:13" ht="15" customHeight="1" x14ac:dyDescent="0.25">
      <c r="M15326" s="274"/>
    </row>
    <row r="15327" spans="13:13" ht="15" customHeight="1" x14ac:dyDescent="0.25">
      <c r="M15327" s="274"/>
    </row>
    <row r="15328" spans="13:13" ht="15" customHeight="1" x14ac:dyDescent="0.25">
      <c r="M15328" s="274"/>
    </row>
    <row r="15329" spans="13:13" ht="15" customHeight="1" x14ac:dyDescent="0.25">
      <c r="M15329" s="274"/>
    </row>
    <row r="15330" spans="13:13" ht="15" customHeight="1" x14ac:dyDescent="0.25">
      <c r="M15330" s="274"/>
    </row>
    <row r="15331" spans="13:13" ht="15" customHeight="1" x14ac:dyDescent="0.25">
      <c r="M15331" s="274"/>
    </row>
    <row r="15332" spans="13:13" ht="15" customHeight="1" x14ac:dyDescent="0.25">
      <c r="M15332" s="274"/>
    </row>
    <row r="15333" spans="13:13" ht="15" customHeight="1" x14ac:dyDescent="0.25">
      <c r="M15333" s="274"/>
    </row>
    <row r="15334" spans="13:13" ht="15" customHeight="1" x14ac:dyDescent="0.25">
      <c r="M15334" s="274"/>
    </row>
    <row r="15335" spans="13:13" ht="15" customHeight="1" x14ac:dyDescent="0.25">
      <c r="M15335" s="274"/>
    </row>
    <row r="15336" spans="13:13" ht="15" customHeight="1" x14ac:dyDescent="0.25">
      <c r="M15336" s="274"/>
    </row>
    <row r="15337" spans="13:13" ht="15" customHeight="1" x14ac:dyDescent="0.25">
      <c r="M15337" s="274"/>
    </row>
    <row r="15338" spans="13:13" ht="15" customHeight="1" x14ac:dyDescent="0.25">
      <c r="M15338" s="274"/>
    </row>
    <row r="15339" spans="13:13" ht="15" customHeight="1" x14ac:dyDescent="0.25">
      <c r="M15339" s="274"/>
    </row>
    <row r="15340" spans="13:13" ht="15" customHeight="1" x14ac:dyDescent="0.25">
      <c r="M15340" s="274"/>
    </row>
    <row r="15341" spans="13:13" ht="15" customHeight="1" x14ac:dyDescent="0.25">
      <c r="M15341" s="274"/>
    </row>
    <row r="15342" spans="13:13" ht="15" customHeight="1" x14ac:dyDescent="0.25">
      <c r="M15342" s="274"/>
    </row>
    <row r="15343" spans="13:13" ht="15" customHeight="1" x14ac:dyDescent="0.25">
      <c r="M15343" s="274"/>
    </row>
    <row r="15344" spans="13:13" ht="15" customHeight="1" x14ac:dyDescent="0.25">
      <c r="M15344" s="274"/>
    </row>
    <row r="15345" spans="13:13" ht="15" customHeight="1" x14ac:dyDescent="0.25">
      <c r="M15345" s="274"/>
    </row>
    <row r="15346" spans="13:13" ht="15" customHeight="1" x14ac:dyDescent="0.25">
      <c r="M15346" s="274"/>
    </row>
    <row r="15347" spans="13:13" ht="15" customHeight="1" x14ac:dyDescent="0.25">
      <c r="M15347" s="274"/>
    </row>
    <row r="15348" spans="13:13" ht="15" customHeight="1" x14ac:dyDescent="0.25">
      <c r="M15348" s="274"/>
    </row>
    <row r="15349" spans="13:13" ht="15" customHeight="1" x14ac:dyDescent="0.25">
      <c r="M15349" s="274"/>
    </row>
    <row r="15350" spans="13:13" ht="15" customHeight="1" x14ac:dyDescent="0.25">
      <c r="M15350" s="274"/>
    </row>
    <row r="15351" spans="13:13" ht="15" customHeight="1" x14ac:dyDescent="0.25">
      <c r="M15351" s="274"/>
    </row>
    <row r="15352" spans="13:13" ht="15" customHeight="1" x14ac:dyDescent="0.25">
      <c r="M15352" s="274"/>
    </row>
    <row r="15353" spans="13:13" ht="15" customHeight="1" x14ac:dyDescent="0.25">
      <c r="M15353" s="274"/>
    </row>
    <row r="15354" spans="13:13" ht="15" customHeight="1" x14ac:dyDescent="0.25">
      <c r="M15354" s="274"/>
    </row>
    <row r="15355" spans="13:13" ht="15" customHeight="1" x14ac:dyDescent="0.25">
      <c r="M15355" s="274"/>
    </row>
    <row r="15356" spans="13:13" ht="15" customHeight="1" x14ac:dyDescent="0.25">
      <c r="M15356" s="274"/>
    </row>
    <row r="15357" spans="13:13" ht="15" customHeight="1" x14ac:dyDescent="0.25">
      <c r="M15357" s="274"/>
    </row>
    <row r="15358" spans="13:13" ht="15" customHeight="1" x14ac:dyDescent="0.25">
      <c r="M15358" s="274"/>
    </row>
    <row r="15359" spans="13:13" ht="15" customHeight="1" x14ac:dyDescent="0.25">
      <c r="M15359" s="274"/>
    </row>
    <row r="15360" spans="13:13" ht="15" customHeight="1" x14ac:dyDescent="0.25">
      <c r="M15360" s="274"/>
    </row>
    <row r="15361" spans="13:13" ht="15" customHeight="1" x14ac:dyDescent="0.25">
      <c r="M15361" s="274"/>
    </row>
    <row r="15362" spans="13:13" ht="15" customHeight="1" x14ac:dyDescent="0.25">
      <c r="M15362" s="274"/>
    </row>
    <row r="15363" spans="13:13" ht="15" customHeight="1" x14ac:dyDescent="0.25">
      <c r="M15363" s="274"/>
    </row>
    <row r="15364" spans="13:13" ht="15" customHeight="1" x14ac:dyDescent="0.25">
      <c r="M15364" s="274"/>
    </row>
    <row r="15365" spans="13:13" ht="15" customHeight="1" x14ac:dyDescent="0.25">
      <c r="M15365" s="274"/>
    </row>
    <row r="15366" spans="13:13" ht="15" customHeight="1" x14ac:dyDescent="0.25">
      <c r="M15366" s="274"/>
    </row>
    <row r="15367" spans="13:13" ht="15" customHeight="1" x14ac:dyDescent="0.25">
      <c r="M15367" s="274"/>
    </row>
    <row r="15368" spans="13:13" ht="15" customHeight="1" x14ac:dyDescent="0.25">
      <c r="M15368" s="274"/>
    </row>
    <row r="15369" spans="13:13" ht="15" customHeight="1" x14ac:dyDescent="0.25">
      <c r="M15369" s="274"/>
    </row>
    <row r="15370" spans="13:13" ht="15" customHeight="1" x14ac:dyDescent="0.25">
      <c r="M15370" s="274"/>
    </row>
    <row r="15371" spans="13:13" ht="15" customHeight="1" x14ac:dyDescent="0.25">
      <c r="M15371" s="274"/>
    </row>
    <row r="15372" spans="13:13" ht="15" customHeight="1" x14ac:dyDescent="0.25">
      <c r="M15372" s="274"/>
    </row>
    <row r="15373" spans="13:13" ht="15" customHeight="1" x14ac:dyDescent="0.25">
      <c r="M15373" s="274"/>
    </row>
    <row r="15374" spans="13:13" ht="15" customHeight="1" x14ac:dyDescent="0.25">
      <c r="M15374" s="274"/>
    </row>
    <row r="15375" spans="13:13" ht="15" customHeight="1" x14ac:dyDescent="0.25">
      <c r="M15375" s="274"/>
    </row>
    <row r="15376" spans="13:13" ht="15" customHeight="1" x14ac:dyDescent="0.25">
      <c r="M15376" s="274"/>
    </row>
    <row r="15377" spans="13:13" ht="15" customHeight="1" x14ac:dyDescent="0.25">
      <c r="M15377" s="274"/>
    </row>
    <row r="15378" spans="13:13" ht="15" customHeight="1" x14ac:dyDescent="0.25">
      <c r="M15378" s="274"/>
    </row>
    <row r="15379" spans="13:13" ht="15" customHeight="1" x14ac:dyDescent="0.25">
      <c r="M15379" s="274"/>
    </row>
    <row r="15380" spans="13:13" ht="15" customHeight="1" x14ac:dyDescent="0.25">
      <c r="M15380" s="274"/>
    </row>
    <row r="15381" spans="13:13" ht="15" customHeight="1" x14ac:dyDescent="0.25">
      <c r="M15381" s="274"/>
    </row>
    <row r="15382" spans="13:13" ht="15" customHeight="1" x14ac:dyDescent="0.25">
      <c r="M15382" s="274"/>
    </row>
    <row r="15383" spans="13:13" ht="15" customHeight="1" x14ac:dyDescent="0.25">
      <c r="M15383" s="274"/>
    </row>
    <row r="15384" spans="13:13" ht="15" customHeight="1" x14ac:dyDescent="0.25">
      <c r="M15384" s="274"/>
    </row>
    <row r="15385" spans="13:13" ht="15" customHeight="1" x14ac:dyDescent="0.25">
      <c r="M15385" s="274"/>
    </row>
    <row r="15386" spans="13:13" ht="15" customHeight="1" x14ac:dyDescent="0.25">
      <c r="M15386" s="274"/>
    </row>
    <row r="15387" spans="13:13" ht="15" customHeight="1" x14ac:dyDescent="0.25">
      <c r="M15387" s="274"/>
    </row>
    <row r="15388" spans="13:13" ht="15" customHeight="1" x14ac:dyDescent="0.25">
      <c r="M15388" s="274"/>
    </row>
    <row r="15389" spans="13:13" ht="15" customHeight="1" x14ac:dyDescent="0.25">
      <c r="M15389" s="274"/>
    </row>
    <row r="15390" spans="13:13" ht="15" customHeight="1" x14ac:dyDescent="0.25">
      <c r="M15390" s="274"/>
    </row>
    <row r="15391" spans="13:13" ht="15" customHeight="1" x14ac:dyDescent="0.25">
      <c r="M15391" s="274"/>
    </row>
    <row r="15392" spans="13:13" ht="15" customHeight="1" x14ac:dyDescent="0.25">
      <c r="M15392" s="274"/>
    </row>
    <row r="15393" spans="13:13" ht="15" customHeight="1" x14ac:dyDescent="0.25">
      <c r="M15393" s="274"/>
    </row>
    <row r="15394" spans="13:13" ht="15" customHeight="1" x14ac:dyDescent="0.25">
      <c r="M15394" s="274"/>
    </row>
    <row r="15395" spans="13:13" ht="15" customHeight="1" x14ac:dyDescent="0.25">
      <c r="M15395" s="274"/>
    </row>
    <row r="15396" spans="13:13" ht="15" customHeight="1" x14ac:dyDescent="0.25">
      <c r="M15396" s="274"/>
    </row>
    <row r="15397" spans="13:13" ht="15" customHeight="1" x14ac:dyDescent="0.25">
      <c r="M15397" s="274"/>
    </row>
    <row r="15398" spans="13:13" ht="15" customHeight="1" x14ac:dyDescent="0.25">
      <c r="M15398" s="274"/>
    </row>
    <row r="15399" spans="13:13" ht="15" customHeight="1" x14ac:dyDescent="0.25">
      <c r="M15399" s="274"/>
    </row>
    <row r="15400" spans="13:13" ht="15" customHeight="1" x14ac:dyDescent="0.25">
      <c r="M15400" s="274"/>
    </row>
    <row r="15401" spans="13:13" ht="15" customHeight="1" x14ac:dyDescent="0.25">
      <c r="M15401" s="274"/>
    </row>
    <row r="15402" spans="13:13" ht="15" customHeight="1" x14ac:dyDescent="0.25">
      <c r="M15402" s="274"/>
    </row>
    <row r="15403" spans="13:13" ht="15" customHeight="1" x14ac:dyDescent="0.25">
      <c r="M15403" s="274"/>
    </row>
    <row r="15404" spans="13:13" ht="15" customHeight="1" x14ac:dyDescent="0.25">
      <c r="M15404" s="274"/>
    </row>
    <row r="15405" spans="13:13" ht="15" customHeight="1" x14ac:dyDescent="0.25">
      <c r="M15405" s="274"/>
    </row>
    <row r="15406" spans="13:13" ht="15" customHeight="1" x14ac:dyDescent="0.25">
      <c r="M15406" s="274"/>
    </row>
    <row r="15407" spans="13:13" ht="15" customHeight="1" x14ac:dyDescent="0.25">
      <c r="M15407" s="274"/>
    </row>
    <row r="15408" spans="13:13" ht="15" customHeight="1" x14ac:dyDescent="0.25">
      <c r="M15408" s="274"/>
    </row>
    <row r="15409" spans="13:13" ht="15" customHeight="1" x14ac:dyDescent="0.25">
      <c r="M15409" s="274"/>
    </row>
    <row r="15410" spans="13:13" ht="15" customHeight="1" x14ac:dyDescent="0.25">
      <c r="M15410" s="274"/>
    </row>
    <row r="15411" spans="13:13" ht="15" customHeight="1" x14ac:dyDescent="0.25">
      <c r="M15411" s="274"/>
    </row>
    <row r="15412" spans="13:13" ht="15" customHeight="1" x14ac:dyDescent="0.25">
      <c r="M15412" s="274"/>
    </row>
    <row r="15413" spans="13:13" ht="15" customHeight="1" x14ac:dyDescent="0.25">
      <c r="M15413" s="274"/>
    </row>
    <row r="15414" spans="13:13" ht="15" customHeight="1" x14ac:dyDescent="0.25">
      <c r="M15414" s="274"/>
    </row>
    <row r="15415" spans="13:13" ht="15" customHeight="1" x14ac:dyDescent="0.25">
      <c r="M15415" s="274"/>
    </row>
    <row r="15416" spans="13:13" ht="15" customHeight="1" x14ac:dyDescent="0.25">
      <c r="M15416" s="274"/>
    </row>
    <row r="15417" spans="13:13" ht="15" customHeight="1" x14ac:dyDescent="0.25">
      <c r="M15417" s="274"/>
    </row>
    <row r="15418" spans="13:13" ht="15" customHeight="1" x14ac:dyDescent="0.25">
      <c r="M15418" s="274"/>
    </row>
    <row r="15419" spans="13:13" ht="15" customHeight="1" x14ac:dyDescent="0.25">
      <c r="M15419" s="274"/>
    </row>
    <row r="15420" spans="13:13" ht="15" customHeight="1" x14ac:dyDescent="0.25">
      <c r="M15420" s="274"/>
    </row>
    <row r="15421" spans="13:13" ht="15" customHeight="1" x14ac:dyDescent="0.25">
      <c r="M15421" s="274"/>
    </row>
    <row r="15422" spans="13:13" ht="15" customHeight="1" x14ac:dyDescent="0.25">
      <c r="M15422" s="274"/>
    </row>
    <row r="15423" spans="13:13" ht="15" customHeight="1" x14ac:dyDescent="0.25">
      <c r="M15423" s="274"/>
    </row>
    <row r="15424" spans="13:13" ht="15" customHeight="1" x14ac:dyDescent="0.25">
      <c r="M15424" s="274"/>
    </row>
    <row r="15425" spans="13:13" ht="15" customHeight="1" x14ac:dyDescent="0.25">
      <c r="M15425" s="274"/>
    </row>
    <row r="15426" spans="13:13" ht="15" customHeight="1" x14ac:dyDescent="0.25">
      <c r="M15426" s="274"/>
    </row>
    <row r="15427" spans="13:13" ht="15" customHeight="1" x14ac:dyDescent="0.25">
      <c r="M15427" s="274"/>
    </row>
    <row r="15428" spans="13:13" ht="15" customHeight="1" x14ac:dyDescent="0.25">
      <c r="M15428" s="274"/>
    </row>
    <row r="15429" spans="13:13" ht="15" customHeight="1" x14ac:dyDescent="0.25">
      <c r="M15429" s="274"/>
    </row>
    <row r="15430" spans="13:13" ht="15" customHeight="1" x14ac:dyDescent="0.25">
      <c r="M15430" s="274"/>
    </row>
    <row r="15431" spans="13:13" ht="15" customHeight="1" x14ac:dyDescent="0.25">
      <c r="M15431" s="274"/>
    </row>
    <row r="15432" spans="13:13" ht="15" customHeight="1" x14ac:dyDescent="0.25">
      <c r="M15432" s="274"/>
    </row>
    <row r="15433" spans="13:13" ht="15" customHeight="1" x14ac:dyDescent="0.25">
      <c r="M15433" s="274"/>
    </row>
    <row r="15434" spans="13:13" ht="15" customHeight="1" x14ac:dyDescent="0.25">
      <c r="M15434" s="274"/>
    </row>
    <row r="15435" spans="13:13" ht="15" customHeight="1" x14ac:dyDescent="0.25">
      <c r="M15435" s="274"/>
    </row>
    <row r="15436" spans="13:13" ht="15" customHeight="1" x14ac:dyDescent="0.25">
      <c r="M15436" s="274"/>
    </row>
    <row r="15437" spans="13:13" ht="15" customHeight="1" x14ac:dyDescent="0.25">
      <c r="M15437" s="274"/>
    </row>
    <row r="15438" spans="13:13" ht="15" customHeight="1" x14ac:dyDescent="0.25">
      <c r="M15438" s="274"/>
    </row>
    <row r="15439" spans="13:13" ht="15" customHeight="1" x14ac:dyDescent="0.25">
      <c r="M15439" s="274"/>
    </row>
    <row r="15440" spans="13:13" ht="15" customHeight="1" x14ac:dyDescent="0.25">
      <c r="M15440" s="274"/>
    </row>
    <row r="15441" spans="13:13" ht="15" customHeight="1" x14ac:dyDescent="0.25">
      <c r="M15441" s="274"/>
    </row>
    <row r="15442" spans="13:13" ht="15" customHeight="1" x14ac:dyDescent="0.25">
      <c r="M15442" s="274"/>
    </row>
    <row r="15443" spans="13:13" ht="15" customHeight="1" x14ac:dyDescent="0.25">
      <c r="M15443" s="274"/>
    </row>
    <row r="15444" spans="13:13" ht="15" customHeight="1" x14ac:dyDescent="0.25">
      <c r="M15444" s="274"/>
    </row>
    <row r="15445" spans="13:13" ht="15" customHeight="1" x14ac:dyDescent="0.25">
      <c r="M15445" s="274"/>
    </row>
    <row r="15446" spans="13:13" ht="15" customHeight="1" x14ac:dyDescent="0.25">
      <c r="M15446" s="274"/>
    </row>
    <row r="15447" spans="13:13" ht="15" customHeight="1" x14ac:dyDescent="0.25">
      <c r="M15447" s="274"/>
    </row>
    <row r="15448" spans="13:13" ht="15" customHeight="1" x14ac:dyDescent="0.25">
      <c r="M15448" s="274"/>
    </row>
    <row r="15449" spans="13:13" ht="15" customHeight="1" x14ac:dyDescent="0.25">
      <c r="M15449" s="274"/>
    </row>
    <row r="15450" spans="13:13" ht="15" customHeight="1" x14ac:dyDescent="0.25">
      <c r="M15450" s="274"/>
    </row>
    <row r="15451" spans="13:13" ht="15" customHeight="1" x14ac:dyDescent="0.25">
      <c r="M15451" s="274"/>
    </row>
    <row r="15452" spans="13:13" ht="15" customHeight="1" x14ac:dyDescent="0.25">
      <c r="M15452" s="274"/>
    </row>
    <row r="15453" spans="13:13" ht="15" customHeight="1" x14ac:dyDescent="0.25">
      <c r="M15453" s="274"/>
    </row>
    <row r="15454" spans="13:13" ht="15" customHeight="1" x14ac:dyDescent="0.25">
      <c r="M15454" s="274"/>
    </row>
    <row r="15455" spans="13:13" ht="15" customHeight="1" x14ac:dyDescent="0.25">
      <c r="M15455" s="274"/>
    </row>
    <row r="15456" spans="13:13" ht="15" customHeight="1" x14ac:dyDescent="0.25">
      <c r="M15456" s="274"/>
    </row>
    <row r="15457" spans="13:13" ht="15" customHeight="1" x14ac:dyDescent="0.25">
      <c r="M15457" s="274"/>
    </row>
    <row r="15458" spans="13:13" ht="15" customHeight="1" x14ac:dyDescent="0.25">
      <c r="M15458" s="274"/>
    </row>
    <row r="15459" spans="13:13" ht="15" customHeight="1" x14ac:dyDescent="0.25">
      <c r="M15459" s="274"/>
    </row>
    <row r="15460" spans="13:13" ht="15" customHeight="1" x14ac:dyDescent="0.25">
      <c r="M15460" s="274"/>
    </row>
    <row r="15461" spans="13:13" ht="15" customHeight="1" x14ac:dyDescent="0.25">
      <c r="M15461" s="274"/>
    </row>
    <row r="15462" spans="13:13" ht="15" customHeight="1" x14ac:dyDescent="0.25">
      <c r="M15462" s="274"/>
    </row>
    <row r="15463" spans="13:13" ht="15" customHeight="1" x14ac:dyDescent="0.25">
      <c r="M15463" s="274"/>
    </row>
    <row r="15464" spans="13:13" ht="15" customHeight="1" x14ac:dyDescent="0.25">
      <c r="M15464" s="274"/>
    </row>
    <row r="15465" spans="13:13" ht="15" customHeight="1" x14ac:dyDescent="0.25">
      <c r="M15465" s="274"/>
    </row>
    <row r="15466" spans="13:13" ht="15" customHeight="1" x14ac:dyDescent="0.25">
      <c r="M15466" s="274"/>
    </row>
    <row r="15467" spans="13:13" ht="15" customHeight="1" x14ac:dyDescent="0.25">
      <c r="M15467" s="274"/>
    </row>
    <row r="15468" spans="13:13" ht="15" customHeight="1" x14ac:dyDescent="0.25">
      <c r="M15468" s="274"/>
    </row>
    <row r="15469" spans="13:13" ht="15" customHeight="1" x14ac:dyDescent="0.25">
      <c r="M15469" s="274"/>
    </row>
    <row r="15470" spans="13:13" ht="15" customHeight="1" x14ac:dyDescent="0.25">
      <c r="M15470" s="274"/>
    </row>
    <row r="15471" spans="13:13" ht="15" customHeight="1" x14ac:dyDescent="0.25">
      <c r="M15471" s="274"/>
    </row>
    <row r="15472" spans="13:13" ht="15" customHeight="1" x14ac:dyDescent="0.25">
      <c r="M15472" s="274"/>
    </row>
    <row r="15473" spans="13:13" ht="15" customHeight="1" x14ac:dyDescent="0.25">
      <c r="M15473" s="274"/>
    </row>
    <row r="15474" spans="13:13" ht="15" customHeight="1" x14ac:dyDescent="0.25">
      <c r="M15474" s="274"/>
    </row>
    <row r="15475" spans="13:13" ht="15" customHeight="1" x14ac:dyDescent="0.25">
      <c r="M15475" s="274"/>
    </row>
    <row r="15476" spans="13:13" ht="15" customHeight="1" x14ac:dyDescent="0.25">
      <c r="M15476" s="274"/>
    </row>
    <row r="15477" spans="13:13" ht="15" customHeight="1" x14ac:dyDescent="0.25">
      <c r="M15477" s="274"/>
    </row>
    <row r="15478" spans="13:13" ht="15" customHeight="1" x14ac:dyDescent="0.25">
      <c r="M15478" s="274"/>
    </row>
    <row r="15479" spans="13:13" ht="15" customHeight="1" x14ac:dyDescent="0.25">
      <c r="M15479" s="274"/>
    </row>
    <row r="15480" spans="13:13" ht="15" customHeight="1" x14ac:dyDescent="0.25">
      <c r="M15480" s="274"/>
    </row>
    <row r="15481" spans="13:13" ht="15" customHeight="1" x14ac:dyDescent="0.25">
      <c r="M15481" s="274"/>
    </row>
    <row r="15482" spans="13:13" ht="15" customHeight="1" x14ac:dyDescent="0.25">
      <c r="M15482" s="274"/>
    </row>
    <row r="15483" spans="13:13" ht="15" customHeight="1" x14ac:dyDescent="0.25">
      <c r="M15483" s="274"/>
    </row>
    <row r="15484" spans="13:13" ht="15" customHeight="1" x14ac:dyDescent="0.25">
      <c r="M15484" s="274"/>
    </row>
    <row r="15485" spans="13:13" ht="15" customHeight="1" x14ac:dyDescent="0.25">
      <c r="M15485" s="274"/>
    </row>
    <row r="15486" spans="13:13" ht="15" customHeight="1" x14ac:dyDescent="0.25">
      <c r="M15486" s="274"/>
    </row>
    <row r="15487" spans="13:13" ht="15" customHeight="1" x14ac:dyDescent="0.25">
      <c r="M15487" s="274"/>
    </row>
    <row r="15488" spans="13:13" ht="15" customHeight="1" x14ac:dyDescent="0.25">
      <c r="M15488" s="274"/>
    </row>
    <row r="15489" spans="13:13" ht="15" customHeight="1" x14ac:dyDescent="0.25">
      <c r="M15489" s="274"/>
    </row>
    <row r="15490" spans="13:13" ht="15" customHeight="1" x14ac:dyDescent="0.25">
      <c r="M15490" s="274"/>
    </row>
    <row r="15491" spans="13:13" ht="15" customHeight="1" x14ac:dyDescent="0.25">
      <c r="M15491" s="274"/>
    </row>
    <row r="15492" spans="13:13" ht="15" customHeight="1" x14ac:dyDescent="0.25">
      <c r="M15492" s="274"/>
    </row>
    <row r="15493" spans="13:13" ht="15" customHeight="1" x14ac:dyDescent="0.25">
      <c r="M15493" s="274"/>
    </row>
    <row r="15494" spans="13:13" ht="15" customHeight="1" x14ac:dyDescent="0.25">
      <c r="M15494" s="274"/>
    </row>
    <row r="15495" spans="13:13" ht="15" customHeight="1" x14ac:dyDescent="0.25">
      <c r="M15495" s="274"/>
    </row>
    <row r="15496" spans="13:13" ht="15" customHeight="1" x14ac:dyDescent="0.25">
      <c r="M15496" s="274"/>
    </row>
    <row r="15497" spans="13:13" ht="15" customHeight="1" x14ac:dyDescent="0.25">
      <c r="M15497" s="274"/>
    </row>
    <row r="15498" spans="13:13" ht="15" customHeight="1" x14ac:dyDescent="0.25">
      <c r="M15498" s="274"/>
    </row>
    <row r="15499" spans="13:13" ht="15" customHeight="1" x14ac:dyDescent="0.25">
      <c r="M15499" s="274"/>
    </row>
    <row r="15500" spans="13:13" ht="15" customHeight="1" x14ac:dyDescent="0.25">
      <c r="M15500" s="274"/>
    </row>
    <row r="15501" spans="13:13" ht="15" customHeight="1" x14ac:dyDescent="0.25">
      <c r="M15501" s="274"/>
    </row>
    <row r="15502" spans="13:13" ht="15" customHeight="1" x14ac:dyDescent="0.25">
      <c r="M15502" s="274"/>
    </row>
    <row r="15503" spans="13:13" ht="15" customHeight="1" x14ac:dyDescent="0.25">
      <c r="M15503" s="274"/>
    </row>
    <row r="15504" spans="13:13" ht="15" customHeight="1" x14ac:dyDescent="0.25">
      <c r="M15504" s="274"/>
    </row>
    <row r="15505" spans="13:13" ht="15" customHeight="1" x14ac:dyDescent="0.25">
      <c r="M15505" s="274"/>
    </row>
    <row r="15506" spans="13:13" ht="15" customHeight="1" x14ac:dyDescent="0.25">
      <c r="M15506" s="274"/>
    </row>
    <row r="15507" spans="13:13" ht="15" customHeight="1" x14ac:dyDescent="0.25">
      <c r="M15507" s="274"/>
    </row>
    <row r="15508" spans="13:13" ht="15" customHeight="1" x14ac:dyDescent="0.25">
      <c r="M15508" s="274"/>
    </row>
    <row r="15509" spans="13:13" ht="15" customHeight="1" x14ac:dyDescent="0.25">
      <c r="M15509" s="274"/>
    </row>
    <row r="15510" spans="13:13" ht="15" customHeight="1" x14ac:dyDescent="0.25">
      <c r="M15510" s="274"/>
    </row>
    <row r="15511" spans="13:13" ht="15" customHeight="1" x14ac:dyDescent="0.25">
      <c r="M15511" s="274"/>
    </row>
    <row r="15512" spans="13:13" ht="15" customHeight="1" x14ac:dyDescent="0.25">
      <c r="M15512" s="274"/>
    </row>
    <row r="15513" spans="13:13" ht="15" customHeight="1" x14ac:dyDescent="0.25">
      <c r="M15513" s="274"/>
    </row>
    <row r="15514" spans="13:13" ht="15" customHeight="1" x14ac:dyDescent="0.25">
      <c r="M15514" s="274"/>
    </row>
    <row r="15515" spans="13:13" ht="15" customHeight="1" x14ac:dyDescent="0.25">
      <c r="M15515" s="274"/>
    </row>
    <row r="15516" spans="13:13" ht="15" customHeight="1" x14ac:dyDescent="0.25">
      <c r="M15516" s="274"/>
    </row>
    <row r="15517" spans="13:13" ht="15" customHeight="1" x14ac:dyDescent="0.25">
      <c r="M15517" s="274"/>
    </row>
    <row r="15518" spans="13:13" ht="15" customHeight="1" x14ac:dyDescent="0.25">
      <c r="M15518" s="274"/>
    </row>
    <row r="15519" spans="13:13" ht="15" customHeight="1" x14ac:dyDescent="0.25">
      <c r="M15519" s="274"/>
    </row>
    <row r="15520" spans="13:13" ht="15" customHeight="1" x14ac:dyDescent="0.25">
      <c r="M15520" s="274"/>
    </row>
    <row r="15521" spans="13:13" ht="15" customHeight="1" x14ac:dyDescent="0.25">
      <c r="M15521" s="274"/>
    </row>
    <row r="15522" spans="13:13" ht="15" customHeight="1" x14ac:dyDescent="0.25">
      <c r="M15522" s="274"/>
    </row>
    <row r="15523" spans="13:13" ht="15" customHeight="1" x14ac:dyDescent="0.25">
      <c r="M15523" s="274"/>
    </row>
    <row r="15524" spans="13:13" ht="15" customHeight="1" x14ac:dyDescent="0.25">
      <c r="M15524" s="274"/>
    </row>
    <row r="15525" spans="13:13" ht="15" customHeight="1" x14ac:dyDescent="0.25">
      <c r="M15525" s="274"/>
    </row>
    <row r="15526" spans="13:13" ht="15" customHeight="1" x14ac:dyDescent="0.25">
      <c r="M15526" s="274"/>
    </row>
    <row r="15527" spans="13:13" ht="15" customHeight="1" x14ac:dyDescent="0.25">
      <c r="M15527" s="274"/>
    </row>
    <row r="15528" spans="13:13" ht="15" customHeight="1" x14ac:dyDescent="0.25">
      <c r="M15528" s="274"/>
    </row>
    <row r="15529" spans="13:13" ht="15" customHeight="1" x14ac:dyDescent="0.25">
      <c r="M15529" s="274"/>
    </row>
    <row r="15530" spans="13:13" ht="15" customHeight="1" x14ac:dyDescent="0.25">
      <c r="M15530" s="274"/>
    </row>
    <row r="15531" spans="13:13" ht="15" customHeight="1" x14ac:dyDescent="0.25">
      <c r="M15531" s="274"/>
    </row>
    <row r="15532" spans="13:13" ht="15" customHeight="1" x14ac:dyDescent="0.25">
      <c r="M15532" s="274"/>
    </row>
    <row r="15533" spans="13:13" ht="15" customHeight="1" x14ac:dyDescent="0.25">
      <c r="M15533" s="274"/>
    </row>
    <row r="15534" spans="13:13" ht="15" customHeight="1" x14ac:dyDescent="0.25">
      <c r="M15534" s="274"/>
    </row>
    <row r="15535" spans="13:13" ht="15" customHeight="1" x14ac:dyDescent="0.25">
      <c r="M15535" s="274"/>
    </row>
    <row r="15536" spans="13:13" ht="15" customHeight="1" x14ac:dyDescent="0.25">
      <c r="M15536" s="274"/>
    </row>
    <row r="15537" spans="13:13" ht="15" customHeight="1" x14ac:dyDescent="0.25">
      <c r="M15537" s="274"/>
    </row>
    <row r="15538" spans="13:13" ht="15" customHeight="1" x14ac:dyDescent="0.25">
      <c r="M15538" s="274"/>
    </row>
    <row r="15539" spans="13:13" ht="15" customHeight="1" x14ac:dyDescent="0.25">
      <c r="M15539" s="274"/>
    </row>
    <row r="15540" spans="13:13" ht="15" customHeight="1" x14ac:dyDescent="0.25">
      <c r="M15540" s="274"/>
    </row>
    <row r="15541" spans="13:13" ht="15" customHeight="1" x14ac:dyDescent="0.25">
      <c r="M15541" s="274"/>
    </row>
    <row r="15542" spans="13:13" ht="15" customHeight="1" x14ac:dyDescent="0.25">
      <c r="M15542" s="274"/>
    </row>
    <row r="15543" spans="13:13" ht="15" customHeight="1" x14ac:dyDescent="0.25">
      <c r="M15543" s="274"/>
    </row>
    <row r="15544" spans="13:13" ht="15" customHeight="1" x14ac:dyDescent="0.25">
      <c r="M15544" s="274"/>
    </row>
    <row r="15545" spans="13:13" ht="15" customHeight="1" x14ac:dyDescent="0.25">
      <c r="M15545" s="274"/>
    </row>
    <row r="15546" spans="13:13" ht="15" customHeight="1" x14ac:dyDescent="0.25">
      <c r="M15546" s="274"/>
    </row>
    <row r="15547" spans="13:13" ht="15" customHeight="1" x14ac:dyDescent="0.25">
      <c r="M15547" s="274"/>
    </row>
    <row r="15548" spans="13:13" ht="15" customHeight="1" x14ac:dyDescent="0.25">
      <c r="M15548" s="274"/>
    </row>
    <row r="15549" spans="13:13" ht="15" customHeight="1" x14ac:dyDescent="0.25">
      <c r="M15549" s="274"/>
    </row>
    <row r="15550" spans="13:13" ht="15" customHeight="1" x14ac:dyDescent="0.25">
      <c r="M15550" s="274"/>
    </row>
    <row r="15551" spans="13:13" ht="15" customHeight="1" x14ac:dyDescent="0.25">
      <c r="M15551" s="274"/>
    </row>
    <row r="15552" spans="13:13" ht="15" customHeight="1" x14ac:dyDescent="0.25">
      <c r="M15552" s="274"/>
    </row>
    <row r="15553" spans="13:13" ht="15" customHeight="1" x14ac:dyDescent="0.25">
      <c r="M15553" s="274"/>
    </row>
    <row r="15554" spans="13:13" ht="15" customHeight="1" x14ac:dyDescent="0.25">
      <c r="M15554" s="274"/>
    </row>
    <row r="15555" spans="13:13" ht="15" customHeight="1" x14ac:dyDescent="0.25">
      <c r="M15555" s="274"/>
    </row>
    <row r="15556" spans="13:13" ht="15" customHeight="1" x14ac:dyDescent="0.25">
      <c r="M15556" s="274"/>
    </row>
    <row r="15557" spans="13:13" ht="15" customHeight="1" x14ac:dyDescent="0.25">
      <c r="M15557" s="274"/>
    </row>
    <row r="15558" spans="13:13" ht="15" customHeight="1" x14ac:dyDescent="0.25">
      <c r="M15558" s="274"/>
    </row>
    <row r="15559" spans="13:13" ht="15" customHeight="1" x14ac:dyDescent="0.25">
      <c r="M15559" s="274"/>
    </row>
    <row r="15560" spans="13:13" ht="15" customHeight="1" x14ac:dyDescent="0.25">
      <c r="M15560" s="274"/>
    </row>
    <row r="15561" spans="13:13" ht="15" customHeight="1" x14ac:dyDescent="0.25">
      <c r="M15561" s="274"/>
    </row>
    <row r="15562" spans="13:13" ht="15" customHeight="1" x14ac:dyDescent="0.25">
      <c r="M15562" s="274"/>
    </row>
    <row r="15563" spans="13:13" ht="15" customHeight="1" x14ac:dyDescent="0.25">
      <c r="M15563" s="274"/>
    </row>
    <row r="15564" spans="13:13" ht="15" customHeight="1" x14ac:dyDescent="0.25">
      <c r="M15564" s="274"/>
    </row>
    <row r="15565" spans="13:13" ht="15" customHeight="1" x14ac:dyDescent="0.25">
      <c r="M15565" s="274"/>
    </row>
    <row r="15566" spans="13:13" ht="15" customHeight="1" x14ac:dyDescent="0.25">
      <c r="M15566" s="274"/>
    </row>
    <row r="15567" spans="13:13" ht="15" customHeight="1" x14ac:dyDescent="0.25">
      <c r="M15567" s="274"/>
    </row>
    <row r="15568" spans="13:13" ht="15" customHeight="1" x14ac:dyDescent="0.25">
      <c r="M15568" s="274"/>
    </row>
    <row r="15569" spans="13:13" ht="15" customHeight="1" x14ac:dyDescent="0.25">
      <c r="M15569" s="274"/>
    </row>
    <row r="15570" spans="13:13" ht="15" customHeight="1" x14ac:dyDescent="0.25">
      <c r="M15570" s="274"/>
    </row>
    <row r="15571" spans="13:13" ht="15" customHeight="1" x14ac:dyDescent="0.25">
      <c r="M15571" s="274"/>
    </row>
    <row r="15572" spans="13:13" ht="15" customHeight="1" x14ac:dyDescent="0.25">
      <c r="M15572" s="274"/>
    </row>
    <row r="15573" spans="13:13" ht="15" customHeight="1" x14ac:dyDescent="0.25">
      <c r="M15573" s="274"/>
    </row>
    <row r="15574" spans="13:13" ht="15" customHeight="1" x14ac:dyDescent="0.25">
      <c r="M15574" s="274"/>
    </row>
    <row r="15575" spans="13:13" ht="15" customHeight="1" x14ac:dyDescent="0.25">
      <c r="M15575" s="274"/>
    </row>
    <row r="15576" spans="13:13" ht="15" customHeight="1" x14ac:dyDescent="0.25">
      <c r="M15576" s="274"/>
    </row>
    <row r="15577" spans="13:13" ht="15" customHeight="1" x14ac:dyDescent="0.25">
      <c r="M15577" s="274"/>
    </row>
    <row r="15578" spans="13:13" ht="15" customHeight="1" x14ac:dyDescent="0.25">
      <c r="M15578" s="274"/>
    </row>
    <row r="15579" spans="13:13" ht="15" customHeight="1" x14ac:dyDescent="0.25">
      <c r="M15579" s="274"/>
    </row>
    <row r="15580" spans="13:13" ht="15" customHeight="1" x14ac:dyDescent="0.25">
      <c r="M15580" s="274"/>
    </row>
    <row r="15581" spans="13:13" ht="15" customHeight="1" x14ac:dyDescent="0.25">
      <c r="M15581" s="274"/>
    </row>
    <row r="15582" spans="13:13" ht="15" customHeight="1" x14ac:dyDescent="0.25">
      <c r="M15582" s="274"/>
    </row>
    <row r="15583" spans="13:13" ht="15" customHeight="1" x14ac:dyDescent="0.25">
      <c r="M15583" s="274"/>
    </row>
    <row r="15584" spans="13:13" ht="15" customHeight="1" x14ac:dyDescent="0.25">
      <c r="M15584" s="274"/>
    </row>
    <row r="15585" spans="13:13" ht="15" customHeight="1" x14ac:dyDescent="0.25">
      <c r="M15585" s="274"/>
    </row>
    <row r="15586" spans="13:13" ht="15" customHeight="1" x14ac:dyDescent="0.25">
      <c r="M15586" s="274"/>
    </row>
    <row r="15587" spans="13:13" ht="15" customHeight="1" x14ac:dyDescent="0.25">
      <c r="M15587" s="274"/>
    </row>
    <row r="15588" spans="13:13" ht="15" customHeight="1" x14ac:dyDescent="0.25">
      <c r="M15588" s="274"/>
    </row>
    <row r="15589" spans="13:13" ht="15" customHeight="1" x14ac:dyDescent="0.25">
      <c r="M15589" s="274"/>
    </row>
    <row r="15590" spans="13:13" ht="15" customHeight="1" x14ac:dyDescent="0.25">
      <c r="M15590" s="274"/>
    </row>
    <row r="15591" spans="13:13" ht="15" customHeight="1" x14ac:dyDescent="0.25">
      <c r="M15591" s="274"/>
    </row>
    <row r="15592" spans="13:13" ht="15" customHeight="1" x14ac:dyDescent="0.25">
      <c r="M15592" s="274"/>
    </row>
    <row r="15593" spans="13:13" ht="15" customHeight="1" x14ac:dyDescent="0.25">
      <c r="M15593" s="274"/>
    </row>
    <row r="15594" spans="13:13" ht="15" customHeight="1" x14ac:dyDescent="0.25">
      <c r="M15594" s="274"/>
    </row>
    <row r="15595" spans="13:13" ht="15" customHeight="1" x14ac:dyDescent="0.25">
      <c r="M15595" s="274"/>
    </row>
    <row r="15596" spans="13:13" ht="15" customHeight="1" x14ac:dyDescent="0.25">
      <c r="M15596" s="274"/>
    </row>
    <row r="15597" spans="13:13" ht="15" customHeight="1" x14ac:dyDescent="0.25">
      <c r="M15597" s="274"/>
    </row>
    <row r="15598" spans="13:13" ht="15" customHeight="1" x14ac:dyDescent="0.25">
      <c r="M15598" s="274"/>
    </row>
    <row r="15599" spans="13:13" ht="15" customHeight="1" x14ac:dyDescent="0.25">
      <c r="M15599" s="274"/>
    </row>
    <row r="15600" spans="13:13" ht="15" customHeight="1" x14ac:dyDescent="0.25">
      <c r="M15600" s="274"/>
    </row>
    <row r="15601" spans="13:13" ht="15" customHeight="1" x14ac:dyDescent="0.25">
      <c r="M15601" s="274"/>
    </row>
    <row r="15602" spans="13:13" ht="15" customHeight="1" x14ac:dyDescent="0.25">
      <c r="M15602" s="274"/>
    </row>
    <row r="15603" spans="13:13" ht="15" customHeight="1" x14ac:dyDescent="0.25">
      <c r="M15603" s="274"/>
    </row>
    <row r="15604" spans="13:13" ht="15" customHeight="1" x14ac:dyDescent="0.25">
      <c r="M15604" s="274"/>
    </row>
    <row r="15605" spans="13:13" ht="15" customHeight="1" x14ac:dyDescent="0.25">
      <c r="M15605" s="274"/>
    </row>
    <row r="15606" spans="13:13" ht="15" customHeight="1" x14ac:dyDescent="0.25">
      <c r="M15606" s="274"/>
    </row>
    <row r="15607" spans="13:13" ht="15" customHeight="1" x14ac:dyDescent="0.25">
      <c r="M15607" s="274"/>
    </row>
    <row r="15608" spans="13:13" ht="15" customHeight="1" x14ac:dyDescent="0.25">
      <c r="M15608" s="274"/>
    </row>
    <row r="15609" spans="13:13" ht="15" customHeight="1" x14ac:dyDescent="0.25">
      <c r="M15609" s="274"/>
    </row>
    <row r="15610" spans="13:13" ht="15" customHeight="1" x14ac:dyDescent="0.25">
      <c r="M15610" s="274"/>
    </row>
    <row r="15611" spans="13:13" ht="15" customHeight="1" x14ac:dyDescent="0.25">
      <c r="M15611" s="274"/>
    </row>
    <row r="15612" spans="13:13" ht="15" customHeight="1" x14ac:dyDescent="0.25">
      <c r="M15612" s="274"/>
    </row>
    <row r="15613" spans="13:13" ht="15" customHeight="1" x14ac:dyDescent="0.25">
      <c r="M15613" s="274"/>
    </row>
    <row r="15614" spans="13:13" ht="15" customHeight="1" x14ac:dyDescent="0.25">
      <c r="M15614" s="274"/>
    </row>
    <row r="15615" spans="13:13" ht="15" customHeight="1" x14ac:dyDescent="0.25">
      <c r="M15615" s="274"/>
    </row>
    <row r="15616" spans="13:13" ht="15" customHeight="1" x14ac:dyDescent="0.25">
      <c r="M15616" s="274"/>
    </row>
    <row r="15617" spans="13:13" ht="15" customHeight="1" x14ac:dyDescent="0.25">
      <c r="M15617" s="274"/>
    </row>
    <row r="15618" spans="13:13" ht="15" customHeight="1" x14ac:dyDescent="0.25">
      <c r="M15618" s="274"/>
    </row>
    <row r="15619" spans="13:13" ht="15" customHeight="1" x14ac:dyDescent="0.25">
      <c r="M15619" s="274"/>
    </row>
    <row r="15620" spans="13:13" ht="15" customHeight="1" x14ac:dyDescent="0.25">
      <c r="M15620" s="274"/>
    </row>
    <row r="15621" spans="13:13" ht="15" customHeight="1" x14ac:dyDescent="0.25">
      <c r="M15621" s="274"/>
    </row>
    <row r="15622" spans="13:13" ht="15" customHeight="1" x14ac:dyDescent="0.25">
      <c r="M15622" s="274"/>
    </row>
    <row r="15623" spans="13:13" ht="15" customHeight="1" x14ac:dyDescent="0.25">
      <c r="M15623" s="274"/>
    </row>
    <row r="15624" spans="13:13" ht="15" customHeight="1" x14ac:dyDescent="0.25">
      <c r="M15624" s="274"/>
    </row>
    <row r="15625" spans="13:13" ht="15" customHeight="1" x14ac:dyDescent="0.25">
      <c r="M15625" s="274"/>
    </row>
    <row r="15626" spans="13:13" ht="15" customHeight="1" x14ac:dyDescent="0.25">
      <c r="M15626" s="274"/>
    </row>
    <row r="15627" spans="13:13" ht="15" customHeight="1" x14ac:dyDescent="0.25">
      <c r="M15627" s="274"/>
    </row>
    <row r="15628" spans="13:13" ht="15" customHeight="1" x14ac:dyDescent="0.25">
      <c r="M15628" s="274"/>
    </row>
    <row r="15629" spans="13:13" ht="15" customHeight="1" x14ac:dyDescent="0.25">
      <c r="M15629" s="274"/>
    </row>
    <row r="15630" spans="13:13" ht="15" customHeight="1" x14ac:dyDescent="0.25">
      <c r="M15630" s="274"/>
    </row>
    <row r="15631" spans="13:13" ht="15" customHeight="1" x14ac:dyDescent="0.25">
      <c r="M15631" s="274"/>
    </row>
    <row r="15632" spans="13:13" ht="15" customHeight="1" x14ac:dyDescent="0.25">
      <c r="M15632" s="274"/>
    </row>
    <row r="15633" spans="13:13" ht="15" customHeight="1" x14ac:dyDescent="0.25">
      <c r="M15633" s="274"/>
    </row>
    <row r="15634" spans="13:13" ht="15" customHeight="1" x14ac:dyDescent="0.25">
      <c r="M15634" s="274"/>
    </row>
    <row r="15635" spans="13:13" ht="15" customHeight="1" x14ac:dyDescent="0.25">
      <c r="M15635" s="274"/>
    </row>
    <row r="15636" spans="13:13" ht="15" customHeight="1" x14ac:dyDescent="0.25">
      <c r="M15636" s="274"/>
    </row>
    <row r="15637" spans="13:13" ht="15" customHeight="1" x14ac:dyDescent="0.25">
      <c r="M15637" s="274"/>
    </row>
    <row r="15638" spans="13:13" ht="15" customHeight="1" x14ac:dyDescent="0.25">
      <c r="M15638" s="274"/>
    </row>
    <row r="15639" spans="13:13" ht="15" customHeight="1" x14ac:dyDescent="0.25">
      <c r="M15639" s="274"/>
    </row>
    <row r="15640" spans="13:13" ht="15" customHeight="1" x14ac:dyDescent="0.25">
      <c r="M15640" s="274"/>
    </row>
    <row r="15641" spans="13:13" ht="15" customHeight="1" x14ac:dyDescent="0.25">
      <c r="M15641" s="274"/>
    </row>
    <row r="15642" spans="13:13" ht="15" customHeight="1" x14ac:dyDescent="0.25">
      <c r="M15642" s="274"/>
    </row>
    <row r="15643" spans="13:13" ht="15" customHeight="1" x14ac:dyDescent="0.25">
      <c r="M15643" s="274"/>
    </row>
    <row r="15644" spans="13:13" ht="15" customHeight="1" x14ac:dyDescent="0.25">
      <c r="M15644" s="274"/>
    </row>
    <row r="15645" spans="13:13" ht="15" customHeight="1" x14ac:dyDescent="0.25">
      <c r="M15645" s="274"/>
    </row>
    <row r="15646" spans="13:13" ht="15" customHeight="1" x14ac:dyDescent="0.25">
      <c r="M15646" s="274"/>
    </row>
    <row r="15647" spans="13:13" ht="15" customHeight="1" x14ac:dyDescent="0.25">
      <c r="M15647" s="274"/>
    </row>
    <row r="15648" spans="13:13" ht="15" customHeight="1" x14ac:dyDescent="0.25">
      <c r="M15648" s="274"/>
    </row>
    <row r="15649" spans="13:13" ht="15" customHeight="1" x14ac:dyDescent="0.25">
      <c r="M15649" s="274"/>
    </row>
    <row r="15650" spans="13:13" ht="15" customHeight="1" x14ac:dyDescent="0.25">
      <c r="M15650" s="274"/>
    </row>
    <row r="15651" spans="13:13" ht="15" customHeight="1" x14ac:dyDescent="0.25">
      <c r="M15651" s="274"/>
    </row>
    <row r="15652" spans="13:13" ht="15" customHeight="1" x14ac:dyDescent="0.25">
      <c r="M15652" s="274"/>
    </row>
    <row r="15653" spans="13:13" ht="15" customHeight="1" x14ac:dyDescent="0.25">
      <c r="M15653" s="274"/>
    </row>
    <row r="15654" spans="13:13" ht="15" customHeight="1" x14ac:dyDescent="0.25">
      <c r="M15654" s="274"/>
    </row>
    <row r="15655" spans="13:13" ht="15" customHeight="1" x14ac:dyDescent="0.25">
      <c r="M15655" s="274"/>
    </row>
    <row r="15656" spans="13:13" ht="15" customHeight="1" x14ac:dyDescent="0.25">
      <c r="M15656" s="274"/>
    </row>
    <row r="15657" spans="13:13" ht="15" customHeight="1" x14ac:dyDescent="0.25">
      <c r="M15657" s="274"/>
    </row>
    <row r="15658" spans="13:13" ht="15" customHeight="1" x14ac:dyDescent="0.25">
      <c r="M15658" s="274"/>
    </row>
    <row r="15659" spans="13:13" ht="15" customHeight="1" x14ac:dyDescent="0.25">
      <c r="M15659" s="274"/>
    </row>
    <row r="15660" spans="13:13" ht="15" customHeight="1" x14ac:dyDescent="0.25">
      <c r="M15660" s="274"/>
    </row>
    <row r="15661" spans="13:13" ht="15" customHeight="1" x14ac:dyDescent="0.25">
      <c r="M15661" s="274"/>
    </row>
    <row r="15662" spans="13:13" ht="15" customHeight="1" x14ac:dyDescent="0.25">
      <c r="M15662" s="274"/>
    </row>
    <row r="15663" spans="13:13" ht="15" customHeight="1" x14ac:dyDescent="0.25">
      <c r="M15663" s="274"/>
    </row>
    <row r="15664" spans="13:13" ht="15" customHeight="1" x14ac:dyDescent="0.25">
      <c r="M15664" s="274"/>
    </row>
    <row r="15665" spans="13:13" ht="15" customHeight="1" x14ac:dyDescent="0.25">
      <c r="M15665" s="274"/>
    </row>
    <row r="15666" spans="13:13" ht="15" customHeight="1" x14ac:dyDescent="0.25">
      <c r="M15666" s="274"/>
    </row>
    <row r="15667" spans="13:13" ht="15" customHeight="1" x14ac:dyDescent="0.25">
      <c r="M15667" s="274"/>
    </row>
    <row r="15668" spans="13:13" ht="15" customHeight="1" x14ac:dyDescent="0.25">
      <c r="M15668" s="274"/>
    </row>
    <row r="15669" spans="13:13" ht="15" customHeight="1" x14ac:dyDescent="0.25">
      <c r="M15669" s="274"/>
    </row>
    <row r="15670" spans="13:13" ht="15" customHeight="1" x14ac:dyDescent="0.25">
      <c r="M15670" s="274"/>
    </row>
    <row r="15671" spans="13:13" ht="15" customHeight="1" x14ac:dyDescent="0.25">
      <c r="M15671" s="274"/>
    </row>
    <row r="15672" spans="13:13" ht="15" customHeight="1" x14ac:dyDescent="0.25">
      <c r="M15672" s="274"/>
    </row>
    <row r="15673" spans="13:13" ht="15" customHeight="1" x14ac:dyDescent="0.25">
      <c r="M15673" s="274"/>
    </row>
    <row r="15674" spans="13:13" ht="15" customHeight="1" x14ac:dyDescent="0.25">
      <c r="M15674" s="274"/>
    </row>
    <row r="15675" spans="13:13" ht="15" customHeight="1" x14ac:dyDescent="0.25">
      <c r="M15675" s="274"/>
    </row>
    <row r="15676" spans="13:13" ht="15" customHeight="1" x14ac:dyDescent="0.25">
      <c r="M15676" s="274"/>
    </row>
    <row r="15677" spans="13:13" ht="15" customHeight="1" x14ac:dyDescent="0.25">
      <c r="M15677" s="274"/>
    </row>
    <row r="15678" spans="13:13" ht="15" customHeight="1" x14ac:dyDescent="0.25">
      <c r="M15678" s="274"/>
    </row>
    <row r="15679" spans="13:13" ht="15" customHeight="1" x14ac:dyDescent="0.25">
      <c r="M15679" s="274"/>
    </row>
    <row r="15680" spans="13:13" ht="15" customHeight="1" x14ac:dyDescent="0.25">
      <c r="M15680" s="274"/>
    </row>
    <row r="15681" spans="13:13" ht="15" customHeight="1" x14ac:dyDescent="0.25">
      <c r="M15681" s="274"/>
    </row>
    <row r="15682" spans="13:13" ht="15" customHeight="1" x14ac:dyDescent="0.25">
      <c r="M15682" s="274"/>
    </row>
    <row r="15683" spans="13:13" ht="15" customHeight="1" x14ac:dyDescent="0.25">
      <c r="M15683" s="274"/>
    </row>
    <row r="15684" spans="13:13" ht="15" customHeight="1" x14ac:dyDescent="0.25">
      <c r="M15684" s="274"/>
    </row>
    <row r="15685" spans="13:13" ht="15" customHeight="1" x14ac:dyDescent="0.25">
      <c r="M15685" s="274"/>
    </row>
    <row r="15686" spans="13:13" ht="15" customHeight="1" x14ac:dyDescent="0.25">
      <c r="M15686" s="274"/>
    </row>
    <row r="15687" spans="13:13" ht="15" customHeight="1" x14ac:dyDescent="0.25">
      <c r="M15687" s="274"/>
    </row>
    <row r="15688" spans="13:13" ht="15" customHeight="1" x14ac:dyDescent="0.25">
      <c r="M15688" s="274"/>
    </row>
    <row r="15689" spans="13:13" ht="15" customHeight="1" x14ac:dyDescent="0.25">
      <c r="M15689" s="274"/>
    </row>
    <row r="15690" spans="13:13" ht="15" customHeight="1" x14ac:dyDescent="0.25">
      <c r="M15690" s="274"/>
    </row>
    <row r="15691" spans="13:13" ht="15" customHeight="1" x14ac:dyDescent="0.25">
      <c r="M15691" s="274"/>
    </row>
    <row r="15692" spans="13:13" ht="15" customHeight="1" x14ac:dyDescent="0.25">
      <c r="M15692" s="274"/>
    </row>
    <row r="15693" spans="13:13" ht="15" customHeight="1" x14ac:dyDescent="0.25">
      <c r="M15693" s="274"/>
    </row>
    <row r="15694" spans="13:13" ht="15" customHeight="1" x14ac:dyDescent="0.25">
      <c r="M15694" s="274"/>
    </row>
    <row r="15695" spans="13:13" ht="15" customHeight="1" x14ac:dyDescent="0.25">
      <c r="M15695" s="274"/>
    </row>
    <row r="15696" spans="13:13" ht="15" customHeight="1" x14ac:dyDescent="0.25">
      <c r="M15696" s="274"/>
    </row>
    <row r="15697" spans="13:13" ht="15" customHeight="1" x14ac:dyDescent="0.25">
      <c r="M15697" s="274"/>
    </row>
    <row r="15698" spans="13:13" ht="15" customHeight="1" x14ac:dyDescent="0.25">
      <c r="M15698" s="274"/>
    </row>
    <row r="15699" spans="13:13" ht="15" customHeight="1" x14ac:dyDescent="0.25">
      <c r="M15699" s="274"/>
    </row>
    <row r="15700" spans="13:13" ht="15" customHeight="1" x14ac:dyDescent="0.25">
      <c r="M15700" s="274"/>
    </row>
    <row r="15701" spans="13:13" ht="15" customHeight="1" x14ac:dyDescent="0.25">
      <c r="M15701" s="274"/>
    </row>
    <row r="15702" spans="13:13" ht="15" customHeight="1" x14ac:dyDescent="0.25">
      <c r="M15702" s="274"/>
    </row>
    <row r="15703" spans="13:13" ht="15" customHeight="1" x14ac:dyDescent="0.25">
      <c r="M15703" s="274"/>
    </row>
    <row r="15704" spans="13:13" ht="15" customHeight="1" x14ac:dyDescent="0.25">
      <c r="M15704" s="274"/>
    </row>
    <row r="15705" spans="13:13" ht="15" customHeight="1" x14ac:dyDescent="0.25">
      <c r="M15705" s="274"/>
    </row>
    <row r="15706" spans="13:13" ht="15" customHeight="1" x14ac:dyDescent="0.25">
      <c r="M15706" s="274"/>
    </row>
    <row r="15707" spans="13:13" ht="15" customHeight="1" x14ac:dyDescent="0.25">
      <c r="M15707" s="274"/>
    </row>
    <row r="15708" spans="13:13" ht="15" customHeight="1" x14ac:dyDescent="0.25">
      <c r="M15708" s="274"/>
    </row>
    <row r="15709" spans="13:13" ht="15" customHeight="1" x14ac:dyDescent="0.25">
      <c r="M15709" s="274"/>
    </row>
    <row r="15710" spans="13:13" ht="15" customHeight="1" x14ac:dyDescent="0.25">
      <c r="M15710" s="274"/>
    </row>
    <row r="15711" spans="13:13" ht="15" customHeight="1" x14ac:dyDescent="0.25">
      <c r="M15711" s="274"/>
    </row>
    <row r="15712" spans="13:13" ht="15" customHeight="1" x14ac:dyDescent="0.25">
      <c r="M15712" s="274"/>
    </row>
    <row r="15713" spans="13:13" ht="15" customHeight="1" x14ac:dyDescent="0.25">
      <c r="M15713" s="274"/>
    </row>
    <row r="15714" spans="13:13" ht="15" customHeight="1" x14ac:dyDescent="0.25">
      <c r="M15714" s="274"/>
    </row>
    <row r="15715" spans="13:13" ht="15" customHeight="1" x14ac:dyDescent="0.25">
      <c r="M15715" s="274"/>
    </row>
    <row r="15716" spans="13:13" ht="15" customHeight="1" x14ac:dyDescent="0.25">
      <c r="M15716" s="274"/>
    </row>
    <row r="15717" spans="13:13" ht="15" customHeight="1" x14ac:dyDescent="0.25">
      <c r="M15717" s="274"/>
    </row>
    <row r="15718" spans="13:13" ht="15" customHeight="1" x14ac:dyDescent="0.25">
      <c r="M15718" s="274"/>
    </row>
    <row r="15719" spans="13:13" ht="15" customHeight="1" x14ac:dyDescent="0.25">
      <c r="M15719" s="274"/>
    </row>
    <row r="15720" spans="13:13" ht="15" customHeight="1" x14ac:dyDescent="0.25">
      <c r="M15720" s="274"/>
    </row>
    <row r="15721" spans="13:13" ht="15" customHeight="1" x14ac:dyDescent="0.25">
      <c r="M15721" s="274"/>
    </row>
    <row r="15722" spans="13:13" ht="15" customHeight="1" x14ac:dyDescent="0.25">
      <c r="M15722" s="274"/>
    </row>
    <row r="15723" spans="13:13" ht="15" customHeight="1" x14ac:dyDescent="0.25">
      <c r="M15723" s="274"/>
    </row>
    <row r="15724" spans="13:13" ht="15" customHeight="1" x14ac:dyDescent="0.25">
      <c r="M15724" s="274"/>
    </row>
    <row r="15725" spans="13:13" ht="15" customHeight="1" x14ac:dyDescent="0.25">
      <c r="M15725" s="274"/>
    </row>
    <row r="15726" spans="13:13" ht="15" customHeight="1" x14ac:dyDescent="0.25">
      <c r="M15726" s="274"/>
    </row>
    <row r="15727" spans="13:13" ht="15" customHeight="1" x14ac:dyDescent="0.25">
      <c r="M15727" s="274"/>
    </row>
    <row r="15728" spans="13:13" ht="15" customHeight="1" x14ac:dyDescent="0.25">
      <c r="M15728" s="274"/>
    </row>
    <row r="15729" spans="13:13" ht="15" customHeight="1" x14ac:dyDescent="0.25">
      <c r="M15729" s="274"/>
    </row>
    <row r="15730" spans="13:13" ht="15" customHeight="1" x14ac:dyDescent="0.25">
      <c r="M15730" s="274"/>
    </row>
    <row r="15731" spans="13:13" ht="15" customHeight="1" x14ac:dyDescent="0.25">
      <c r="M15731" s="274"/>
    </row>
    <row r="15732" spans="13:13" ht="15" customHeight="1" x14ac:dyDescent="0.25">
      <c r="M15732" s="274"/>
    </row>
    <row r="15733" spans="13:13" ht="15" customHeight="1" x14ac:dyDescent="0.25">
      <c r="M15733" s="274"/>
    </row>
    <row r="15734" spans="13:13" ht="15" customHeight="1" x14ac:dyDescent="0.25">
      <c r="M15734" s="274"/>
    </row>
    <row r="15735" spans="13:13" ht="15" customHeight="1" x14ac:dyDescent="0.25">
      <c r="M15735" s="274"/>
    </row>
    <row r="15736" spans="13:13" ht="15" customHeight="1" x14ac:dyDescent="0.25">
      <c r="M15736" s="274"/>
    </row>
    <row r="15737" spans="13:13" ht="15" customHeight="1" x14ac:dyDescent="0.25">
      <c r="M15737" s="274"/>
    </row>
    <row r="15738" spans="13:13" ht="15" customHeight="1" x14ac:dyDescent="0.25">
      <c r="M15738" s="274"/>
    </row>
    <row r="15739" spans="13:13" ht="15" customHeight="1" x14ac:dyDescent="0.25">
      <c r="M15739" s="274"/>
    </row>
    <row r="15740" spans="13:13" ht="15" customHeight="1" x14ac:dyDescent="0.25">
      <c r="M15740" s="274"/>
    </row>
    <row r="15741" spans="13:13" ht="15" customHeight="1" x14ac:dyDescent="0.25">
      <c r="M15741" s="274"/>
    </row>
    <row r="15742" spans="13:13" ht="15" customHeight="1" x14ac:dyDescent="0.25">
      <c r="M15742" s="274"/>
    </row>
    <row r="15743" spans="13:13" ht="15" customHeight="1" x14ac:dyDescent="0.25">
      <c r="M15743" s="274"/>
    </row>
    <row r="15744" spans="13:13" ht="15" customHeight="1" x14ac:dyDescent="0.25">
      <c r="M15744" s="274"/>
    </row>
    <row r="15745" spans="13:13" ht="15" customHeight="1" x14ac:dyDescent="0.25">
      <c r="M15745" s="274"/>
    </row>
    <row r="15746" spans="13:13" ht="15" customHeight="1" x14ac:dyDescent="0.25">
      <c r="M15746" s="274"/>
    </row>
    <row r="15747" spans="13:13" ht="15" customHeight="1" x14ac:dyDescent="0.25">
      <c r="M15747" s="274"/>
    </row>
    <row r="15748" spans="13:13" ht="15" customHeight="1" x14ac:dyDescent="0.25">
      <c r="M15748" s="274"/>
    </row>
    <row r="15749" spans="13:13" ht="15" customHeight="1" x14ac:dyDescent="0.25">
      <c r="M15749" s="274"/>
    </row>
    <row r="15750" spans="13:13" ht="15" customHeight="1" x14ac:dyDescent="0.25">
      <c r="M15750" s="274"/>
    </row>
    <row r="15751" spans="13:13" ht="15" customHeight="1" x14ac:dyDescent="0.25">
      <c r="M15751" s="274"/>
    </row>
    <row r="15752" spans="13:13" ht="15" customHeight="1" x14ac:dyDescent="0.25">
      <c r="M15752" s="274"/>
    </row>
    <row r="15753" spans="13:13" ht="15" customHeight="1" x14ac:dyDescent="0.25">
      <c r="M15753" s="274"/>
    </row>
    <row r="15754" spans="13:13" ht="15" customHeight="1" x14ac:dyDescent="0.25">
      <c r="M15754" s="274"/>
    </row>
    <row r="15755" spans="13:13" ht="15" customHeight="1" x14ac:dyDescent="0.25">
      <c r="M15755" s="274"/>
    </row>
    <row r="15756" spans="13:13" ht="15" customHeight="1" x14ac:dyDescent="0.25">
      <c r="M15756" s="274"/>
    </row>
    <row r="15757" spans="13:13" ht="15" customHeight="1" x14ac:dyDescent="0.25">
      <c r="M15757" s="274"/>
    </row>
    <row r="15758" spans="13:13" ht="15" customHeight="1" x14ac:dyDescent="0.25">
      <c r="M15758" s="274"/>
    </row>
    <row r="15759" spans="13:13" ht="15" customHeight="1" x14ac:dyDescent="0.25">
      <c r="M15759" s="274"/>
    </row>
    <row r="15760" spans="13:13" ht="15" customHeight="1" x14ac:dyDescent="0.25">
      <c r="M15760" s="274"/>
    </row>
    <row r="15761" spans="13:13" ht="15" customHeight="1" x14ac:dyDescent="0.25">
      <c r="M15761" s="274"/>
    </row>
    <row r="15762" spans="13:13" ht="15" customHeight="1" x14ac:dyDescent="0.25">
      <c r="M15762" s="274"/>
    </row>
    <row r="15763" spans="13:13" ht="15" customHeight="1" x14ac:dyDescent="0.25">
      <c r="M15763" s="274"/>
    </row>
    <row r="15764" spans="13:13" ht="15" customHeight="1" x14ac:dyDescent="0.25">
      <c r="M15764" s="274"/>
    </row>
    <row r="15765" spans="13:13" ht="15" customHeight="1" x14ac:dyDescent="0.25">
      <c r="M15765" s="274"/>
    </row>
    <row r="15766" spans="13:13" ht="15" customHeight="1" x14ac:dyDescent="0.25">
      <c r="M15766" s="274"/>
    </row>
    <row r="15767" spans="13:13" ht="15" customHeight="1" x14ac:dyDescent="0.25">
      <c r="M15767" s="274"/>
    </row>
    <row r="15768" spans="13:13" ht="15" customHeight="1" x14ac:dyDescent="0.25">
      <c r="M15768" s="274"/>
    </row>
    <row r="15769" spans="13:13" ht="15" customHeight="1" x14ac:dyDescent="0.25">
      <c r="M15769" s="274"/>
    </row>
    <row r="15770" spans="13:13" ht="15" customHeight="1" x14ac:dyDescent="0.25">
      <c r="M15770" s="274"/>
    </row>
    <row r="15771" spans="13:13" ht="15" customHeight="1" x14ac:dyDescent="0.25">
      <c r="M15771" s="274"/>
    </row>
    <row r="15772" spans="13:13" ht="15" customHeight="1" x14ac:dyDescent="0.25">
      <c r="M15772" s="274"/>
    </row>
    <row r="15773" spans="13:13" ht="15" customHeight="1" x14ac:dyDescent="0.25">
      <c r="M15773" s="274"/>
    </row>
    <row r="15774" spans="13:13" ht="15" customHeight="1" x14ac:dyDescent="0.25">
      <c r="M15774" s="274"/>
    </row>
    <row r="15775" spans="13:13" ht="15" customHeight="1" x14ac:dyDescent="0.25">
      <c r="M15775" s="274"/>
    </row>
    <row r="15776" spans="13:13" ht="15" customHeight="1" x14ac:dyDescent="0.25">
      <c r="M15776" s="274"/>
    </row>
    <row r="15777" spans="13:13" ht="15" customHeight="1" x14ac:dyDescent="0.25">
      <c r="M15777" s="274"/>
    </row>
    <row r="15778" spans="13:13" ht="15" customHeight="1" x14ac:dyDescent="0.25">
      <c r="M15778" s="274"/>
    </row>
    <row r="15779" spans="13:13" ht="15" customHeight="1" x14ac:dyDescent="0.25">
      <c r="M15779" s="274"/>
    </row>
    <row r="15780" spans="13:13" ht="15" customHeight="1" x14ac:dyDescent="0.25">
      <c r="M15780" s="274"/>
    </row>
    <row r="15781" spans="13:13" ht="15" customHeight="1" x14ac:dyDescent="0.25">
      <c r="M15781" s="274"/>
    </row>
    <row r="15782" spans="13:13" ht="15" customHeight="1" x14ac:dyDescent="0.25">
      <c r="M15782" s="274"/>
    </row>
    <row r="15783" spans="13:13" ht="15" customHeight="1" x14ac:dyDescent="0.25">
      <c r="M15783" s="274"/>
    </row>
    <row r="15784" spans="13:13" ht="15" customHeight="1" x14ac:dyDescent="0.25">
      <c r="M15784" s="274"/>
    </row>
    <row r="15785" spans="13:13" ht="15" customHeight="1" x14ac:dyDescent="0.25">
      <c r="M15785" s="274"/>
    </row>
    <row r="15786" spans="13:13" ht="15" customHeight="1" x14ac:dyDescent="0.25">
      <c r="M15786" s="274"/>
    </row>
    <row r="15787" spans="13:13" ht="15" customHeight="1" x14ac:dyDescent="0.25">
      <c r="M15787" s="274"/>
    </row>
    <row r="15788" spans="13:13" ht="15" customHeight="1" x14ac:dyDescent="0.25">
      <c r="M15788" s="274"/>
    </row>
    <row r="15789" spans="13:13" ht="15" customHeight="1" x14ac:dyDescent="0.25">
      <c r="M15789" s="274"/>
    </row>
    <row r="15790" spans="13:13" ht="15" customHeight="1" x14ac:dyDescent="0.25">
      <c r="M15790" s="274"/>
    </row>
    <row r="15791" spans="13:13" ht="15" customHeight="1" x14ac:dyDescent="0.25">
      <c r="M15791" s="274"/>
    </row>
    <row r="15792" spans="13:13" ht="15" customHeight="1" x14ac:dyDescent="0.25">
      <c r="M15792" s="274"/>
    </row>
    <row r="15793" spans="13:13" ht="15" customHeight="1" x14ac:dyDescent="0.25">
      <c r="M15793" s="274"/>
    </row>
    <row r="15794" spans="13:13" ht="15" customHeight="1" x14ac:dyDescent="0.25">
      <c r="M15794" s="274"/>
    </row>
    <row r="15795" spans="13:13" ht="15" customHeight="1" x14ac:dyDescent="0.25">
      <c r="M15795" s="274"/>
    </row>
    <row r="15796" spans="13:13" ht="15" customHeight="1" x14ac:dyDescent="0.25">
      <c r="M15796" s="274"/>
    </row>
    <row r="15797" spans="13:13" ht="15" customHeight="1" x14ac:dyDescent="0.25">
      <c r="M15797" s="274"/>
    </row>
    <row r="15798" spans="13:13" ht="15" customHeight="1" x14ac:dyDescent="0.25">
      <c r="M15798" s="274"/>
    </row>
    <row r="15799" spans="13:13" ht="15" customHeight="1" x14ac:dyDescent="0.25">
      <c r="M15799" s="274"/>
    </row>
    <row r="15800" spans="13:13" ht="15" customHeight="1" x14ac:dyDescent="0.25">
      <c r="M15800" s="274"/>
    </row>
    <row r="15801" spans="13:13" ht="15" customHeight="1" x14ac:dyDescent="0.25">
      <c r="M15801" s="274"/>
    </row>
    <row r="15802" spans="13:13" ht="15" customHeight="1" x14ac:dyDescent="0.25">
      <c r="M15802" s="274"/>
    </row>
    <row r="15803" spans="13:13" ht="15" customHeight="1" x14ac:dyDescent="0.25">
      <c r="M15803" s="274"/>
    </row>
    <row r="15804" spans="13:13" ht="15" customHeight="1" x14ac:dyDescent="0.25">
      <c r="M15804" s="274"/>
    </row>
    <row r="15805" spans="13:13" ht="15" customHeight="1" x14ac:dyDescent="0.25">
      <c r="M15805" s="274"/>
    </row>
    <row r="15806" spans="13:13" ht="15" customHeight="1" x14ac:dyDescent="0.25">
      <c r="M15806" s="274"/>
    </row>
    <row r="15807" spans="13:13" ht="15" customHeight="1" x14ac:dyDescent="0.25">
      <c r="M15807" s="274"/>
    </row>
    <row r="15808" spans="13:13" ht="15" customHeight="1" x14ac:dyDescent="0.25">
      <c r="M15808" s="274"/>
    </row>
    <row r="15809" spans="13:13" ht="15" customHeight="1" x14ac:dyDescent="0.25">
      <c r="M15809" s="274"/>
    </row>
    <row r="15810" spans="13:13" ht="15" customHeight="1" x14ac:dyDescent="0.25">
      <c r="M15810" s="274"/>
    </row>
    <row r="15811" spans="13:13" ht="15" customHeight="1" x14ac:dyDescent="0.25">
      <c r="M15811" s="274"/>
    </row>
    <row r="15812" spans="13:13" ht="15" customHeight="1" x14ac:dyDescent="0.25">
      <c r="M15812" s="274"/>
    </row>
    <row r="15813" spans="13:13" ht="15" customHeight="1" x14ac:dyDescent="0.25">
      <c r="M15813" s="274"/>
    </row>
    <row r="15814" spans="13:13" ht="15" customHeight="1" x14ac:dyDescent="0.25">
      <c r="M15814" s="274"/>
    </row>
    <row r="15815" spans="13:13" ht="15" customHeight="1" x14ac:dyDescent="0.25">
      <c r="M15815" s="274"/>
    </row>
    <row r="15816" spans="13:13" ht="15" customHeight="1" x14ac:dyDescent="0.25">
      <c r="M15816" s="274"/>
    </row>
    <row r="15817" spans="13:13" ht="15" customHeight="1" x14ac:dyDescent="0.25">
      <c r="M15817" s="274"/>
    </row>
    <row r="15818" spans="13:13" ht="15" customHeight="1" x14ac:dyDescent="0.25">
      <c r="M15818" s="274"/>
    </row>
    <row r="15819" spans="13:13" ht="15" customHeight="1" x14ac:dyDescent="0.25">
      <c r="M15819" s="274"/>
    </row>
    <row r="15820" spans="13:13" ht="15" customHeight="1" x14ac:dyDescent="0.25">
      <c r="M15820" s="274"/>
    </row>
    <row r="15821" spans="13:13" ht="15" customHeight="1" x14ac:dyDescent="0.25">
      <c r="M15821" s="274"/>
    </row>
    <row r="15822" spans="13:13" ht="15" customHeight="1" x14ac:dyDescent="0.25">
      <c r="M15822" s="274"/>
    </row>
    <row r="15823" spans="13:13" ht="15" customHeight="1" x14ac:dyDescent="0.25">
      <c r="M15823" s="274"/>
    </row>
    <row r="15824" spans="13:13" ht="15" customHeight="1" x14ac:dyDescent="0.25">
      <c r="M15824" s="274"/>
    </row>
    <row r="15825" spans="13:13" ht="15" customHeight="1" x14ac:dyDescent="0.25">
      <c r="M15825" s="274"/>
    </row>
    <row r="15826" spans="13:13" ht="15" customHeight="1" x14ac:dyDescent="0.25">
      <c r="M15826" s="274"/>
    </row>
    <row r="15827" spans="13:13" ht="15" customHeight="1" x14ac:dyDescent="0.25">
      <c r="M15827" s="274"/>
    </row>
    <row r="15828" spans="13:13" ht="15" customHeight="1" x14ac:dyDescent="0.25">
      <c r="M15828" s="274"/>
    </row>
    <row r="15829" spans="13:13" ht="15" customHeight="1" x14ac:dyDescent="0.25">
      <c r="M15829" s="274"/>
    </row>
    <row r="15830" spans="13:13" ht="15" customHeight="1" x14ac:dyDescent="0.25">
      <c r="M15830" s="274"/>
    </row>
    <row r="15831" spans="13:13" ht="15" customHeight="1" x14ac:dyDescent="0.25">
      <c r="M15831" s="274"/>
    </row>
    <row r="15832" spans="13:13" ht="15" customHeight="1" x14ac:dyDescent="0.25">
      <c r="M15832" s="274"/>
    </row>
    <row r="15833" spans="13:13" ht="15" customHeight="1" x14ac:dyDescent="0.25">
      <c r="M15833" s="274"/>
    </row>
    <row r="15834" spans="13:13" ht="15" customHeight="1" x14ac:dyDescent="0.25">
      <c r="M15834" s="274"/>
    </row>
    <row r="15835" spans="13:13" ht="15" customHeight="1" x14ac:dyDescent="0.25">
      <c r="M15835" s="274"/>
    </row>
    <row r="15836" spans="13:13" ht="15" customHeight="1" x14ac:dyDescent="0.25">
      <c r="M15836" s="274"/>
    </row>
    <row r="15837" spans="13:13" ht="15" customHeight="1" x14ac:dyDescent="0.25">
      <c r="M15837" s="274"/>
    </row>
    <row r="15838" spans="13:13" ht="15" customHeight="1" x14ac:dyDescent="0.25">
      <c r="M15838" s="274"/>
    </row>
    <row r="15839" spans="13:13" ht="15" customHeight="1" x14ac:dyDescent="0.25">
      <c r="M15839" s="274"/>
    </row>
    <row r="15840" spans="13:13" ht="15" customHeight="1" x14ac:dyDescent="0.25">
      <c r="M15840" s="274"/>
    </row>
    <row r="15841" spans="13:13" ht="15" customHeight="1" x14ac:dyDescent="0.25">
      <c r="M15841" s="274"/>
    </row>
    <row r="15842" spans="13:13" ht="15" customHeight="1" x14ac:dyDescent="0.25">
      <c r="M15842" s="274"/>
    </row>
    <row r="15843" spans="13:13" ht="15" customHeight="1" x14ac:dyDescent="0.25">
      <c r="M15843" s="274"/>
    </row>
    <row r="15844" spans="13:13" ht="15" customHeight="1" x14ac:dyDescent="0.25">
      <c r="M15844" s="274"/>
    </row>
    <row r="15845" spans="13:13" ht="15" customHeight="1" x14ac:dyDescent="0.25">
      <c r="M15845" s="274"/>
    </row>
    <row r="15846" spans="13:13" ht="15" customHeight="1" x14ac:dyDescent="0.25">
      <c r="M15846" s="274"/>
    </row>
    <row r="15847" spans="13:13" ht="15" customHeight="1" x14ac:dyDescent="0.25">
      <c r="M15847" s="274"/>
    </row>
    <row r="15848" spans="13:13" ht="15" customHeight="1" x14ac:dyDescent="0.25">
      <c r="M15848" s="274"/>
    </row>
    <row r="15849" spans="13:13" ht="15" customHeight="1" x14ac:dyDescent="0.25">
      <c r="M15849" s="274"/>
    </row>
    <row r="15850" spans="13:13" ht="15" customHeight="1" x14ac:dyDescent="0.25">
      <c r="M15850" s="274"/>
    </row>
    <row r="15851" spans="13:13" ht="15" customHeight="1" x14ac:dyDescent="0.25">
      <c r="M15851" s="274"/>
    </row>
    <row r="15852" spans="13:13" ht="15" customHeight="1" x14ac:dyDescent="0.25">
      <c r="M15852" s="274"/>
    </row>
    <row r="15853" spans="13:13" ht="15" customHeight="1" x14ac:dyDescent="0.25">
      <c r="M15853" s="274"/>
    </row>
    <row r="15854" spans="13:13" ht="15" customHeight="1" x14ac:dyDescent="0.25">
      <c r="M15854" s="274"/>
    </row>
    <row r="15855" spans="13:13" ht="15" customHeight="1" x14ac:dyDescent="0.25">
      <c r="M15855" s="274"/>
    </row>
    <row r="15856" spans="13:13" ht="15" customHeight="1" x14ac:dyDescent="0.25">
      <c r="M15856" s="274"/>
    </row>
    <row r="15857" spans="13:13" ht="15" customHeight="1" x14ac:dyDescent="0.25">
      <c r="M15857" s="274"/>
    </row>
    <row r="15858" spans="13:13" ht="15" customHeight="1" x14ac:dyDescent="0.25">
      <c r="M15858" s="274"/>
    </row>
    <row r="15859" spans="13:13" ht="15" customHeight="1" x14ac:dyDescent="0.25">
      <c r="M15859" s="274"/>
    </row>
    <row r="15860" spans="13:13" ht="15" customHeight="1" x14ac:dyDescent="0.25">
      <c r="M15860" s="274"/>
    </row>
    <row r="15861" spans="13:13" ht="15" customHeight="1" x14ac:dyDescent="0.25">
      <c r="M15861" s="274"/>
    </row>
    <row r="15862" spans="13:13" ht="15" customHeight="1" x14ac:dyDescent="0.25">
      <c r="M15862" s="274"/>
    </row>
    <row r="15863" spans="13:13" ht="15" customHeight="1" x14ac:dyDescent="0.25">
      <c r="M15863" s="274"/>
    </row>
    <row r="15864" spans="13:13" ht="15" customHeight="1" x14ac:dyDescent="0.25">
      <c r="M15864" s="274"/>
    </row>
    <row r="15865" spans="13:13" ht="15" customHeight="1" x14ac:dyDescent="0.25">
      <c r="M15865" s="274"/>
    </row>
    <row r="15866" spans="13:13" ht="15" customHeight="1" x14ac:dyDescent="0.25">
      <c r="M15866" s="274"/>
    </row>
    <row r="15867" spans="13:13" ht="15" customHeight="1" x14ac:dyDescent="0.25">
      <c r="M15867" s="274"/>
    </row>
    <row r="15868" spans="13:13" ht="15" customHeight="1" x14ac:dyDescent="0.25">
      <c r="M15868" s="274"/>
    </row>
    <row r="15869" spans="13:13" ht="15" customHeight="1" x14ac:dyDescent="0.25">
      <c r="M15869" s="274"/>
    </row>
    <row r="15870" spans="13:13" ht="15" customHeight="1" x14ac:dyDescent="0.25">
      <c r="M15870" s="274"/>
    </row>
    <row r="15871" spans="13:13" ht="15" customHeight="1" x14ac:dyDescent="0.25">
      <c r="M15871" s="274"/>
    </row>
    <row r="15872" spans="13:13" ht="15" customHeight="1" x14ac:dyDescent="0.25">
      <c r="M15872" s="274"/>
    </row>
    <row r="15873" spans="13:13" ht="15" customHeight="1" x14ac:dyDescent="0.25">
      <c r="M15873" s="274"/>
    </row>
    <row r="15874" spans="13:13" ht="15" customHeight="1" x14ac:dyDescent="0.25">
      <c r="M15874" s="274"/>
    </row>
    <row r="15875" spans="13:13" ht="15" customHeight="1" x14ac:dyDescent="0.25">
      <c r="M15875" s="274"/>
    </row>
    <row r="15876" spans="13:13" ht="15" customHeight="1" x14ac:dyDescent="0.25">
      <c r="M15876" s="274"/>
    </row>
    <row r="15877" spans="13:13" ht="15" customHeight="1" x14ac:dyDescent="0.25">
      <c r="M15877" s="274"/>
    </row>
    <row r="15878" spans="13:13" ht="15" customHeight="1" x14ac:dyDescent="0.25">
      <c r="M15878" s="274"/>
    </row>
    <row r="15879" spans="13:13" ht="15" customHeight="1" x14ac:dyDescent="0.25">
      <c r="M15879" s="274"/>
    </row>
    <row r="15880" spans="13:13" ht="15" customHeight="1" x14ac:dyDescent="0.25">
      <c r="M15880" s="274"/>
    </row>
    <row r="15881" spans="13:13" ht="15" customHeight="1" x14ac:dyDescent="0.25">
      <c r="M15881" s="274"/>
    </row>
    <row r="15882" spans="13:13" ht="15" customHeight="1" x14ac:dyDescent="0.25">
      <c r="M15882" s="274"/>
    </row>
    <row r="15883" spans="13:13" ht="15" customHeight="1" x14ac:dyDescent="0.25">
      <c r="M15883" s="274"/>
    </row>
    <row r="15884" spans="13:13" ht="15" customHeight="1" x14ac:dyDescent="0.25">
      <c r="M15884" s="274"/>
    </row>
    <row r="15885" spans="13:13" ht="15" customHeight="1" x14ac:dyDescent="0.25">
      <c r="M15885" s="274"/>
    </row>
    <row r="15886" spans="13:13" ht="15" customHeight="1" x14ac:dyDescent="0.25">
      <c r="M15886" s="274"/>
    </row>
    <row r="15887" spans="13:13" ht="15" customHeight="1" x14ac:dyDescent="0.25">
      <c r="M15887" s="274"/>
    </row>
    <row r="15888" spans="13:13" ht="15" customHeight="1" x14ac:dyDescent="0.25">
      <c r="M15888" s="274"/>
    </row>
    <row r="15889" spans="13:13" ht="15" customHeight="1" x14ac:dyDescent="0.25">
      <c r="M15889" s="274"/>
    </row>
    <row r="15890" spans="13:13" ht="15" customHeight="1" x14ac:dyDescent="0.25">
      <c r="M15890" s="274"/>
    </row>
    <row r="15891" spans="13:13" ht="15" customHeight="1" x14ac:dyDescent="0.25">
      <c r="M15891" s="274"/>
    </row>
    <row r="15892" spans="13:13" ht="15" customHeight="1" x14ac:dyDescent="0.25">
      <c r="M15892" s="274"/>
    </row>
    <row r="15893" spans="13:13" ht="15" customHeight="1" x14ac:dyDescent="0.25">
      <c r="M15893" s="274"/>
    </row>
    <row r="15894" spans="13:13" ht="15" customHeight="1" x14ac:dyDescent="0.25">
      <c r="M15894" s="274"/>
    </row>
    <row r="15895" spans="13:13" ht="15" customHeight="1" x14ac:dyDescent="0.25">
      <c r="M15895" s="274"/>
    </row>
    <row r="15896" spans="13:13" ht="15" customHeight="1" x14ac:dyDescent="0.25">
      <c r="M15896" s="274"/>
    </row>
    <row r="15897" spans="13:13" ht="15" customHeight="1" x14ac:dyDescent="0.25">
      <c r="M15897" s="274"/>
    </row>
    <row r="15898" spans="13:13" ht="15" customHeight="1" x14ac:dyDescent="0.25">
      <c r="M15898" s="274"/>
    </row>
    <row r="15899" spans="13:13" ht="15" customHeight="1" x14ac:dyDescent="0.25">
      <c r="M15899" s="274"/>
    </row>
    <row r="15900" spans="13:13" ht="15" customHeight="1" x14ac:dyDescent="0.25">
      <c r="M15900" s="274"/>
    </row>
    <row r="15901" spans="13:13" ht="15" customHeight="1" x14ac:dyDescent="0.25">
      <c r="M15901" s="274"/>
    </row>
    <row r="15902" spans="13:13" ht="15" customHeight="1" x14ac:dyDescent="0.25">
      <c r="M15902" s="274"/>
    </row>
    <row r="15903" spans="13:13" ht="15" customHeight="1" x14ac:dyDescent="0.25">
      <c r="M15903" s="274"/>
    </row>
    <row r="15904" spans="13:13" ht="15" customHeight="1" x14ac:dyDescent="0.25">
      <c r="M15904" s="274"/>
    </row>
    <row r="15905" spans="13:13" ht="15" customHeight="1" x14ac:dyDescent="0.25">
      <c r="M15905" s="274"/>
    </row>
    <row r="15906" spans="13:13" ht="15" customHeight="1" x14ac:dyDescent="0.25">
      <c r="M15906" s="274"/>
    </row>
    <row r="15907" spans="13:13" ht="15" customHeight="1" x14ac:dyDescent="0.25">
      <c r="M15907" s="274"/>
    </row>
    <row r="15908" spans="13:13" ht="15" customHeight="1" x14ac:dyDescent="0.25">
      <c r="M15908" s="274"/>
    </row>
    <row r="15909" spans="13:13" ht="15" customHeight="1" x14ac:dyDescent="0.25">
      <c r="M15909" s="274"/>
    </row>
    <row r="15910" spans="13:13" ht="15" customHeight="1" x14ac:dyDescent="0.25">
      <c r="M15910" s="274"/>
    </row>
    <row r="15911" spans="13:13" ht="15" customHeight="1" x14ac:dyDescent="0.25">
      <c r="M15911" s="274"/>
    </row>
    <row r="15912" spans="13:13" ht="15" customHeight="1" x14ac:dyDescent="0.25">
      <c r="M15912" s="274"/>
    </row>
    <row r="15913" spans="13:13" ht="15" customHeight="1" x14ac:dyDescent="0.25">
      <c r="M15913" s="274"/>
    </row>
    <row r="15914" spans="13:13" ht="15" customHeight="1" x14ac:dyDescent="0.25">
      <c r="M15914" s="274"/>
    </row>
    <row r="15915" spans="13:13" ht="15" customHeight="1" x14ac:dyDescent="0.25">
      <c r="M15915" s="274"/>
    </row>
    <row r="15916" spans="13:13" ht="15" customHeight="1" x14ac:dyDescent="0.25">
      <c r="M15916" s="274"/>
    </row>
    <row r="15917" spans="13:13" ht="15" customHeight="1" x14ac:dyDescent="0.25">
      <c r="M15917" s="274"/>
    </row>
    <row r="15918" spans="13:13" ht="15" customHeight="1" x14ac:dyDescent="0.25">
      <c r="M15918" s="274"/>
    </row>
    <row r="15919" spans="13:13" ht="15" customHeight="1" x14ac:dyDescent="0.25">
      <c r="M15919" s="274"/>
    </row>
    <row r="15920" spans="13:13" ht="15" customHeight="1" x14ac:dyDescent="0.25">
      <c r="M15920" s="274"/>
    </row>
    <row r="15921" spans="13:13" ht="15" customHeight="1" x14ac:dyDescent="0.25">
      <c r="M15921" s="274"/>
    </row>
    <row r="15922" spans="13:13" ht="15" customHeight="1" x14ac:dyDescent="0.25">
      <c r="M15922" s="274"/>
    </row>
    <row r="15923" spans="13:13" ht="15" customHeight="1" x14ac:dyDescent="0.25">
      <c r="M15923" s="274"/>
    </row>
    <row r="15924" spans="13:13" ht="15" customHeight="1" x14ac:dyDescent="0.25">
      <c r="M15924" s="274"/>
    </row>
    <row r="15925" spans="13:13" ht="15" customHeight="1" x14ac:dyDescent="0.25">
      <c r="M15925" s="274"/>
    </row>
    <row r="15926" spans="13:13" ht="15" customHeight="1" x14ac:dyDescent="0.25">
      <c r="M15926" s="274"/>
    </row>
    <row r="15927" spans="13:13" ht="15" customHeight="1" x14ac:dyDescent="0.25">
      <c r="M15927" s="274"/>
    </row>
    <row r="15928" spans="13:13" ht="15" customHeight="1" x14ac:dyDescent="0.25">
      <c r="M15928" s="274"/>
    </row>
    <row r="15929" spans="13:13" ht="15" customHeight="1" x14ac:dyDescent="0.25">
      <c r="M15929" s="274"/>
    </row>
    <row r="15930" spans="13:13" ht="15" customHeight="1" x14ac:dyDescent="0.25">
      <c r="M15930" s="274"/>
    </row>
    <row r="15931" spans="13:13" ht="15" customHeight="1" x14ac:dyDescent="0.25">
      <c r="M15931" s="274"/>
    </row>
    <row r="15932" spans="13:13" ht="15" customHeight="1" x14ac:dyDescent="0.25">
      <c r="M15932" s="274"/>
    </row>
    <row r="15933" spans="13:13" ht="15" customHeight="1" x14ac:dyDescent="0.25">
      <c r="M15933" s="274"/>
    </row>
    <row r="15934" spans="13:13" ht="15" customHeight="1" x14ac:dyDescent="0.25">
      <c r="M15934" s="274"/>
    </row>
    <row r="15935" spans="13:13" ht="15" customHeight="1" x14ac:dyDescent="0.25">
      <c r="M15935" s="274"/>
    </row>
    <row r="15936" spans="13:13" ht="15" customHeight="1" x14ac:dyDescent="0.25">
      <c r="M15936" s="274"/>
    </row>
    <row r="15937" spans="13:13" ht="15" customHeight="1" x14ac:dyDescent="0.25">
      <c r="M15937" s="274"/>
    </row>
    <row r="15938" spans="13:13" ht="15" customHeight="1" x14ac:dyDescent="0.25">
      <c r="M15938" s="274"/>
    </row>
    <row r="15939" spans="13:13" ht="15" customHeight="1" x14ac:dyDescent="0.25">
      <c r="M15939" s="274"/>
    </row>
    <row r="15940" spans="13:13" ht="15" customHeight="1" x14ac:dyDescent="0.25">
      <c r="M15940" s="274"/>
    </row>
    <row r="15941" spans="13:13" ht="15" customHeight="1" x14ac:dyDescent="0.25">
      <c r="M15941" s="274"/>
    </row>
    <row r="15942" spans="13:13" ht="15" customHeight="1" x14ac:dyDescent="0.25">
      <c r="M15942" s="274"/>
    </row>
    <row r="15943" spans="13:13" ht="15" customHeight="1" x14ac:dyDescent="0.25">
      <c r="M15943" s="274"/>
    </row>
    <row r="15944" spans="13:13" ht="15" customHeight="1" x14ac:dyDescent="0.25">
      <c r="M15944" s="274"/>
    </row>
    <row r="15945" spans="13:13" ht="15" customHeight="1" x14ac:dyDescent="0.25">
      <c r="M15945" s="274"/>
    </row>
    <row r="15946" spans="13:13" ht="15" customHeight="1" x14ac:dyDescent="0.25">
      <c r="M15946" s="274"/>
    </row>
    <row r="15947" spans="13:13" ht="15" customHeight="1" x14ac:dyDescent="0.25">
      <c r="M15947" s="274"/>
    </row>
    <row r="15948" spans="13:13" ht="15" customHeight="1" x14ac:dyDescent="0.25">
      <c r="M15948" s="274"/>
    </row>
    <row r="15949" spans="13:13" ht="15" customHeight="1" x14ac:dyDescent="0.25">
      <c r="M15949" s="274"/>
    </row>
    <row r="15950" spans="13:13" ht="15" customHeight="1" x14ac:dyDescent="0.25">
      <c r="M15950" s="274"/>
    </row>
    <row r="15951" spans="13:13" ht="15" customHeight="1" x14ac:dyDescent="0.25">
      <c r="M15951" s="274"/>
    </row>
    <row r="15952" spans="13:13" ht="15" customHeight="1" x14ac:dyDescent="0.25">
      <c r="M15952" s="274"/>
    </row>
    <row r="15953" spans="13:13" ht="15" customHeight="1" x14ac:dyDescent="0.25">
      <c r="M15953" s="274"/>
    </row>
    <row r="15954" spans="13:13" ht="15" customHeight="1" x14ac:dyDescent="0.25">
      <c r="M15954" s="274"/>
    </row>
    <row r="15955" spans="13:13" ht="15" customHeight="1" x14ac:dyDescent="0.25">
      <c r="M15955" s="274"/>
    </row>
    <row r="15956" spans="13:13" ht="15" customHeight="1" x14ac:dyDescent="0.25">
      <c r="M15956" s="274"/>
    </row>
    <row r="15957" spans="13:13" ht="15" customHeight="1" x14ac:dyDescent="0.25">
      <c r="M15957" s="274"/>
    </row>
    <row r="15958" spans="13:13" ht="15" customHeight="1" x14ac:dyDescent="0.25">
      <c r="M15958" s="274"/>
    </row>
    <row r="15959" spans="13:13" ht="15" customHeight="1" x14ac:dyDescent="0.25">
      <c r="M15959" s="274"/>
    </row>
    <row r="15960" spans="13:13" ht="15" customHeight="1" x14ac:dyDescent="0.25">
      <c r="M15960" s="274"/>
    </row>
    <row r="15961" spans="13:13" ht="15" customHeight="1" x14ac:dyDescent="0.25">
      <c r="M15961" s="274"/>
    </row>
    <row r="15962" spans="13:13" ht="15" customHeight="1" x14ac:dyDescent="0.25">
      <c r="M15962" s="274"/>
    </row>
    <row r="15963" spans="13:13" ht="15" customHeight="1" x14ac:dyDescent="0.25">
      <c r="M15963" s="274"/>
    </row>
    <row r="15964" spans="13:13" ht="15" customHeight="1" x14ac:dyDescent="0.25">
      <c r="M15964" s="274"/>
    </row>
    <row r="15965" spans="13:13" ht="15" customHeight="1" x14ac:dyDescent="0.25">
      <c r="M15965" s="274"/>
    </row>
    <row r="15966" spans="13:13" ht="15" customHeight="1" x14ac:dyDescent="0.25">
      <c r="M15966" s="274"/>
    </row>
    <row r="15967" spans="13:13" ht="15" customHeight="1" x14ac:dyDescent="0.25">
      <c r="M15967" s="274"/>
    </row>
    <row r="15968" spans="13:13" ht="15" customHeight="1" x14ac:dyDescent="0.25">
      <c r="M15968" s="274"/>
    </row>
    <row r="15969" spans="13:13" ht="15" customHeight="1" x14ac:dyDescent="0.25">
      <c r="M15969" s="274"/>
    </row>
    <row r="15970" spans="13:13" ht="15" customHeight="1" x14ac:dyDescent="0.25">
      <c r="M15970" s="274"/>
    </row>
    <row r="15971" spans="13:13" ht="15" customHeight="1" x14ac:dyDescent="0.25">
      <c r="M15971" s="274"/>
    </row>
    <row r="15972" spans="13:13" ht="15" customHeight="1" x14ac:dyDescent="0.25">
      <c r="M15972" s="274"/>
    </row>
    <row r="15973" spans="13:13" ht="15" customHeight="1" x14ac:dyDescent="0.25">
      <c r="M15973" s="274"/>
    </row>
    <row r="15974" spans="13:13" ht="15" customHeight="1" x14ac:dyDescent="0.25">
      <c r="M15974" s="274"/>
    </row>
    <row r="15975" spans="13:13" ht="15" customHeight="1" x14ac:dyDescent="0.25">
      <c r="M15975" s="274"/>
    </row>
    <row r="15976" spans="13:13" ht="15" customHeight="1" x14ac:dyDescent="0.25">
      <c r="M15976" s="274"/>
    </row>
    <row r="15977" spans="13:13" ht="15" customHeight="1" x14ac:dyDescent="0.25">
      <c r="M15977" s="274"/>
    </row>
    <row r="15978" spans="13:13" ht="15" customHeight="1" x14ac:dyDescent="0.25">
      <c r="M15978" s="274"/>
    </row>
    <row r="15979" spans="13:13" ht="15" customHeight="1" x14ac:dyDescent="0.25">
      <c r="M15979" s="274"/>
    </row>
    <row r="15980" spans="13:13" ht="15" customHeight="1" x14ac:dyDescent="0.25">
      <c r="M15980" s="274"/>
    </row>
    <row r="15981" spans="13:13" ht="15" customHeight="1" x14ac:dyDescent="0.25">
      <c r="M15981" s="274"/>
    </row>
    <row r="15982" spans="13:13" ht="15" customHeight="1" x14ac:dyDescent="0.25">
      <c r="M15982" s="274"/>
    </row>
    <row r="15983" spans="13:13" ht="15" customHeight="1" x14ac:dyDescent="0.25">
      <c r="M15983" s="274"/>
    </row>
    <row r="15984" spans="13:13" ht="15" customHeight="1" x14ac:dyDescent="0.25">
      <c r="M15984" s="274"/>
    </row>
    <row r="15985" spans="13:13" ht="15" customHeight="1" x14ac:dyDescent="0.25">
      <c r="M15985" s="274"/>
    </row>
    <row r="15986" spans="13:13" ht="15" customHeight="1" x14ac:dyDescent="0.25">
      <c r="M15986" s="274"/>
    </row>
    <row r="15987" spans="13:13" ht="15" customHeight="1" x14ac:dyDescent="0.25">
      <c r="M15987" s="274"/>
    </row>
    <row r="15988" spans="13:13" ht="15" customHeight="1" x14ac:dyDescent="0.25">
      <c r="M15988" s="274"/>
    </row>
    <row r="15989" spans="13:13" ht="15" customHeight="1" x14ac:dyDescent="0.25">
      <c r="M15989" s="274"/>
    </row>
    <row r="15990" spans="13:13" ht="15" customHeight="1" x14ac:dyDescent="0.25">
      <c r="M15990" s="274"/>
    </row>
    <row r="15991" spans="13:13" ht="15" customHeight="1" x14ac:dyDescent="0.25">
      <c r="M15991" s="274"/>
    </row>
    <row r="15992" spans="13:13" ht="15" customHeight="1" x14ac:dyDescent="0.25">
      <c r="M15992" s="274"/>
    </row>
    <row r="15993" spans="13:13" ht="15" customHeight="1" x14ac:dyDescent="0.25">
      <c r="M15993" s="274"/>
    </row>
    <row r="15994" spans="13:13" ht="15" customHeight="1" x14ac:dyDescent="0.25">
      <c r="M15994" s="274"/>
    </row>
    <row r="15995" spans="13:13" ht="15" customHeight="1" x14ac:dyDescent="0.25">
      <c r="M15995" s="274"/>
    </row>
    <row r="15996" spans="13:13" ht="15" customHeight="1" x14ac:dyDescent="0.25">
      <c r="M15996" s="274"/>
    </row>
    <row r="15997" spans="13:13" ht="15" customHeight="1" x14ac:dyDescent="0.25">
      <c r="M15997" s="274"/>
    </row>
    <row r="15998" spans="13:13" ht="15" customHeight="1" x14ac:dyDescent="0.25">
      <c r="M15998" s="274"/>
    </row>
    <row r="15999" spans="13:13" ht="15" customHeight="1" x14ac:dyDescent="0.25">
      <c r="M15999" s="274"/>
    </row>
    <row r="16000" spans="13:13" ht="15" customHeight="1" x14ac:dyDescent="0.25">
      <c r="M16000" s="274"/>
    </row>
    <row r="16001" spans="13:13" ht="15" customHeight="1" x14ac:dyDescent="0.25">
      <c r="M16001" s="274"/>
    </row>
    <row r="16002" spans="13:13" ht="15" customHeight="1" x14ac:dyDescent="0.25">
      <c r="M16002" s="274"/>
    </row>
    <row r="16003" spans="13:13" ht="15" customHeight="1" x14ac:dyDescent="0.25">
      <c r="M16003" s="274"/>
    </row>
    <row r="16004" spans="13:13" ht="15" customHeight="1" x14ac:dyDescent="0.25">
      <c r="M16004" s="274"/>
    </row>
    <row r="16005" spans="13:13" ht="15" customHeight="1" x14ac:dyDescent="0.25">
      <c r="M16005" s="274"/>
    </row>
    <row r="16006" spans="13:13" ht="15" customHeight="1" x14ac:dyDescent="0.25">
      <c r="M16006" s="274"/>
    </row>
    <row r="16007" spans="13:13" ht="15" customHeight="1" x14ac:dyDescent="0.25">
      <c r="M16007" s="274"/>
    </row>
    <row r="16008" spans="13:13" ht="15" customHeight="1" x14ac:dyDescent="0.25">
      <c r="M16008" s="274"/>
    </row>
    <row r="16009" spans="13:13" ht="15" customHeight="1" x14ac:dyDescent="0.25">
      <c r="M16009" s="274"/>
    </row>
    <row r="16010" spans="13:13" ht="15" customHeight="1" x14ac:dyDescent="0.25">
      <c r="M16010" s="274"/>
    </row>
    <row r="16011" spans="13:13" ht="15" customHeight="1" x14ac:dyDescent="0.25">
      <c r="M16011" s="274"/>
    </row>
    <row r="16012" spans="13:13" ht="15" customHeight="1" x14ac:dyDescent="0.25">
      <c r="M16012" s="274"/>
    </row>
    <row r="16013" spans="13:13" ht="15" customHeight="1" x14ac:dyDescent="0.25">
      <c r="M16013" s="274"/>
    </row>
    <row r="16014" spans="13:13" ht="15" customHeight="1" x14ac:dyDescent="0.25">
      <c r="M16014" s="274"/>
    </row>
    <row r="16015" spans="13:13" ht="15" customHeight="1" x14ac:dyDescent="0.25">
      <c r="M16015" s="274"/>
    </row>
    <row r="16016" spans="13:13" ht="15" customHeight="1" x14ac:dyDescent="0.25">
      <c r="M16016" s="274"/>
    </row>
    <row r="16017" spans="13:13" ht="15" customHeight="1" x14ac:dyDescent="0.25">
      <c r="M16017" s="274"/>
    </row>
    <row r="16018" spans="13:13" ht="15" customHeight="1" x14ac:dyDescent="0.25">
      <c r="M16018" s="274"/>
    </row>
    <row r="16019" spans="13:13" ht="15" customHeight="1" x14ac:dyDescent="0.25">
      <c r="M16019" s="274"/>
    </row>
    <row r="16020" spans="13:13" ht="15" customHeight="1" x14ac:dyDescent="0.25">
      <c r="M16020" s="274"/>
    </row>
    <row r="16021" spans="13:13" ht="15" customHeight="1" x14ac:dyDescent="0.25">
      <c r="M16021" s="274"/>
    </row>
    <row r="16022" spans="13:13" ht="15" customHeight="1" x14ac:dyDescent="0.25">
      <c r="M16022" s="274"/>
    </row>
    <row r="16023" spans="13:13" ht="15" customHeight="1" x14ac:dyDescent="0.25">
      <c r="M16023" s="274"/>
    </row>
    <row r="16024" spans="13:13" ht="15" customHeight="1" x14ac:dyDescent="0.25">
      <c r="M16024" s="274"/>
    </row>
    <row r="16025" spans="13:13" ht="15" customHeight="1" x14ac:dyDescent="0.25">
      <c r="M16025" s="274"/>
    </row>
    <row r="16026" spans="13:13" ht="15" customHeight="1" x14ac:dyDescent="0.25">
      <c r="M16026" s="274"/>
    </row>
    <row r="16027" spans="13:13" ht="15" customHeight="1" x14ac:dyDescent="0.25">
      <c r="M16027" s="274"/>
    </row>
    <row r="16028" spans="13:13" ht="15" customHeight="1" x14ac:dyDescent="0.25">
      <c r="M16028" s="274"/>
    </row>
    <row r="16029" spans="13:13" ht="15" customHeight="1" x14ac:dyDescent="0.25">
      <c r="M16029" s="274"/>
    </row>
    <row r="16030" spans="13:13" ht="15" customHeight="1" x14ac:dyDescent="0.25">
      <c r="M16030" s="274"/>
    </row>
    <row r="16031" spans="13:13" ht="15" customHeight="1" x14ac:dyDescent="0.25">
      <c r="M16031" s="274"/>
    </row>
    <row r="16032" spans="13:13" ht="15" customHeight="1" x14ac:dyDescent="0.25">
      <c r="M16032" s="274"/>
    </row>
    <row r="16033" spans="13:13" ht="15" customHeight="1" x14ac:dyDescent="0.25">
      <c r="M16033" s="274"/>
    </row>
    <row r="16034" spans="13:13" ht="15" customHeight="1" x14ac:dyDescent="0.25">
      <c r="M16034" s="274"/>
    </row>
    <row r="16035" spans="13:13" ht="15" customHeight="1" x14ac:dyDescent="0.25">
      <c r="M16035" s="274"/>
    </row>
    <row r="16036" spans="13:13" ht="15" customHeight="1" x14ac:dyDescent="0.25">
      <c r="M16036" s="274"/>
    </row>
    <row r="16037" spans="13:13" ht="15" customHeight="1" x14ac:dyDescent="0.25">
      <c r="M16037" s="274"/>
    </row>
    <row r="16038" spans="13:13" ht="15" customHeight="1" x14ac:dyDescent="0.25">
      <c r="M16038" s="274"/>
    </row>
    <row r="16039" spans="13:13" ht="15" customHeight="1" x14ac:dyDescent="0.25">
      <c r="M16039" s="274"/>
    </row>
    <row r="16040" spans="13:13" ht="15" customHeight="1" x14ac:dyDescent="0.25">
      <c r="M16040" s="274"/>
    </row>
    <row r="16041" spans="13:13" ht="15" customHeight="1" x14ac:dyDescent="0.25">
      <c r="M16041" s="274"/>
    </row>
    <row r="16042" spans="13:13" ht="15" customHeight="1" x14ac:dyDescent="0.25">
      <c r="M16042" s="274"/>
    </row>
    <row r="16043" spans="13:13" ht="15" customHeight="1" x14ac:dyDescent="0.25">
      <c r="M16043" s="274"/>
    </row>
    <row r="16044" spans="13:13" ht="15" customHeight="1" x14ac:dyDescent="0.25">
      <c r="M16044" s="274"/>
    </row>
    <row r="16045" spans="13:13" ht="15" customHeight="1" x14ac:dyDescent="0.25">
      <c r="M16045" s="274"/>
    </row>
    <row r="16046" spans="13:13" ht="15" customHeight="1" x14ac:dyDescent="0.25">
      <c r="M16046" s="274"/>
    </row>
    <row r="16047" spans="13:13" ht="15" customHeight="1" x14ac:dyDescent="0.25">
      <c r="M16047" s="274"/>
    </row>
    <row r="16048" spans="13:13" ht="15" customHeight="1" x14ac:dyDescent="0.25">
      <c r="M16048" s="274"/>
    </row>
    <row r="16049" spans="13:13" ht="15" customHeight="1" x14ac:dyDescent="0.25">
      <c r="M16049" s="274"/>
    </row>
    <row r="16050" spans="13:13" ht="15" customHeight="1" x14ac:dyDescent="0.25">
      <c r="M16050" s="274"/>
    </row>
    <row r="16051" spans="13:13" ht="15" customHeight="1" x14ac:dyDescent="0.25">
      <c r="M16051" s="274"/>
    </row>
    <row r="16052" spans="13:13" ht="15" customHeight="1" x14ac:dyDescent="0.25">
      <c r="M16052" s="274"/>
    </row>
    <row r="16053" spans="13:13" ht="15" customHeight="1" x14ac:dyDescent="0.25">
      <c r="M16053" s="274"/>
    </row>
    <row r="16054" spans="13:13" ht="15" customHeight="1" x14ac:dyDescent="0.25">
      <c r="M16054" s="274"/>
    </row>
    <row r="16055" spans="13:13" ht="15" customHeight="1" x14ac:dyDescent="0.25">
      <c r="M16055" s="274"/>
    </row>
    <row r="16056" spans="13:13" ht="15" customHeight="1" x14ac:dyDescent="0.25">
      <c r="M16056" s="274"/>
    </row>
    <row r="16057" spans="13:13" ht="15" customHeight="1" x14ac:dyDescent="0.25">
      <c r="M16057" s="274"/>
    </row>
    <row r="16058" spans="13:13" ht="15" customHeight="1" x14ac:dyDescent="0.25">
      <c r="M16058" s="274"/>
    </row>
    <row r="16059" spans="13:13" ht="15" customHeight="1" x14ac:dyDescent="0.25">
      <c r="M16059" s="274"/>
    </row>
    <row r="16060" spans="13:13" ht="15" customHeight="1" x14ac:dyDescent="0.25">
      <c r="M16060" s="274"/>
    </row>
    <row r="16061" spans="13:13" ht="15" customHeight="1" x14ac:dyDescent="0.25">
      <c r="M16061" s="274"/>
    </row>
    <row r="16062" spans="13:13" ht="15" customHeight="1" x14ac:dyDescent="0.25">
      <c r="M16062" s="274"/>
    </row>
    <row r="16063" spans="13:13" ht="15" customHeight="1" x14ac:dyDescent="0.25">
      <c r="M16063" s="274"/>
    </row>
    <row r="16064" spans="13:13" ht="15" customHeight="1" x14ac:dyDescent="0.25">
      <c r="M16064" s="274"/>
    </row>
    <row r="16065" spans="13:13" ht="15" customHeight="1" x14ac:dyDescent="0.25">
      <c r="M16065" s="274"/>
    </row>
    <row r="16066" spans="13:13" ht="15" customHeight="1" x14ac:dyDescent="0.25">
      <c r="M16066" s="274"/>
    </row>
    <row r="16067" spans="13:13" ht="15" customHeight="1" x14ac:dyDescent="0.25">
      <c r="M16067" s="274"/>
    </row>
    <row r="16068" spans="13:13" ht="15" customHeight="1" x14ac:dyDescent="0.25">
      <c r="M16068" s="274"/>
    </row>
    <row r="16069" spans="13:13" ht="15" customHeight="1" x14ac:dyDescent="0.25">
      <c r="M16069" s="274"/>
    </row>
    <row r="16070" spans="13:13" ht="15" customHeight="1" x14ac:dyDescent="0.25">
      <c r="M16070" s="274"/>
    </row>
    <row r="16071" spans="13:13" ht="15" customHeight="1" x14ac:dyDescent="0.25">
      <c r="M16071" s="274"/>
    </row>
    <row r="16072" spans="13:13" ht="15" customHeight="1" x14ac:dyDescent="0.25">
      <c r="M16072" s="274"/>
    </row>
    <row r="16073" spans="13:13" ht="15" customHeight="1" x14ac:dyDescent="0.25">
      <c r="M16073" s="274"/>
    </row>
    <row r="16074" spans="13:13" ht="15" customHeight="1" x14ac:dyDescent="0.25">
      <c r="M16074" s="274"/>
    </row>
    <row r="16075" spans="13:13" ht="15" customHeight="1" x14ac:dyDescent="0.25">
      <c r="M16075" s="274"/>
    </row>
    <row r="16076" spans="13:13" ht="15" customHeight="1" x14ac:dyDescent="0.25">
      <c r="M16076" s="274"/>
    </row>
    <row r="16077" spans="13:13" ht="15" customHeight="1" x14ac:dyDescent="0.25">
      <c r="M16077" s="274"/>
    </row>
    <row r="16078" spans="13:13" ht="15" customHeight="1" x14ac:dyDescent="0.25">
      <c r="M16078" s="274"/>
    </row>
    <row r="16079" spans="13:13" ht="15" customHeight="1" x14ac:dyDescent="0.25">
      <c r="M16079" s="274"/>
    </row>
    <row r="16080" spans="13:13" ht="15" customHeight="1" x14ac:dyDescent="0.25">
      <c r="M16080" s="274"/>
    </row>
    <row r="16081" spans="13:13" ht="15" customHeight="1" x14ac:dyDescent="0.25">
      <c r="M16081" s="274"/>
    </row>
    <row r="16082" spans="13:13" ht="15" customHeight="1" x14ac:dyDescent="0.25">
      <c r="M16082" s="274"/>
    </row>
    <row r="16083" spans="13:13" ht="15" customHeight="1" x14ac:dyDescent="0.25">
      <c r="M16083" s="274"/>
    </row>
    <row r="16084" spans="13:13" ht="15" customHeight="1" x14ac:dyDescent="0.25">
      <c r="M16084" s="274"/>
    </row>
    <row r="16085" spans="13:13" ht="15" customHeight="1" x14ac:dyDescent="0.25">
      <c r="M16085" s="274"/>
    </row>
    <row r="16086" spans="13:13" ht="15" customHeight="1" x14ac:dyDescent="0.25">
      <c r="M16086" s="274"/>
    </row>
    <row r="16087" spans="13:13" ht="15" customHeight="1" x14ac:dyDescent="0.25">
      <c r="M16087" s="274"/>
    </row>
    <row r="16088" spans="13:13" ht="15" customHeight="1" x14ac:dyDescent="0.25">
      <c r="M16088" s="274"/>
    </row>
    <row r="16089" spans="13:13" ht="15" customHeight="1" x14ac:dyDescent="0.25">
      <c r="M16089" s="274"/>
    </row>
    <row r="16090" spans="13:13" ht="15" customHeight="1" x14ac:dyDescent="0.25">
      <c r="M16090" s="274"/>
    </row>
    <row r="16091" spans="13:13" ht="15" customHeight="1" x14ac:dyDescent="0.25">
      <c r="M16091" s="274"/>
    </row>
    <row r="16092" spans="13:13" ht="15" customHeight="1" x14ac:dyDescent="0.25">
      <c r="M16092" s="274"/>
    </row>
    <row r="16093" spans="13:13" ht="15" customHeight="1" x14ac:dyDescent="0.25">
      <c r="M16093" s="274"/>
    </row>
    <row r="16094" spans="13:13" ht="15" customHeight="1" x14ac:dyDescent="0.25">
      <c r="M16094" s="274"/>
    </row>
    <row r="16095" spans="13:13" ht="15" customHeight="1" x14ac:dyDescent="0.25">
      <c r="M16095" s="274"/>
    </row>
    <row r="16096" spans="13:13" ht="15" customHeight="1" x14ac:dyDescent="0.25">
      <c r="M16096" s="274"/>
    </row>
    <row r="16097" spans="13:13" ht="15" customHeight="1" x14ac:dyDescent="0.25">
      <c r="M16097" s="274"/>
    </row>
    <row r="16098" spans="13:13" ht="15" customHeight="1" x14ac:dyDescent="0.25">
      <c r="M16098" s="274"/>
    </row>
    <row r="16099" spans="13:13" ht="15" customHeight="1" x14ac:dyDescent="0.25">
      <c r="M16099" s="274"/>
    </row>
    <row r="16100" spans="13:13" ht="15" customHeight="1" x14ac:dyDescent="0.25">
      <c r="M16100" s="274"/>
    </row>
    <row r="16101" spans="13:13" ht="15" customHeight="1" x14ac:dyDescent="0.25">
      <c r="M16101" s="274"/>
    </row>
    <row r="16102" spans="13:13" ht="15" customHeight="1" x14ac:dyDescent="0.25">
      <c r="M16102" s="274"/>
    </row>
    <row r="16103" spans="13:13" ht="15" customHeight="1" x14ac:dyDescent="0.25">
      <c r="M16103" s="274"/>
    </row>
    <row r="16104" spans="13:13" ht="15" customHeight="1" x14ac:dyDescent="0.25">
      <c r="M16104" s="274"/>
    </row>
    <row r="16105" spans="13:13" ht="15" customHeight="1" x14ac:dyDescent="0.25">
      <c r="M16105" s="274"/>
    </row>
    <row r="16106" spans="13:13" ht="15" customHeight="1" x14ac:dyDescent="0.25">
      <c r="M16106" s="274"/>
    </row>
    <row r="16107" spans="13:13" ht="15" customHeight="1" x14ac:dyDescent="0.25">
      <c r="M16107" s="274"/>
    </row>
    <row r="16108" spans="13:13" ht="15" customHeight="1" x14ac:dyDescent="0.25">
      <c r="M16108" s="274"/>
    </row>
    <row r="16109" spans="13:13" ht="15" customHeight="1" x14ac:dyDescent="0.25">
      <c r="M16109" s="274"/>
    </row>
    <row r="16110" spans="13:13" ht="15" customHeight="1" x14ac:dyDescent="0.25">
      <c r="M16110" s="274"/>
    </row>
    <row r="16111" spans="13:13" ht="15" customHeight="1" x14ac:dyDescent="0.25">
      <c r="M16111" s="274"/>
    </row>
    <row r="16112" spans="13:13" ht="15" customHeight="1" x14ac:dyDescent="0.25">
      <c r="M16112" s="274"/>
    </row>
    <row r="16113" spans="13:13" ht="15" customHeight="1" x14ac:dyDescent="0.25">
      <c r="M16113" s="274"/>
    </row>
    <row r="16114" spans="13:13" ht="15" customHeight="1" x14ac:dyDescent="0.25">
      <c r="M16114" s="274"/>
    </row>
    <row r="16115" spans="13:13" ht="15" customHeight="1" x14ac:dyDescent="0.25">
      <c r="M16115" s="274"/>
    </row>
    <row r="16116" spans="13:13" ht="15" customHeight="1" x14ac:dyDescent="0.25">
      <c r="M16116" s="274"/>
    </row>
    <row r="16117" spans="13:13" ht="15" customHeight="1" x14ac:dyDescent="0.25">
      <c r="M16117" s="274"/>
    </row>
    <row r="16118" spans="13:13" ht="15" customHeight="1" x14ac:dyDescent="0.25">
      <c r="M16118" s="274"/>
    </row>
    <row r="16119" spans="13:13" ht="15" customHeight="1" x14ac:dyDescent="0.25">
      <c r="M16119" s="274"/>
    </row>
    <row r="16120" spans="13:13" ht="15" customHeight="1" x14ac:dyDescent="0.25">
      <c r="M16120" s="274"/>
    </row>
    <row r="16121" spans="13:13" ht="15" customHeight="1" x14ac:dyDescent="0.25">
      <c r="M16121" s="274"/>
    </row>
    <row r="16122" spans="13:13" ht="15" customHeight="1" x14ac:dyDescent="0.25">
      <c r="M16122" s="274"/>
    </row>
    <row r="16123" spans="13:13" ht="15" customHeight="1" x14ac:dyDescent="0.25">
      <c r="M16123" s="274"/>
    </row>
    <row r="16124" spans="13:13" ht="15" customHeight="1" x14ac:dyDescent="0.25">
      <c r="M16124" s="274"/>
    </row>
    <row r="16125" spans="13:13" ht="15" customHeight="1" x14ac:dyDescent="0.25">
      <c r="M16125" s="274"/>
    </row>
    <row r="16126" spans="13:13" ht="15" customHeight="1" x14ac:dyDescent="0.25">
      <c r="M16126" s="274"/>
    </row>
    <row r="16127" spans="13:13" ht="15" customHeight="1" x14ac:dyDescent="0.25">
      <c r="M16127" s="274"/>
    </row>
    <row r="16128" spans="13:13" ht="15" customHeight="1" x14ac:dyDescent="0.25">
      <c r="M16128" s="274"/>
    </row>
    <row r="16129" spans="13:13" ht="15" customHeight="1" x14ac:dyDescent="0.25">
      <c r="M16129" s="274"/>
    </row>
    <row r="16130" spans="13:13" ht="15" customHeight="1" x14ac:dyDescent="0.25">
      <c r="M16130" s="274"/>
    </row>
    <row r="16131" spans="13:13" ht="15" customHeight="1" x14ac:dyDescent="0.25">
      <c r="M16131" s="274"/>
    </row>
    <row r="16132" spans="13:13" ht="15" customHeight="1" x14ac:dyDescent="0.25">
      <c r="M16132" s="274"/>
    </row>
    <row r="16133" spans="13:13" ht="15" customHeight="1" x14ac:dyDescent="0.25">
      <c r="M16133" s="274"/>
    </row>
    <row r="16134" spans="13:13" ht="15" customHeight="1" x14ac:dyDescent="0.25">
      <c r="M16134" s="274"/>
    </row>
    <row r="16135" spans="13:13" ht="15" customHeight="1" x14ac:dyDescent="0.25">
      <c r="M16135" s="274"/>
    </row>
    <row r="16136" spans="13:13" ht="15" customHeight="1" x14ac:dyDescent="0.25">
      <c r="M16136" s="274"/>
    </row>
    <row r="16137" spans="13:13" ht="15" customHeight="1" x14ac:dyDescent="0.25">
      <c r="M16137" s="274"/>
    </row>
    <row r="16138" spans="13:13" ht="15" customHeight="1" x14ac:dyDescent="0.25">
      <c r="M16138" s="274"/>
    </row>
    <row r="16139" spans="13:13" ht="15" customHeight="1" x14ac:dyDescent="0.25">
      <c r="M16139" s="274"/>
    </row>
    <row r="16140" spans="13:13" ht="15" customHeight="1" x14ac:dyDescent="0.25">
      <c r="M16140" s="274"/>
    </row>
    <row r="16141" spans="13:13" ht="15" customHeight="1" x14ac:dyDescent="0.25">
      <c r="M16141" s="274"/>
    </row>
    <row r="16142" spans="13:13" ht="15" customHeight="1" x14ac:dyDescent="0.25">
      <c r="M16142" s="274"/>
    </row>
    <row r="16143" spans="13:13" ht="15" customHeight="1" x14ac:dyDescent="0.25">
      <c r="M16143" s="274"/>
    </row>
    <row r="16144" spans="13:13" ht="15" customHeight="1" x14ac:dyDescent="0.25">
      <c r="M16144" s="274"/>
    </row>
    <row r="16145" spans="13:13" ht="15" customHeight="1" x14ac:dyDescent="0.25">
      <c r="M16145" s="274"/>
    </row>
    <row r="16146" spans="13:13" ht="15" customHeight="1" x14ac:dyDescent="0.25">
      <c r="M16146" s="274"/>
    </row>
    <row r="16147" spans="13:13" ht="15" customHeight="1" x14ac:dyDescent="0.25">
      <c r="M16147" s="274"/>
    </row>
    <row r="16148" spans="13:13" ht="15" customHeight="1" x14ac:dyDescent="0.25">
      <c r="M16148" s="274"/>
    </row>
    <row r="16149" spans="13:13" ht="15" customHeight="1" x14ac:dyDescent="0.25">
      <c r="M16149" s="274"/>
    </row>
    <row r="16150" spans="13:13" ht="15" customHeight="1" x14ac:dyDescent="0.25">
      <c r="M16150" s="274"/>
    </row>
    <row r="16151" spans="13:13" ht="15" customHeight="1" x14ac:dyDescent="0.25">
      <c r="M16151" s="274"/>
    </row>
    <row r="16152" spans="13:13" ht="15" customHeight="1" x14ac:dyDescent="0.25">
      <c r="M16152" s="274"/>
    </row>
    <row r="16153" spans="13:13" ht="15" customHeight="1" x14ac:dyDescent="0.25">
      <c r="M16153" s="274"/>
    </row>
    <row r="16154" spans="13:13" ht="15" customHeight="1" x14ac:dyDescent="0.25">
      <c r="M16154" s="274"/>
    </row>
    <row r="16155" spans="13:13" ht="15" customHeight="1" x14ac:dyDescent="0.25">
      <c r="M16155" s="274"/>
    </row>
    <row r="16156" spans="13:13" ht="15" customHeight="1" x14ac:dyDescent="0.25">
      <c r="M16156" s="274"/>
    </row>
    <row r="16157" spans="13:13" ht="15" customHeight="1" x14ac:dyDescent="0.25">
      <c r="M16157" s="274"/>
    </row>
    <row r="16158" spans="13:13" ht="15" customHeight="1" x14ac:dyDescent="0.25">
      <c r="M16158" s="274"/>
    </row>
    <row r="16159" spans="13:13" ht="15" customHeight="1" x14ac:dyDescent="0.25">
      <c r="M16159" s="274"/>
    </row>
    <row r="16160" spans="13:13" ht="15" customHeight="1" x14ac:dyDescent="0.25">
      <c r="M16160" s="274"/>
    </row>
    <row r="16161" spans="13:13" ht="15" customHeight="1" x14ac:dyDescent="0.25">
      <c r="M16161" s="274"/>
    </row>
    <row r="16162" spans="13:13" ht="15" customHeight="1" x14ac:dyDescent="0.25">
      <c r="M16162" s="274"/>
    </row>
    <row r="16163" spans="13:13" ht="15" customHeight="1" x14ac:dyDescent="0.25">
      <c r="M16163" s="274"/>
    </row>
    <row r="16164" spans="13:13" ht="15" customHeight="1" x14ac:dyDescent="0.25">
      <c r="M16164" s="274"/>
    </row>
    <row r="16165" spans="13:13" ht="15" customHeight="1" x14ac:dyDescent="0.25">
      <c r="M16165" s="274"/>
    </row>
    <row r="16166" spans="13:13" ht="15" customHeight="1" x14ac:dyDescent="0.25">
      <c r="M16166" s="274"/>
    </row>
    <row r="16167" spans="13:13" ht="15" customHeight="1" x14ac:dyDescent="0.25">
      <c r="M16167" s="274"/>
    </row>
    <row r="16168" spans="13:13" ht="15" customHeight="1" x14ac:dyDescent="0.25">
      <c r="M16168" s="274"/>
    </row>
    <row r="16169" spans="13:13" ht="15" customHeight="1" x14ac:dyDescent="0.25">
      <c r="M16169" s="274"/>
    </row>
    <row r="16170" spans="13:13" ht="15" customHeight="1" x14ac:dyDescent="0.25">
      <c r="M16170" s="274"/>
    </row>
    <row r="16171" spans="13:13" ht="15" customHeight="1" x14ac:dyDescent="0.25">
      <c r="M16171" s="274"/>
    </row>
    <row r="16172" spans="13:13" ht="15" customHeight="1" x14ac:dyDescent="0.25">
      <c r="M16172" s="274"/>
    </row>
    <row r="16173" spans="13:13" ht="15" customHeight="1" x14ac:dyDescent="0.25">
      <c r="M16173" s="274"/>
    </row>
    <row r="16174" spans="13:13" ht="15" customHeight="1" x14ac:dyDescent="0.25">
      <c r="M16174" s="274"/>
    </row>
    <row r="16175" spans="13:13" ht="15" customHeight="1" x14ac:dyDescent="0.25">
      <c r="M16175" s="274"/>
    </row>
    <row r="16176" spans="13:13" ht="15" customHeight="1" x14ac:dyDescent="0.25">
      <c r="M16176" s="274"/>
    </row>
    <row r="16177" spans="13:13" ht="15" customHeight="1" x14ac:dyDescent="0.25">
      <c r="M16177" s="274"/>
    </row>
    <row r="16178" spans="13:13" ht="15" customHeight="1" x14ac:dyDescent="0.25">
      <c r="M16178" s="274"/>
    </row>
    <row r="16179" spans="13:13" ht="15" customHeight="1" x14ac:dyDescent="0.25">
      <c r="M16179" s="274"/>
    </row>
    <row r="16180" spans="13:13" ht="15" customHeight="1" x14ac:dyDescent="0.25">
      <c r="M16180" s="274"/>
    </row>
    <row r="16181" spans="13:13" ht="15" customHeight="1" x14ac:dyDescent="0.25">
      <c r="M16181" s="274"/>
    </row>
    <row r="16182" spans="13:13" ht="15" customHeight="1" x14ac:dyDescent="0.25">
      <c r="M16182" s="274"/>
    </row>
    <row r="16183" spans="13:13" ht="15" customHeight="1" x14ac:dyDescent="0.25">
      <c r="M16183" s="274"/>
    </row>
    <row r="16184" spans="13:13" ht="15" customHeight="1" x14ac:dyDescent="0.25">
      <c r="M16184" s="274"/>
    </row>
    <row r="16185" spans="13:13" ht="15" customHeight="1" x14ac:dyDescent="0.25">
      <c r="M16185" s="274"/>
    </row>
    <row r="16186" spans="13:13" ht="15" customHeight="1" x14ac:dyDescent="0.25">
      <c r="M16186" s="274"/>
    </row>
    <row r="16187" spans="13:13" ht="15" customHeight="1" x14ac:dyDescent="0.25">
      <c r="M16187" s="274"/>
    </row>
    <row r="16188" spans="13:13" ht="15" customHeight="1" x14ac:dyDescent="0.25">
      <c r="M16188" s="274"/>
    </row>
    <row r="16189" spans="13:13" ht="15" customHeight="1" x14ac:dyDescent="0.25">
      <c r="M16189" s="274"/>
    </row>
    <row r="16190" spans="13:13" ht="15" customHeight="1" x14ac:dyDescent="0.25">
      <c r="M16190" s="274"/>
    </row>
    <row r="16191" spans="13:13" ht="15" customHeight="1" x14ac:dyDescent="0.25">
      <c r="M16191" s="274"/>
    </row>
    <row r="16192" spans="13:13" ht="15" customHeight="1" x14ac:dyDescent="0.25">
      <c r="M16192" s="274"/>
    </row>
    <row r="16193" spans="13:13" ht="15" customHeight="1" x14ac:dyDescent="0.25">
      <c r="M16193" s="274"/>
    </row>
    <row r="16194" spans="13:13" ht="15" customHeight="1" x14ac:dyDescent="0.25">
      <c r="M16194" s="274"/>
    </row>
    <row r="16195" spans="13:13" ht="15" customHeight="1" x14ac:dyDescent="0.25">
      <c r="M16195" s="274"/>
    </row>
    <row r="16196" spans="13:13" ht="15" customHeight="1" x14ac:dyDescent="0.25">
      <c r="M16196" s="274"/>
    </row>
    <row r="16197" spans="13:13" ht="15" customHeight="1" x14ac:dyDescent="0.25">
      <c r="M16197" s="274"/>
    </row>
    <row r="16198" spans="13:13" ht="15" customHeight="1" x14ac:dyDescent="0.25">
      <c r="M16198" s="274"/>
    </row>
    <row r="16199" spans="13:13" ht="15" customHeight="1" x14ac:dyDescent="0.25">
      <c r="M16199" s="274"/>
    </row>
    <row r="16200" spans="13:13" ht="15" customHeight="1" x14ac:dyDescent="0.25">
      <c r="M16200" s="274"/>
    </row>
    <row r="16201" spans="13:13" ht="15" customHeight="1" x14ac:dyDescent="0.25">
      <c r="M16201" s="274"/>
    </row>
    <row r="16202" spans="13:13" ht="15" customHeight="1" x14ac:dyDescent="0.25">
      <c r="M16202" s="274"/>
    </row>
    <row r="16203" spans="13:13" ht="15" customHeight="1" x14ac:dyDescent="0.25">
      <c r="M16203" s="274"/>
    </row>
    <row r="16204" spans="13:13" ht="15" customHeight="1" x14ac:dyDescent="0.25">
      <c r="M16204" s="274"/>
    </row>
    <row r="16205" spans="13:13" ht="15" customHeight="1" x14ac:dyDescent="0.25">
      <c r="M16205" s="274"/>
    </row>
    <row r="16206" spans="13:13" ht="15" customHeight="1" x14ac:dyDescent="0.25">
      <c r="M16206" s="274"/>
    </row>
    <row r="16207" spans="13:13" ht="15" customHeight="1" x14ac:dyDescent="0.25">
      <c r="M16207" s="274"/>
    </row>
    <row r="16208" spans="13:13" ht="15" customHeight="1" x14ac:dyDescent="0.25">
      <c r="M16208" s="274"/>
    </row>
    <row r="16209" spans="13:13" ht="15" customHeight="1" x14ac:dyDescent="0.25">
      <c r="M16209" s="274"/>
    </row>
    <row r="16210" spans="13:13" ht="15" customHeight="1" x14ac:dyDescent="0.25">
      <c r="M16210" s="274"/>
    </row>
    <row r="16211" spans="13:13" ht="15" customHeight="1" x14ac:dyDescent="0.25">
      <c r="M16211" s="274"/>
    </row>
    <row r="16212" spans="13:13" ht="15" customHeight="1" x14ac:dyDescent="0.25">
      <c r="M16212" s="274"/>
    </row>
    <row r="16213" spans="13:13" ht="15" customHeight="1" x14ac:dyDescent="0.25">
      <c r="M16213" s="274"/>
    </row>
    <row r="16214" spans="13:13" ht="15" customHeight="1" x14ac:dyDescent="0.25">
      <c r="M16214" s="274"/>
    </row>
    <row r="16215" spans="13:13" ht="15" customHeight="1" x14ac:dyDescent="0.25">
      <c r="M16215" s="274"/>
    </row>
    <row r="16216" spans="13:13" ht="15" customHeight="1" x14ac:dyDescent="0.25">
      <c r="M16216" s="274"/>
    </row>
    <row r="16217" spans="13:13" ht="15" customHeight="1" x14ac:dyDescent="0.25">
      <c r="M16217" s="274"/>
    </row>
    <row r="16218" spans="13:13" ht="15" customHeight="1" x14ac:dyDescent="0.25">
      <c r="M16218" s="274"/>
    </row>
    <row r="16219" spans="13:13" ht="15" customHeight="1" x14ac:dyDescent="0.25">
      <c r="M16219" s="274"/>
    </row>
    <row r="16220" spans="13:13" ht="15" customHeight="1" x14ac:dyDescent="0.25">
      <c r="M16220" s="274"/>
    </row>
    <row r="16221" spans="13:13" ht="15" customHeight="1" x14ac:dyDescent="0.25">
      <c r="M16221" s="274"/>
    </row>
    <row r="16222" spans="13:13" ht="15" customHeight="1" x14ac:dyDescent="0.25">
      <c r="M16222" s="274"/>
    </row>
    <row r="16223" spans="13:13" ht="15" customHeight="1" x14ac:dyDescent="0.25">
      <c r="M16223" s="274"/>
    </row>
    <row r="16224" spans="13:13" ht="15" customHeight="1" x14ac:dyDescent="0.25">
      <c r="M16224" s="274"/>
    </row>
    <row r="16225" spans="13:13" ht="15" customHeight="1" x14ac:dyDescent="0.25">
      <c r="M16225" s="274"/>
    </row>
    <row r="16226" spans="13:13" ht="15" customHeight="1" x14ac:dyDescent="0.25">
      <c r="M16226" s="274"/>
    </row>
    <row r="16227" spans="13:13" ht="15" customHeight="1" x14ac:dyDescent="0.25">
      <c r="M16227" s="274"/>
    </row>
    <row r="16228" spans="13:13" ht="15" customHeight="1" x14ac:dyDescent="0.25">
      <c r="M16228" s="274"/>
    </row>
    <row r="16229" spans="13:13" ht="15" customHeight="1" x14ac:dyDescent="0.25">
      <c r="M16229" s="274"/>
    </row>
    <row r="16230" spans="13:13" ht="15" customHeight="1" x14ac:dyDescent="0.25">
      <c r="M16230" s="274"/>
    </row>
    <row r="16231" spans="13:13" ht="15" customHeight="1" x14ac:dyDescent="0.25">
      <c r="M16231" s="274"/>
    </row>
    <row r="16232" spans="13:13" ht="15" customHeight="1" x14ac:dyDescent="0.25">
      <c r="M16232" s="274"/>
    </row>
    <row r="16233" spans="13:13" ht="15" customHeight="1" x14ac:dyDescent="0.25">
      <c r="M16233" s="274"/>
    </row>
    <row r="16234" spans="13:13" ht="15" customHeight="1" x14ac:dyDescent="0.25">
      <c r="M16234" s="274"/>
    </row>
    <row r="16235" spans="13:13" ht="15" customHeight="1" x14ac:dyDescent="0.25">
      <c r="M16235" s="274"/>
    </row>
    <row r="16236" spans="13:13" ht="15" customHeight="1" x14ac:dyDescent="0.25">
      <c r="M16236" s="274"/>
    </row>
    <row r="16237" spans="13:13" ht="15" customHeight="1" x14ac:dyDescent="0.25">
      <c r="M16237" s="274"/>
    </row>
    <row r="16238" spans="13:13" ht="15" customHeight="1" x14ac:dyDescent="0.25">
      <c r="M16238" s="274"/>
    </row>
    <row r="16239" spans="13:13" ht="15" customHeight="1" x14ac:dyDescent="0.25">
      <c r="M16239" s="274"/>
    </row>
    <row r="16240" spans="13:13" ht="15" customHeight="1" x14ac:dyDescent="0.25">
      <c r="M16240" s="274"/>
    </row>
    <row r="16241" spans="13:13" ht="15" customHeight="1" x14ac:dyDescent="0.25">
      <c r="M16241" s="274"/>
    </row>
    <row r="16242" spans="13:13" ht="15" customHeight="1" x14ac:dyDescent="0.25">
      <c r="M16242" s="274"/>
    </row>
    <row r="16243" spans="13:13" ht="15" customHeight="1" x14ac:dyDescent="0.25">
      <c r="M16243" s="274"/>
    </row>
    <row r="16244" spans="13:13" ht="15" customHeight="1" x14ac:dyDescent="0.25">
      <c r="M16244" s="274"/>
    </row>
    <row r="16245" spans="13:13" ht="15" customHeight="1" x14ac:dyDescent="0.25">
      <c r="M16245" s="274"/>
    </row>
    <row r="16246" spans="13:13" ht="15" customHeight="1" x14ac:dyDescent="0.25">
      <c r="M16246" s="274"/>
    </row>
    <row r="16247" spans="13:13" ht="15" customHeight="1" x14ac:dyDescent="0.25">
      <c r="M16247" s="274"/>
    </row>
    <row r="16248" spans="13:13" ht="15" customHeight="1" x14ac:dyDescent="0.25">
      <c r="M16248" s="274"/>
    </row>
    <row r="16249" spans="13:13" ht="15" customHeight="1" x14ac:dyDescent="0.25">
      <c r="M16249" s="274"/>
    </row>
    <row r="16250" spans="13:13" ht="15" customHeight="1" x14ac:dyDescent="0.25">
      <c r="M16250" s="274"/>
    </row>
    <row r="16251" spans="13:13" ht="15" customHeight="1" x14ac:dyDescent="0.25">
      <c r="M16251" s="274"/>
    </row>
    <row r="16252" spans="13:13" ht="15" customHeight="1" x14ac:dyDescent="0.25">
      <c r="M16252" s="274"/>
    </row>
    <row r="16253" spans="13:13" ht="15" customHeight="1" x14ac:dyDescent="0.25">
      <c r="M16253" s="274"/>
    </row>
    <row r="16254" spans="13:13" ht="15" customHeight="1" x14ac:dyDescent="0.25">
      <c r="M16254" s="274"/>
    </row>
    <row r="16255" spans="13:13" ht="15" customHeight="1" x14ac:dyDescent="0.25">
      <c r="M16255" s="274"/>
    </row>
    <row r="16256" spans="13:13" ht="15" customHeight="1" x14ac:dyDescent="0.25">
      <c r="M16256" s="274"/>
    </row>
    <row r="16257" spans="13:13" ht="15" customHeight="1" x14ac:dyDescent="0.25">
      <c r="M16257" s="274"/>
    </row>
    <row r="16258" spans="13:13" ht="15" customHeight="1" x14ac:dyDescent="0.25">
      <c r="M16258" s="274"/>
    </row>
    <row r="16259" spans="13:13" ht="15" customHeight="1" x14ac:dyDescent="0.25">
      <c r="M16259" s="274"/>
    </row>
    <row r="16260" spans="13:13" ht="15" customHeight="1" x14ac:dyDescent="0.25">
      <c r="M16260" s="274"/>
    </row>
    <row r="16261" spans="13:13" ht="15" customHeight="1" x14ac:dyDescent="0.25">
      <c r="M16261" s="274"/>
    </row>
    <row r="16262" spans="13:13" ht="15" customHeight="1" x14ac:dyDescent="0.25">
      <c r="M16262" s="274"/>
    </row>
    <row r="16263" spans="13:13" ht="15" customHeight="1" x14ac:dyDescent="0.25">
      <c r="M16263" s="274"/>
    </row>
    <row r="16264" spans="13:13" ht="15" customHeight="1" x14ac:dyDescent="0.25">
      <c r="M16264" s="274"/>
    </row>
    <row r="16265" spans="13:13" ht="15" customHeight="1" x14ac:dyDescent="0.25">
      <c r="M16265" s="274"/>
    </row>
    <row r="16266" spans="13:13" ht="15" customHeight="1" x14ac:dyDescent="0.25">
      <c r="M16266" s="274"/>
    </row>
    <row r="16267" spans="13:13" ht="15" customHeight="1" x14ac:dyDescent="0.25">
      <c r="M16267" s="274"/>
    </row>
    <row r="16268" spans="13:13" ht="15" customHeight="1" x14ac:dyDescent="0.25">
      <c r="M16268" s="274"/>
    </row>
    <row r="16269" spans="13:13" ht="15" customHeight="1" x14ac:dyDescent="0.25">
      <c r="M16269" s="274"/>
    </row>
    <row r="16270" spans="13:13" ht="15" customHeight="1" x14ac:dyDescent="0.25">
      <c r="M16270" s="274"/>
    </row>
    <row r="16271" spans="13:13" ht="15" customHeight="1" x14ac:dyDescent="0.25">
      <c r="M16271" s="274"/>
    </row>
    <row r="16272" spans="13:13" ht="15" customHeight="1" x14ac:dyDescent="0.25">
      <c r="M16272" s="274"/>
    </row>
    <row r="16273" spans="13:13" ht="15" customHeight="1" x14ac:dyDescent="0.25">
      <c r="M16273" s="274"/>
    </row>
    <row r="16274" spans="13:13" ht="15" customHeight="1" x14ac:dyDescent="0.25">
      <c r="M16274" s="274"/>
    </row>
    <row r="16275" spans="13:13" ht="15" customHeight="1" x14ac:dyDescent="0.25">
      <c r="M16275" s="274"/>
    </row>
    <row r="16276" spans="13:13" ht="15" customHeight="1" x14ac:dyDescent="0.25">
      <c r="M16276" s="274"/>
    </row>
    <row r="16277" spans="13:13" ht="15" customHeight="1" x14ac:dyDescent="0.25">
      <c r="M16277" s="274"/>
    </row>
    <row r="16278" spans="13:13" ht="15" customHeight="1" x14ac:dyDescent="0.25">
      <c r="M16278" s="274"/>
    </row>
    <row r="16279" spans="13:13" ht="15" customHeight="1" x14ac:dyDescent="0.25">
      <c r="M16279" s="274"/>
    </row>
    <row r="16280" spans="13:13" ht="15" customHeight="1" x14ac:dyDescent="0.25">
      <c r="M16280" s="274"/>
    </row>
    <row r="16281" spans="13:13" ht="15" customHeight="1" x14ac:dyDescent="0.25">
      <c r="M16281" s="274"/>
    </row>
    <row r="16282" spans="13:13" ht="15" customHeight="1" x14ac:dyDescent="0.25">
      <c r="M16282" s="274"/>
    </row>
    <row r="16283" spans="13:13" ht="15" customHeight="1" x14ac:dyDescent="0.25">
      <c r="M16283" s="274"/>
    </row>
    <row r="16284" spans="13:13" ht="15" customHeight="1" x14ac:dyDescent="0.25">
      <c r="M16284" s="274"/>
    </row>
    <row r="16285" spans="13:13" ht="15" customHeight="1" x14ac:dyDescent="0.25">
      <c r="M16285" s="274"/>
    </row>
    <row r="16286" spans="13:13" ht="15" customHeight="1" x14ac:dyDescent="0.25">
      <c r="M16286" s="274"/>
    </row>
    <row r="16287" spans="13:13" ht="15" customHeight="1" x14ac:dyDescent="0.25">
      <c r="M16287" s="274"/>
    </row>
    <row r="16288" spans="13:13" ht="15" customHeight="1" x14ac:dyDescent="0.25">
      <c r="M16288" s="274"/>
    </row>
    <row r="16289" spans="13:13" ht="15" customHeight="1" x14ac:dyDescent="0.25">
      <c r="M16289" s="274"/>
    </row>
    <row r="16290" spans="13:13" ht="15" customHeight="1" x14ac:dyDescent="0.25">
      <c r="M16290" s="274"/>
    </row>
    <row r="16291" spans="13:13" ht="15" customHeight="1" x14ac:dyDescent="0.25">
      <c r="M16291" s="274"/>
    </row>
    <row r="16292" spans="13:13" ht="15" customHeight="1" x14ac:dyDescent="0.25">
      <c r="M16292" s="274"/>
    </row>
    <row r="16293" spans="13:13" ht="15" customHeight="1" x14ac:dyDescent="0.25">
      <c r="M16293" s="274"/>
    </row>
    <row r="16294" spans="13:13" ht="15" customHeight="1" x14ac:dyDescent="0.25">
      <c r="M16294" s="274"/>
    </row>
    <row r="16295" spans="13:13" ht="15" customHeight="1" x14ac:dyDescent="0.25">
      <c r="M16295" s="274"/>
    </row>
    <row r="16296" spans="13:13" ht="15" customHeight="1" x14ac:dyDescent="0.25">
      <c r="M16296" s="274"/>
    </row>
    <row r="16297" spans="13:13" ht="15" customHeight="1" x14ac:dyDescent="0.25">
      <c r="M16297" s="274"/>
    </row>
    <row r="16298" spans="13:13" ht="15" customHeight="1" x14ac:dyDescent="0.25">
      <c r="M16298" s="274"/>
    </row>
    <row r="16299" spans="13:13" ht="15" customHeight="1" x14ac:dyDescent="0.25">
      <c r="M16299" s="274"/>
    </row>
    <row r="16300" spans="13:13" ht="15" customHeight="1" x14ac:dyDescent="0.25">
      <c r="M16300" s="274"/>
    </row>
    <row r="16301" spans="13:13" ht="15" customHeight="1" x14ac:dyDescent="0.25">
      <c r="M16301" s="274"/>
    </row>
    <row r="16302" spans="13:13" ht="15" customHeight="1" x14ac:dyDescent="0.25">
      <c r="M16302" s="274"/>
    </row>
    <row r="16303" spans="13:13" ht="15" customHeight="1" x14ac:dyDescent="0.25">
      <c r="M16303" s="274"/>
    </row>
    <row r="16304" spans="13:13" ht="15" customHeight="1" x14ac:dyDescent="0.25">
      <c r="M16304" s="274"/>
    </row>
    <row r="16305" spans="13:13" ht="15" customHeight="1" x14ac:dyDescent="0.25">
      <c r="M16305" s="274"/>
    </row>
    <row r="16306" spans="13:13" ht="15" customHeight="1" x14ac:dyDescent="0.25">
      <c r="M16306" s="274"/>
    </row>
    <row r="16307" spans="13:13" ht="15" customHeight="1" x14ac:dyDescent="0.25">
      <c r="M16307" s="274"/>
    </row>
    <row r="16308" spans="13:13" ht="15" customHeight="1" x14ac:dyDescent="0.25">
      <c r="M16308" s="274"/>
    </row>
    <row r="16309" spans="13:13" ht="15" customHeight="1" x14ac:dyDescent="0.25">
      <c r="M16309" s="274"/>
    </row>
    <row r="16310" spans="13:13" ht="15" customHeight="1" x14ac:dyDescent="0.25">
      <c r="M16310" s="274"/>
    </row>
    <row r="16311" spans="13:13" ht="15" customHeight="1" x14ac:dyDescent="0.25">
      <c r="M16311" s="274"/>
    </row>
    <row r="16312" spans="13:13" ht="15" customHeight="1" x14ac:dyDescent="0.25">
      <c r="M16312" s="274"/>
    </row>
    <row r="16313" spans="13:13" ht="15" customHeight="1" x14ac:dyDescent="0.25">
      <c r="M16313" s="274"/>
    </row>
    <row r="16314" spans="13:13" ht="15" customHeight="1" x14ac:dyDescent="0.25">
      <c r="M16314" s="274"/>
    </row>
    <row r="16315" spans="13:13" ht="15" customHeight="1" x14ac:dyDescent="0.25">
      <c r="M16315" s="274"/>
    </row>
    <row r="16316" spans="13:13" ht="15" customHeight="1" x14ac:dyDescent="0.25">
      <c r="M16316" s="274"/>
    </row>
    <row r="16317" spans="13:13" ht="15" customHeight="1" x14ac:dyDescent="0.25">
      <c r="M16317" s="274"/>
    </row>
    <row r="16318" spans="13:13" ht="15" customHeight="1" x14ac:dyDescent="0.25">
      <c r="M16318" s="274"/>
    </row>
    <row r="16319" spans="13:13" ht="15" customHeight="1" x14ac:dyDescent="0.25">
      <c r="M16319" s="274"/>
    </row>
    <row r="16320" spans="13:13" ht="15" customHeight="1" x14ac:dyDescent="0.25">
      <c r="M16320" s="274"/>
    </row>
    <row r="16321" spans="13:13" ht="15" customHeight="1" x14ac:dyDescent="0.25">
      <c r="M16321" s="274"/>
    </row>
    <row r="16322" spans="13:13" ht="15" customHeight="1" x14ac:dyDescent="0.25">
      <c r="M16322" s="274"/>
    </row>
    <row r="16323" spans="13:13" ht="15" customHeight="1" x14ac:dyDescent="0.25">
      <c r="M16323" s="274"/>
    </row>
    <row r="16324" spans="13:13" ht="15" customHeight="1" x14ac:dyDescent="0.25">
      <c r="M16324" s="274"/>
    </row>
    <row r="16325" spans="13:13" ht="15" customHeight="1" x14ac:dyDescent="0.25">
      <c r="M16325" s="274"/>
    </row>
    <row r="16326" spans="13:13" ht="15" customHeight="1" x14ac:dyDescent="0.25">
      <c r="M16326" s="274"/>
    </row>
    <row r="16327" spans="13:13" ht="15" customHeight="1" x14ac:dyDescent="0.25">
      <c r="M16327" s="274"/>
    </row>
    <row r="16328" spans="13:13" ht="15" customHeight="1" x14ac:dyDescent="0.25">
      <c r="M16328" s="274"/>
    </row>
    <row r="16329" spans="13:13" ht="15" customHeight="1" x14ac:dyDescent="0.25">
      <c r="M16329" s="274"/>
    </row>
    <row r="16330" spans="13:13" ht="15" customHeight="1" x14ac:dyDescent="0.25">
      <c r="M16330" s="274"/>
    </row>
    <row r="16331" spans="13:13" ht="15" customHeight="1" x14ac:dyDescent="0.25">
      <c r="M16331" s="274"/>
    </row>
    <row r="16332" spans="13:13" ht="15" customHeight="1" x14ac:dyDescent="0.25">
      <c r="M16332" s="274"/>
    </row>
    <row r="16333" spans="13:13" ht="15" customHeight="1" x14ac:dyDescent="0.25">
      <c r="M16333" s="274"/>
    </row>
    <row r="16334" spans="13:13" ht="15" customHeight="1" x14ac:dyDescent="0.25">
      <c r="M16334" s="274"/>
    </row>
    <row r="16335" spans="13:13" ht="15" customHeight="1" x14ac:dyDescent="0.25">
      <c r="M16335" s="274"/>
    </row>
    <row r="16336" spans="13:13" ht="15" customHeight="1" x14ac:dyDescent="0.25">
      <c r="M16336" s="274"/>
    </row>
    <row r="16337" spans="13:13" ht="15" customHeight="1" x14ac:dyDescent="0.25">
      <c r="M16337" s="274"/>
    </row>
    <row r="16338" spans="13:13" ht="15" customHeight="1" x14ac:dyDescent="0.25">
      <c r="M16338" s="274"/>
    </row>
    <row r="16339" spans="13:13" ht="15" customHeight="1" x14ac:dyDescent="0.25">
      <c r="M16339" s="274"/>
    </row>
    <row r="16340" spans="13:13" ht="15" customHeight="1" x14ac:dyDescent="0.25">
      <c r="M16340" s="274"/>
    </row>
    <row r="16341" spans="13:13" ht="15" customHeight="1" x14ac:dyDescent="0.25">
      <c r="M16341" s="274"/>
    </row>
    <row r="16342" spans="13:13" ht="15" customHeight="1" x14ac:dyDescent="0.25">
      <c r="M16342" s="274"/>
    </row>
    <row r="16343" spans="13:13" ht="15" customHeight="1" x14ac:dyDescent="0.25">
      <c r="M16343" s="274"/>
    </row>
    <row r="16344" spans="13:13" ht="15" customHeight="1" x14ac:dyDescent="0.25">
      <c r="M16344" s="274"/>
    </row>
    <row r="16345" spans="13:13" ht="15" customHeight="1" x14ac:dyDescent="0.25">
      <c r="M16345" s="274"/>
    </row>
    <row r="16346" spans="13:13" ht="15" customHeight="1" x14ac:dyDescent="0.25">
      <c r="M16346" s="274"/>
    </row>
    <row r="16347" spans="13:13" ht="15" customHeight="1" x14ac:dyDescent="0.25">
      <c r="M16347" s="274"/>
    </row>
    <row r="16348" spans="13:13" ht="15" customHeight="1" x14ac:dyDescent="0.25">
      <c r="M16348" s="274"/>
    </row>
    <row r="16349" spans="13:13" ht="15" customHeight="1" x14ac:dyDescent="0.25">
      <c r="M16349" s="274"/>
    </row>
    <row r="16350" spans="13:13" ht="15" customHeight="1" x14ac:dyDescent="0.25">
      <c r="M16350" s="274"/>
    </row>
    <row r="16351" spans="13:13" ht="15" customHeight="1" x14ac:dyDescent="0.25">
      <c r="M16351" s="274"/>
    </row>
    <row r="16352" spans="13:13" ht="15" customHeight="1" x14ac:dyDescent="0.25">
      <c r="M16352" s="274"/>
    </row>
    <row r="16353" spans="13:13" ht="15" customHeight="1" x14ac:dyDescent="0.25">
      <c r="M16353" s="274"/>
    </row>
    <row r="16354" spans="13:13" ht="15" customHeight="1" x14ac:dyDescent="0.25">
      <c r="M16354" s="274"/>
    </row>
    <row r="16355" spans="13:13" ht="15" customHeight="1" x14ac:dyDescent="0.25">
      <c r="M16355" s="274"/>
    </row>
    <row r="16356" spans="13:13" ht="15" customHeight="1" x14ac:dyDescent="0.25">
      <c r="M16356" s="274"/>
    </row>
    <row r="16357" spans="13:13" ht="15" customHeight="1" x14ac:dyDescent="0.25">
      <c r="M16357" s="274"/>
    </row>
    <row r="16358" spans="13:13" ht="15" customHeight="1" x14ac:dyDescent="0.25">
      <c r="M16358" s="274"/>
    </row>
    <row r="16359" spans="13:13" ht="15" customHeight="1" x14ac:dyDescent="0.25">
      <c r="M16359" s="274"/>
    </row>
    <row r="16360" spans="13:13" ht="15" customHeight="1" x14ac:dyDescent="0.25">
      <c r="M16360" s="274"/>
    </row>
    <row r="16361" spans="13:13" ht="15" customHeight="1" x14ac:dyDescent="0.25">
      <c r="M16361" s="274"/>
    </row>
    <row r="16362" spans="13:13" ht="15" customHeight="1" x14ac:dyDescent="0.25">
      <c r="M16362" s="274"/>
    </row>
    <row r="16363" spans="13:13" ht="15" customHeight="1" x14ac:dyDescent="0.25">
      <c r="M16363" s="274"/>
    </row>
    <row r="16364" spans="13:13" ht="15" customHeight="1" x14ac:dyDescent="0.25">
      <c r="M16364" s="274"/>
    </row>
    <row r="16365" spans="13:13" ht="15" customHeight="1" x14ac:dyDescent="0.25">
      <c r="M16365" s="274"/>
    </row>
    <row r="16366" spans="13:13" ht="15" customHeight="1" x14ac:dyDescent="0.25">
      <c r="M16366" s="274"/>
    </row>
    <row r="16367" spans="13:13" ht="15" customHeight="1" x14ac:dyDescent="0.25">
      <c r="M16367" s="274"/>
    </row>
    <row r="16368" spans="13:13" ht="15" customHeight="1" x14ac:dyDescent="0.25">
      <c r="M16368" s="274"/>
    </row>
    <row r="16369" spans="13:13" ht="15" customHeight="1" x14ac:dyDescent="0.25">
      <c r="M16369" s="274"/>
    </row>
    <row r="16370" spans="13:13" ht="15" customHeight="1" x14ac:dyDescent="0.25">
      <c r="M16370" s="274"/>
    </row>
    <row r="16371" spans="13:13" ht="15" customHeight="1" x14ac:dyDescent="0.25">
      <c r="M16371" s="274"/>
    </row>
    <row r="16372" spans="13:13" ht="15" customHeight="1" x14ac:dyDescent="0.25">
      <c r="M16372" s="274"/>
    </row>
    <row r="16373" spans="13:13" ht="15" customHeight="1" x14ac:dyDescent="0.25">
      <c r="M16373" s="274"/>
    </row>
    <row r="16374" spans="13:13" ht="15" customHeight="1" x14ac:dyDescent="0.25">
      <c r="M16374" s="274"/>
    </row>
    <row r="16375" spans="13:13" ht="15" customHeight="1" x14ac:dyDescent="0.25">
      <c r="M16375" s="274"/>
    </row>
    <row r="16376" spans="13:13" ht="15" customHeight="1" x14ac:dyDescent="0.25">
      <c r="M16376" s="274"/>
    </row>
    <row r="16377" spans="13:13" ht="15" customHeight="1" x14ac:dyDescent="0.25">
      <c r="M16377" s="274"/>
    </row>
    <row r="16378" spans="13:13" ht="15" customHeight="1" x14ac:dyDescent="0.25">
      <c r="M16378" s="274"/>
    </row>
    <row r="16379" spans="13:13" ht="15" customHeight="1" x14ac:dyDescent="0.25">
      <c r="M16379" s="274"/>
    </row>
    <row r="16380" spans="13:13" ht="15" customHeight="1" x14ac:dyDescent="0.25">
      <c r="M16380" s="274"/>
    </row>
    <row r="16381" spans="13:13" ht="15" customHeight="1" x14ac:dyDescent="0.25">
      <c r="M16381" s="274"/>
    </row>
    <row r="16382" spans="13:13" ht="15" customHeight="1" x14ac:dyDescent="0.25">
      <c r="M16382" s="274"/>
    </row>
    <row r="16383" spans="13:13" ht="15" customHeight="1" x14ac:dyDescent="0.25">
      <c r="M16383" s="274"/>
    </row>
    <row r="16384" spans="13:13" ht="15" customHeight="1" x14ac:dyDescent="0.25">
      <c r="M16384" s="274"/>
    </row>
    <row r="16385" spans="13:13" ht="15" customHeight="1" x14ac:dyDescent="0.25">
      <c r="M16385" s="274"/>
    </row>
    <row r="16386" spans="13:13" ht="15" customHeight="1" x14ac:dyDescent="0.25">
      <c r="M16386" s="274"/>
    </row>
    <row r="16387" spans="13:13" ht="15" customHeight="1" x14ac:dyDescent="0.25">
      <c r="M16387" s="274"/>
    </row>
    <row r="16388" spans="13:13" ht="15" customHeight="1" x14ac:dyDescent="0.25">
      <c r="M16388" s="274"/>
    </row>
    <row r="16389" spans="13:13" ht="15" customHeight="1" x14ac:dyDescent="0.25">
      <c r="M16389" s="274"/>
    </row>
    <row r="16390" spans="13:13" ht="15" customHeight="1" x14ac:dyDescent="0.25">
      <c r="M16390" s="274"/>
    </row>
    <row r="16391" spans="13:13" ht="15" customHeight="1" x14ac:dyDescent="0.25">
      <c r="M16391" s="274"/>
    </row>
    <row r="16392" spans="13:13" ht="15" customHeight="1" x14ac:dyDescent="0.25">
      <c r="M16392" s="274"/>
    </row>
    <row r="16393" spans="13:13" ht="15" customHeight="1" x14ac:dyDescent="0.25">
      <c r="M16393" s="274"/>
    </row>
    <row r="16394" spans="13:13" ht="15" customHeight="1" x14ac:dyDescent="0.25">
      <c r="M16394" s="274"/>
    </row>
    <row r="16395" spans="13:13" ht="15" customHeight="1" x14ac:dyDescent="0.25">
      <c r="M16395" s="274"/>
    </row>
    <row r="16396" spans="13:13" ht="15" customHeight="1" x14ac:dyDescent="0.25">
      <c r="M16396" s="274"/>
    </row>
    <row r="16397" spans="13:13" ht="15" customHeight="1" x14ac:dyDescent="0.25">
      <c r="M16397" s="274"/>
    </row>
    <row r="16398" spans="13:13" ht="15" customHeight="1" x14ac:dyDescent="0.25">
      <c r="M16398" s="274"/>
    </row>
    <row r="16399" spans="13:13" ht="15" customHeight="1" x14ac:dyDescent="0.25">
      <c r="M16399" s="274"/>
    </row>
    <row r="16400" spans="13:13" ht="15" customHeight="1" x14ac:dyDescent="0.25">
      <c r="M16400" s="274"/>
    </row>
    <row r="16401" spans="13:13" ht="15" customHeight="1" x14ac:dyDescent="0.25">
      <c r="M16401" s="274"/>
    </row>
    <row r="16402" spans="13:13" ht="15" customHeight="1" x14ac:dyDescent="0.25">
      <c r="M16402" s="274"/>
    </row>
    <row r="16403" spans="13:13" ht="15" customHeight="1" x14ac:dyDescent="0.25">
      <c r="M16403" s="274"/>
    </row>
    <row r="16404" spans="13:13" ht="15" customHeight="1" x14ac:dyDescent="0.25">
      <c r="M16404" s="274"/>
    </row>
    <row r="16405" spans="13:13" ht="15" customHeight="1" x14ac:dyDescent="0.25">
      <c r="M16405" s="274"/>
    </row>
    <row r="16406" spans="13:13" ht="15" customHeight="1" x14ac:dyDescent="0.25">
      <c r="M16406" s="274"/>
    </row>
    <row r="16407" spans="13:13" ht="15" customHeight="1" x14ac:dyDescent="0.25">
      <c r="M16407" s="274"/>
    </row>
    <row r="16408" spans="13:13" ht="15" customHeight="1" x14ac:dyDescent="0.25">
      <c r="M16408" s="274"/>
    </row>
    <row r="16409" spans="13:13" ht="15" customHeight="1" x14ac:dyDescent="0.25">
      <c r="M16409" s="274"/>
    </row>
    <row r="16410" spans="13:13" ht="15" customHeight="1" x14ac:dyDescent="0.25">
      <c r="M16410" s="274"/>
    </row>
    <row r="16411" spans="13:13" ht="15" customHeight="1" x14ac:dyDescent="0.25">
      <c r="M16411" s="274"/>
    </row>
    <row r="16412" spans="13:13" ht="15" customHeight="1" x14ac:dyDescent="0.25">
      <c r="M16412" s="274"/>
    </row>
    <row r="16413" spans="13:13" ht="15" customHeight="1" x14ac:dyDescent="0.25">
      <c r="M16413" s="274"/>
    </row>
    <row r="16414" spans="13:13" ht="15" customHeight="1" x14ac:dyDescent="0.25">
      <c r="M16414" s="274"/>
    </row>
    <row r="16415" spans="13:13" ht="15" customHeight="1" x14ac:dyDescent="0.25">
      <c r="M16415" s="274"/>
    </row>
    <row r="16416" spans="13:13" ht="15" customHeight="1" x14ac:dyDescent="0.25">
      <c r="M16416" s="274"/>
    </row>
    <row r="16417" spans="13:13" ht="15" customHeight="1" x14ac:dyDescent="0.25">
      <c r="M16417" s="274"/>
    </row>
    <row r="16418" spans="13:13" ht="15" customHeight="1" x14ac:dyDescent="0.25">
      <c r="M16418" s="274"/>
    </row>
    <row r="16419" spans="13:13" ht="15" customHeight="1" x14ac:dyDescent="0.25">
      <c r="M16419" s="274"/>
    </row>
  </sheetData>
  <autoFilter ref="B22:K22" xr:uid="{F5617B7D-6584-466F-AE2B-7CB496D07135}">
    <sortState xmlns:xlrd2="http://schemas.microsoft.com/office/spreadsheetml/2017/richdata2" ref="B23:K28">
      <sortCondition descending="1" ref="H22"/>
    </sortState>
  </autoFilter>
  <mergeCells count="1">
    <mergeCell ref="V18:W18"/>
  </mergeCells>
  <conditionalFormatting sqref="P10">
    <cfRule type="dataBar" priority="13">
      <dataBar>
        <cfvo type="num" val="0"/>
        <cfvo type="num" val="100"/>
        <color rgb="FFD1FBD3"/>
      </dataBar>
      <extLst>
        <ext xmlns:x14="http://schemas.microsoft.com/office/spreadsheetml/2009/9/main" uri="{B025F937-C7B1-47D3-B67F-A62EFF666E3E}">
          <x14:id>{965438FB-403C-BC4C-BF78-E8346489989B}</x14:id>
        </ext>
      </extLst>
    </cfRule>
  </conditionalFormatting>
  <conditionalFormatting sqref="AG9 AI9">
    <cfRule type="colorScale" priority="12">
      <colorScale>
        <cfvo type="num" val="1"/>
        <cfvo type="num" val="2"/>
        <color rgb="FFFFC9C9"/>
        <color rgb="FFFFC9C9"/>
      </colorScale>
    </cfRule>
  </conditionalFormatting>
  <conditionalFormatting sqref="O12:O18">
    <cfRule type="dataBar" priority="11">
      <dataBar>
        <cfvo type="num" val="0"/>
        <cfvo type="num" val="100"/>
        <color rgb="FFFAD9C2"/>
      </dataBar>
      <extLst>
        <ext xmlns:x14="http://schemas.microsoft.com/office/spreadsheetml/2009/9/main" uri="{B025F937-C7B1-47D3-B67F-A62EFF666E3E}">
          <x14:id>{2060380C-7CA9-2E4D-BA23-5DC40FEED769}</x14:id>
        </ext>
      </extLst>
    </cfRule>
  </conditionalFormatting>
  <conditionalFormatting sqref="O7:O10">
    <cfRule type="dataBar" priority="10">
      <dataBar>
        <cfvo type="num" val="0"/>
        <cfvo type="num" val="100"/>
        <color rgb="FFD1FFE6"/>
      </dataBar>
      <extLst>
        <ext xmlns:x14="http://schemas.microsoft.com/office/spreadsheetml/2009/9/main" uri="{B025F937-C7B1-47D3-B67F-A62EFF666E3E}">
          <x14:id>{7EA2BC48-1C13-B147-A724-F21FCAD3211E}</x14:id>
        </ext>
      </extLst>
    </cfRule>
  </conditionalFormatting>
  <conditionalFormatting sqref="Y3">
    <cfRule type="dataBar" priority="9">
      <dataBar>
        <cfvo type="num" val="0"/>
        <cfvo type="num" val="100"/>
        <color rgb="FFAF8B4B"/>
      </dataBar>
      <extLst>
        <ext xmlns:x14="http://schemas.microsoft.com/office/spreadsheetml/2009/9/main" uri="{B025F937-C7B1-47D3-B67F-A62EFF666E3E}">
          <x14:id>{024602CE-FCA2-954F-AB6D-EC8630B34992}</x14:id>
        </ext>
      </extLst>
    </cfRule>
  </conditionalFormatting>
  <conditionalFormatting sqref="Y4">
    <cfRule type="dataBar" priority="8">
      <dataBar>
        <cfvo type="num" val="0"/>
        <cfvo type="num" val="100"/>
        <color rgb="FFD0B990"/>
      </dataBar>
      <extLst>
        <ext xmlns:x14="http://schemas.microsoft.com/office/spreadsheetml/2009/9/main" uri="{B025F937-C7B1-47D3-B67F-A62EFF666E3E}">
          <x14:id>{06B55481-3A55-0345-978B-324962D21CD3}</x14:id>
        </ext>
      </extLst>
    </cfRule>
  </conditionalFormatting>
  <conditionalFormatting sqref="S3:S8">
    <cfRule type="dataBar" priority="7">
      <dataBar>
        <cfvo type="num" val="0"/>
        <cfvo type="num" val="100"/>
        <color rgb="FFFFD5D6"/>
      </dataBar>
      <extLst>
        <ext xmlns:x14="http://schemas.microsoft.com/office/spreadsheetml/2009/9/main" uri="{B025F937-C7B1-47D3-B67F-A62EFF666E3E}">
          <x14:id>{3F256F6C-4D3D-AC4B-88BC-E1180349A10B}</x14:id>
        </ext>
      </extLst>
    </cfRule>
  </conditionalFormatting>
  <conditionalFormatting sqref="S11:S15">
    <cfRule type="dataBar" priority="6">
      <dataBar>
        <cfvo type="num" val="0"/>
        <cfvo type="num" val="100"/>
        <color theme="4" tint="0.59999389629810485"/>
      </dataBar>
      <extLst>
        <ext xmlns:x14="http://schemas.microsoft.com/office/spreadsheetml/2009/9/main" uri="{B025F937-C7B1-47D3-B67F-A62EFF666E3E}">
          <x14:id>{EBA226E9-4D76-AB4C-A216-0D1DF8E1853A}</x14:id>
        </ext>
      </extLst>
    </cfRule>
  </conditionalFormatting>
  <conditionalFormatting sqref="S16:S18">
    <cfRule type="dataBar" priority="5">
      <dataBar>
        <cfvo type="num" val="0"/>
        <cfvo type="num" val="100"/>
        <color theme="4" tint="0.59999389629810485"/>
      </dataBar>
      <extLst>
        <ext xmlns:x14="http://schemas.microsoft.com/office/spreadsheetml/2009/9/main" uri="{B025F937-C7B1-47D3-B67F-A62EFF666E3E}">
          <x14:id>{905C271D-37DB-F04E-8A69-237139C7FC10}</x14:id>
        </ext>
      </extLst>
    </cfRule>
  </conditionalFormatting>
  <conditionalFormatting sqref="K23:K1218">
    <cfRule type="dataBar" priority="4">
      <dataBar>
        <cfvo type="num" val="0"/>
        <cfvo type="num" val="100"/>
        <color rgb="FFFFB628"/>
      </dataBar>
      <extLst>
        <ext xmlns:x14="http://schemas.microsoft.com/office/spreadsheetml/2009/9/main" uri="{B025F937-C7B1-47D3-B67F-A62EFF666E3E}">
          <x14:id>{C5CB3740-83D9-E948-89B8-D209B9E7DAFA}</x14:id>
        </ext>
      </extLst>
    </cfRule>
  </conditionalFormatting>
  <conditionalFormatting sqref="O4:O5">
    <cfRule type="dataBar" priority="3">
      <dataBar>
        <cfvo type="num" val="0"/>
        <cfvo type="num" val="100"/>
        <color theme="4" tint="0.59999389629810485"/>
      </dataBar>
      <extLst>
        <ext xmlns:x14="http://schemas.microsoft.com/office/spreadsheetml/2009/9/main" uri="{B025F937-C7B1-47D3-B67F-A62EFF666E3E}">
          <x14:id>{EC11A8B4-4951-C446-A4F0-02C3850AA1D7}</x14:id>
        </ext>
      </extLst>
    </cfRule>
  </conditionalFormatting>
  <conditionalFormatting sqref="O3">
    <cfRule type="dataBar" priority="2">
      <dataBar>
        <cfvo type="num" val="0"/>
        <cfvo type="num" val="100"/>
        <color theme="4" tint="0.59999389629810485"/>
      </dataBar>
      <extLst>
        <ext xmlns:x14="http://schemas.microsoft.com/office/spreadsheetml/2009/9/main" uri="{B025F937-C7B1-47D3-B67F-A62EFF666E3E}">
          <x14:id>{E377884B-70A0-5C40-A7EC-C9E485D618CF}</x14:id>
        </ext>
      </extLst>
    </cfRule>
  </conditionalFormatting>
  <conditionalFormatting sqref="V18">
    <cfRule type="dataBar" priority="1">
      <dataBar>
        <cfvo type="num" val="0"/>
        <cfvo type="num" val="100"/>
        <color rgb="FFAF8B4B"/>
      </dataBar>
      <extLst>
        <ext xmlns:x14="http://schemas.microsoft.com/office/spreadsheetml/2009/9/main" uri="{B025F937-C7B1-47D3-B67F-A62EFF666E3E}">
          <x14:id>{27AD849F-3A2E-9842-8AC3-FDCB3198ED67}</x14:id>
        </ext>
      </extLst>
    </cfRule>
  </conditionalFormatting>
  <dataValidations count="5">
    <dataValidation type="list" allowBlank="1" showInputMessage="1" showErrorMessage="1" sqref="K17" xr:uid="{998A2907-D6BB-C241-ABBD-FCDF4C2EAAF1}">
      <formula1>"No need, Exact match, Needleman"</formula1>
    </dataValidation>
    <dataValidation type="list" allowBlank="1" showInputMessage="1" showErrorMessage="1" sqref="AC6:AC18" xr:uid="{AF01C5A0-6453-AD4B-8DF0-1974520BD2D3}">
      <formula1>"Shape 1, Shape 2, Shape 3, Shape 4, Shape 5"</formula1>
    </dataValidation>
    <dataValidation type="decimal" showInputMessage="1" showErrorMessage="1" errorTitle="RIMA" error="Please provide a number between 0 to 100." sqref="K11" xr:uid="{3A62A930-0C84-0F43-AA9E-31C869BAA6DF}">
      <formula1>0</formula1>
      <formula2>100</formula2>
    </dataValidation>
    <dataValidation type="list" allowBlank="1" showInputMessage="1" showErrorMessage="1" sqref="K13 K15:K16" xr:uid="{AE27C1B0-D2FE-BD4A-BB51-AB35DC62FFDC}">
      <formula1>"True,False"</formula1>
    </dataValidation>
    <dataValidation type="list" allowBlank="1" showInputMessage="1" showErrorMessage="1" sqref="AH14" xr:uid="{E03A750D-CEDE-894C-BC5D-4CD490209E8C}">
      <formula1>"True,False,"</formula1>
    </dataValidation>
  </dataValidations>
  <pageMargins left="0.25" right="0.25" top="0.75" bottom="0.75" header="0.3" footer="0.3"/>
  <pageSetup paperSize="9"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_Analyse">
              <controlPr defaultSize="0" print="0" autoFill="0" autoPict="0" macro="[1]!VisualVar">
                <anchor moveWithCells="1" sizeWithCells="1">
                  <from>
                    <xdr:col>4</xdr:col>
                    <xdr:colOff>139700</xdr:colOff>
                    <xdr:row>0</xdr:row>
                    <xdr:rowOff>165100</xdr:rowOff>
                  </from>
                  <to>
                    <xdr:col>5</xdr:col>
                    <xdr:colOff>558800</xdr:colOff>
                    <xdr:row>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_HouseKeeping">
              <controlPr defaultSize="0" print="0" autoFill="0" autoPict="0" macro="[1]!Housekeeping">
                <anchor moveWithCells="1" sizeWithCells="1">
                  <from>
                    <xdr:col>5</xdr:col>
                    <xdr:colOff>635000</xdr:colOff>
                    <xdr:row>0</xdr:row>
                    <xdr:rowOff>165100</xdr:rowOff>
                  </from>
                  <to>
                    <xdr:col>7</xdr:col>
                    <xdr:colOff>457200</xdr:colOff>
                    <xdr:row>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_Select_Top10_Variants">
              <controlPr defaultSize="0" print="0" autoFill="0" autoPict="0" macro="[1]!Top10VisualizedVariants">
                <anchor moveWithCells="1" sizeWithCells="1">
                  <from>
                    <xdr:col>9</xdr:col>
                    <xdr:colOff>508000</xdr:colOff>
                    <xdr:row>0</xdr:row>
                    <xdr:rowOff>165100</xdr:rowOff>
                  </from>
                  <to>
                    <xdr:col>11</xdr:col>
                    <xdr:colOff>279400</xdr:colOff>
                    <xdr:row>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_Select_All_Variants">
              <controlPr defaultSize="0" print="0" autoFill="0" autoPict="0" macro="[1]!VisualizedVariants">
                <anchor moveWithCells="1" sizeWithCells="1">
                  <from>
                    <xdr:col>9</xdr:col>
                    <xdr:colOff>508000</xdr:colOff>
                    <xdr:row>5</xdr:row>
                    <xdr:rowOff>0</xdr:rowOff>
                  </from>
                  <to>
                    <xdr:col>11</xdr:col>
                    <xdr:colOff>279400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1]!Defaulter">
                <anchor moveWithCells="1" sizeWithCells="1">
                  <from>
                    <xdr:col>7</xdr:col>
                    <xdr:colOff>520700</xdr:colOff>
                    <xdr:row>5</xdr:row>
                    <xdr:rowOff>0</xdr:rowOff>
                  </from>
                  <to>
                    <xdr:col>9</xdr:col>
                    <xdr:colOff>444500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_Needle_Case_Check">
              <controlPr defaultSize="0" print="0" autoFill="0" autoPict="0" macro="[1]!Needle_Case_Check">
                <anchor moveWithCells="1" sizeWithCells="1">
                  <from>
                    <xdr:col>7</xdr:col>
                    <xdr:colOff>520700</xdr:colOff>
                    <xdr:row>0</xdr:row>
                    <xdr:rowOff>165100</xdr:rowOff>
                  </from>
                  <to>
                    <xdr:col>9</xdr:col>
                    <xdr:colOff>444500</xdr:colOff>
                    <xdr:row>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_Batch_RunMe">
              <controlPr defaultSize="0" print="0" autoFill="0" autoPict="0" macro="[1]!BatchImportAndAnalysis">
                <anchor moveWithCells="1">
                  <from>
                    <xdr:col>4</xdr:col>
                    <xdr:colOff>139700</xdr:colOff>
                    <xdr:row>5</xdr:row>
                    <xdr:rowOff>25400</xdr:rowOff>
                  </from>
                  <to>
                    <xdr:col>7</xdr:col>
                    <xdr:colOff>457200</xdr:colOff>
                    <xdr:row>8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65438FB-403C-BC4C-BF78-E8346489989B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rgb="FF0CC015"/>
              <x14:negativeFillColor rgb="FFFF0000"/>
              <x14:axisColor rgb="FF000000"/>
            </x14:dataBar>
          </x14:cfRule>
          <xm:sqref>P10</xm:sqref>
        </x14:conditionalFormatting>
        <x14:conditionalFormatting xmlns:xm="http://schemas.microsoft.com/office/excel/2006/main">
          <x14:cfRule type="dataBar" id="{2060380C-7CA9-2E4D-BA23-5DC40FEED769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rgb="FF917455"/>
              <x14:negativeFillColor rgb="FFFF0000"/>
              <x14:axisColor rgb="FF000000"/>
            </x14:dataBar>
          </x14:cfRule>
          <xm:sqref>O12:O18</xm:sqref>
        </x14:conditionalFormatting>
        <x14:conditionalFormatting xmlns:xm="http://schemas.microsoft.com/office/excel/2006/main">
          <x14:cfRule type="dataBar" id="{7EA2BC48-1C13-B147-A724-F21FCAD3211E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rgb="FF00B050"/>
              <x14:negativeFillColor rgb="FFFF0000"/>
              <x14:axisColor rgb="FF000000"/>
            </x14:dataBar>
          </x14:cfRule>
          <xm:sqref>O7:O10</xm:sqref>
        </x14:conditionalFormatting>
        <x14:conditionalFormatting xmlns:xm="http://schemas.microsoft.com/office/excel/2006/main">
          <x14:cfRule type="dataBar" id="{024602CE-FCA2-954F-AB6D-EC8630B34992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rgb="FF917455"/>
              <x14:negativeFillColor rgb="FFFF0000"/>
              <x14:axisColor rgb="FF000000"/>
            </x14:dataBar>
          </x14:cfRule>
          <xm:sqref>Y3</xm:sqref>
        </x14:conditionalFormatting>
        <x14:conditionalFormatting xmlns:xm="http://schemas.microsoft.com/office/excel/2006/main">
          <x14:cfRule type="dataBar" id="{06B55481-3A55-0345-978B-324962D21CD3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rgb="FFAF8B4B"/>
              <x14:negativeFill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3F256F6C-4D3D-AC4B-88BC-E1180349A10B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rgb="FFFF696D"/>
              <x14:negativeFillColor rgb="FFFF0000"/>
              <x14:axisColor rgb="FF000000"/>
            </x14:dataBar>
          </x14:cfRule>
          <xm:sqref>S3:S8</xm:sqref>
        </x14:conditionalFormatting>
        <x14:conditionalFormatting xmlns:xm="http://schemas.microsoft.com/office/excel/2006/main">
          <x14:cfRule type="dataBar" id="{EBA226E9-4D76-AB4C-A216-0D1DF8E1853A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theme="4" tint="-0.249977111117893"/>
              <x14:negativeFillColor rgb="FFFF0000"/>
              <x14:axisColor rgb="FF000000"/>
            </x14:dataBar>
          </x14:cfRule>
          <xm:sqref>S11:S15</xm:sqref>
        </x14:conditionalFormatting>
        <x14:conditionalFormatting xmlns:xm="http://schemas.microsoft.com/office/excel/2006/main">
          <x14:cfRule type="dataBar" id="{905C271D-37DB-F04E-8A69-237139C7FC10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theme="4" tint="-0.249977111117893"/>
              <x14:negativeFillColor rgb="FFFF0000"/>
              <x14:axisColor rgb="FF000000"/>
            </x14:dataBar>
          </x14:cfRule>
          <xm:sqref>S16:S18</xm:sqref>
        </x14:conditionalFormatting>
        <x14:conditionalFormatting xmlns:xm="http://schemas.microsoft.com/office/excel/2006/main">
          <x14:cfRule type="dataBar" id="{C5CB3740-83D9-E948-89B8-D209B9E7DAFA}">
            <x14:dataBar minLength="0" maxLength="100" border="1" gradient="0" negativeBarBorderColorSameAsPositive="0">
              <x14:cfvo type="num">
                <xm:f>0</xm:f>
              </x14:cfvo>
              <x14:cfvo type="num">
                <xm:f>100</xm:f>
              </x14:cfvo>
              <x14:borderColor rgb="FFFFB628"/>
              <x14:negativeFillColor rgb="FFFF0000"/>
              <x14:negativeBorderColor rgb="FFFF0000"/>
              <x14:axisColor rgb="FF000000"/>
            </x14:dataBar>
          </x14:cfRule>
          <xm:sqref>K23:K1218</xm:sqref>
        </x14:conditionalFormatting>
        <x14:conditionalFormatting xmlns:xm="http://schemas.microsoft.com/office/excel/2006/main">
          <x14:cfRule type="dataBar" id="{EC11A8B4-4951-C446-A4F0-02C3850AA1D7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theme="4" tint="-0.249977111117893"/>
              <x14:negativeFillColor rgb="FFFF0000"/>
              <x14:axisColor rgb="FF000000"/>
            </x14:dataBar>
          </x14:cfRule>
          <xm:sqref>O4:O5</xm:sqref>
        </x14:conditionalFormatting>
        <x14:conditionalFormatting xmlns:xm="http://schemas.microsoft.com/office/excel/2006/main">
          <x14:cfRule type="dataBar" id="{E377884B-70A0-5C40-A7EC-C9E485D618CF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theme="4" tint="-0.249977111117893"/>
              <x14:negativeFillColor rgb="FFFF0000"/>
              <x14:axisColor rgb="FF000000"/>
            </x14:dataBar>
          </x14:cfRule>
          <xm:sqref>O3</xm:sqref>
        </x14:conditionalFormatting>
        <x14:conditionalFormatting xmlns:xm="http://schemas.microsoft.com/office/excel/2006/main">
          <x14:cfRule type="dataBar" id="{27AD849F-3A2E-9842-8AC3-FDCB3198ED67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rgb="FF917455"/>
              <x14:negativeFillColor rgb="FFFF0000"/>
              <x14:axisColor rgb="FF000000"/>
            </x14:dataBar>
          </x14:cfRule>
          <xm:sqref>V18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91</vt:i4>
      </vt:variant>
    </vt:vector>
  </HeadingPairs>
  <TitlesOfParts>
    <vt:vector size="92" baseType="lpstr">
      <vt:lpstr>Single</vt:lpstr>
      <vt:lpstr>Allele</vt:lpstr>
      <vt:lpstr>Barcode_Fwd_Reads</vt:lpstr>
      <vt:lpstr>Barcode_Rev_Reads</vt:lpstr>
      <vt:lpstr>Barcode_Shape</vt:lpstr>
      <vt:lpstr>Barcodes_Name</vt:lpstr>
      <vt:lpstr>Barcodes_Sequence</vt:lpstr>
      <vt:lpstr>BarHeight</vt:lpstr>
      <vt:lpstr>BarRGB</vt:lpstr>
      <vt:lpstr>Batch_Number</vt:lpstr>
      <vt:lpstr>Batch_Scratch</vt:lpstr>
      <vt:lpstr>cMMEJ_Reads</vt:lpstr>
      <vt:lpstr>Comment</vt:lpstr>
      <vt:lpstr>CutLineRGB</vt:lpstr>
      <vt:lpstr>CutSite</vt:lpstr>
      <vt:lpstr>CutSite_Nucleotides</vt:lpstr>
      <vt:lpstr>DataExportPoint1</vt:lpstr>
      <vt:lpstr>DelBarRGB</vt:lpstr>
      <vt:lpstr>DelLengthReads</vt:lpstr>
      <vt:lpstr>Delpercent</vt:lpstr>
      <vt:lpstr>Delreads</vt:lpstr>
      <vt:lpstr>Duplication</vt:lpstr>
      <vt:lpstr>Duplication_Length_Reads</vt:lpstr>
      <vt:lpstr>DuplicationColor</vt:lpstr>
      <vt:lpstr>Efficiency</vt:lpstr>
      <vt:lpstr>Exclinitial</vt:lpstr>
      <vt:lpstr>ExclLast</vt:lpstr>
      <vt:lpstr>Factor</vt:lpstr>
      <vt:lpstr>FigStart</vt:lpstr>
      <vt:lpstr>Frequency</vt:lpstr>
      <vt:lpstr>Gene</vt:lpstr>
      <vt:lpstr>gRNA</vt:lpstr>
      <vt:lpstr>GuideLineRGB</vt:lpstr>
      <vt:lpstr>GuideRGB</vt:lpstr>
      <vt:lpstr>HDR_BC</vt:lpstr>
      <vt:lpstr>indel</vt:lpstr>
      <vt:lpstr>Indel_Class_Reads</vt:lpstr>
      <vt:lpstr>indelLengthReads</vt:lpstr>
      <vt:lpstr>inFrameReads</vt:lpstr>
      <vt:lpstr>insBarRGB</vt:lpstr>
      <vt:lpstr>insLengthReads</vt:lpstr>
      <vt:lpstr>InsPercent</vt:lpstr>
      <vt:lpstr>insreads</vt:lpstr>
      <vt:lpstr>KI_Classification</vt:lpstr>
      <vt:lpstr>KI_Undetermined_Reads</vt:lpstr>
      <vt:lpstr>KI_Undetermined_RGB</vt:lpstr>
      <vt:lpstr>Length</vt:lpstr>
      <vt:lpstr>Limitedregion</vt:lpstr>
      <vt:lpstr>MappedReads</vt:lpstr>
      <vt:lpstr>Min_Allele_Freq</vt:lpstr>
      <vt:lpstr>Min_Ins_Len_for_KI</vt:lpstr>
      <vt:lpstr>Min_Read_Count</vt:lpstr>
      <vt:lpstr>MMEJ_Length_Reads</vt:lpstr>
      <vt:lpstr>mmejColor</vt:lpstr>
      <vt:lpstr>MMEJpercent</vt:lpstr>
      <vt:lpstr>MNVLengthReads</vt:lpstr>
      <vt:lpstr>MNVPercent</vt:lpstr>
      <vt:lpstr>MNVreads</vt:lpstr>
      <vt:lpstr>mnvRGB</vt:lpstr>
      <vt:lpstr>NHEJ_BC</vt:lpstr>
      <vt:lpstr>NHEJpercent</vt:lpstr>
      <vt:lpstr>Number_of_Var_to_Visualize</vt:lpstr>
      <vt:lpstr>Other_Indel_Length_Reads</vt:lpstr>
      <vt:lpstr>OtherEJ_Reads</vt:lpstr>
      <vt:lpstr>OtherIndelPercent</vt:lpstr>
      <vt:lpstr>Otherreads</vt:lpstr>
      <vt:lpstr>OutFrameReads</vt:lpstr>
      <vt:lpstr>PAM</vt:lpstr>
      <vt:lpstr>pamLineRGB</vt:lpstr>
      <vt:lpstr>pamRGB</vt:lpstr>
      <vt:lpstr>Position</vt:lpstr>
      <vt:lpstr>Single!Print_Area</vt:lpstr>
      <vt:lpstr>Reference</vt:lpstr>
      <vt:lpstr>RefSeq</vt:lpstr>
      <vt:lpstr>RelativeFreq</vt:lpstr>
      <vt:lpstr>Repair</vt:lpstr>
      <vt:lpstr>Save_a_Copy</vt:lpstr>
      <vt:lpstr>Save_To_BatchShape</vt:lpstr>
      <vt:lpstr>SinglegRNAwindowL</vt:lpstr>
      <vt:lpstr>SinglegRNAwindowR</vt:lpstr>
      <vt:lpstr>Sum_Other_Indel_Reads</vt:lpstr>
      <vt:lpstr>Sumdelreads</vt:lpstr>
      <vt:lpstr>SumDuplicationreads</vt:lpstr>
      <vt:lpstr>Sumindelreads</vt:lpstr>
      <vt:lpstr>Suminsreads</vt:lpstr>
      <vt:lpstr>SumMMEJreads</vt:lpstr>
      <vt:lpstr>SumMNVreads</vt:lpstr>
      <vt:lpstr>TotalReads</vt:lpstr>
      <vt:lpstr>Totalvariants</vt:lpstr>
      <vt:lpstr>Treatment</vt:lpstr>
      <vt:lpstr>VariantNo</vt:lpstr>
      <vt:lpstr>Visual_Alignment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Taheri Ghahfarokhi  Amir</dc:creator>
  <cp:lastModifiedBy>Taheri Ghahfarokhi  Amir</cp:lastModifiedBy>
  <dcterms:created xsi:type="dcterms:W3CDTF">2024-09-21T09:25:30Z</dcterms:created>
  <dcterms:modified xsi:type="dcterms:W3CDTF">2024-09-21T09:25:31Z</dcterms:modified>
</cp:coreProperties>
</file>